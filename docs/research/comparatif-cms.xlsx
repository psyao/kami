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Synthèse" sheetId="2" state="visible" r:id="rId4"/>
    <sheet name="Priorisation" sheetId="3" state="visible" r:id="rId5"/>
    <sheet name="Matrice" sheetId="4" state="visible" r:id="rId6"/>
    <sheet name="Détails" sheetId="5" state="visible" r:id="rId7"/>
    <sheet name="Hors grille" sheetId="6" state="visible" r:id="rId8"/>
    <sheet name="Inspirations" sheetId="7" state="visible" r:id="rId9"/>
  </sheets>
  <definedNames>
    <definedName function="false" hidden="true" localSheetId="3" name="_xlnm._FilterDatabase" vbProcedure="false">Matrice!$A$1:$O$212</definedName>
    <definedName function="false" hidden="true" localSheetId="2" name="_xlnm._FilterDatabase" vbProcedure="false">Priorisation!$A$11:$I$344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<sst xmlns="http://schemas.openxmlformats.org/spreadsheetml/2006/main" count="22121" uniqueCount="4777">
  <si>
    <t xml:space="preserve">Comparatif des fonctionnalités CMS</t>
  </si>
  <si>
    <t xml:space="preserve">Analyse réalisée le 25 octobre 2026 à partir de la documentation officielle de chaque CMS. Base de travail pour concevoir un CMS Laravel / Filament.</t>
  </si>
  <si>
    <t xml:space="preserve">Onglets</t>
  </si>
  <si>
    <t xml:space="preserve">Synthèse</t>
  </si>
  <si>
    <t xml:space="preserve">Couverture par CMS et par catégorie (formules calculées depuis la Matrice)</t>
  </si>
  <si>
    <t xml:space="preserve">Priorisation</t>
  </si>
  <si>
    <t xml:space="preserve">Grille enrichie (grille + ajouts hors grille) classée MVP / V1 / V2, avec différenciants et briques Laravel/Filament</t>
  </si>
  <si>
    <t xml:space="preserve">Matrice</t>
  </si>
  <si>
    <t xml:space="preserve">211 fonctionnalités × CMS, statut coloré. Filtrable.</t>
  </si>
  <si>
    <t xml:space="preserve">Détails</t>
  </si>
  <si>
    <t xml:space="preserve">Une ligne par fonctionnalité et par CMS : statut, explication, source</t>
  </si>
  <si>
    <t xml:space="preserve">Hors grille</t>
  </si>
  <si>
    <t xml:space="preserve">Fonctionnalités relevées en dehors de la grille — pistes d'ajout</t>
  </si>
  <si>
    <t xml:space="preserve">Inspirations</t>
  </si>
  <si>
    <t xml:space="preserve">Points forts, idées à reprendre et limites de chaque CMS</t>
  </si>
  <si>
    <t xml:space="preserve">Légende des statuts</t>
  </si>
  <si>
    <t xml:space="preserve">Natif</t>
  </si>
  <si>
    <t xml:space="preserve">Inclus dans le cœur, sans extension</t>
  </si>
  <si>
    <t xml:space="preserve">Officiel</t>
  </si>
  <si>
    <t xml:space="preserve">Extension, add-on ou édition de l'éditeur du CMS (« Payant : » dans le détail si payant)</t>
  </si>
  <si>
    <t xml:space="preserve">Tiers</t>
  </si>
  <si>
    <t xml:space="preserve">Uniquement via une extension tierce</t>
  </si>
  <si>
    <t xml:space="preserve">Partiel</t>
  </si>
  <si>
    <t xml:space="preserve">Existe mais limité (voir le détail)</t>
  </si>
  <si>
    <t xml:space="preserve">Absent</t>
  </si>
  <si>
    <t xml:space="preserve">N'existe pas, même via extension connue</t>
  </si>
  <si>
    <t xml:space="preserve">?</t>
  </si>
  <si>
    <t xml:space="preserve">Non confirmé après recherche</t>
  </si>
  <si>
    <t xml:space="preserve">Info</t>
  </si>
  <si>
    <t xml:space="preserve">Réponse factuelle (licence, moteur, popularité…), voir Détails</t>
  </si>
  <si>
    <t xml:space="preserve">CMS analysés</t>
  </si>
  <si>
    <t xml:space="preserve">CMS</t>
  </si>
  <si>
    <t xml:space="preserve">Version analysée</t>
  </si>
  <si>
    <t xml:space="preserve">Licence</t>
  </si>
  <si>
    <t xml:space="preserve">Stack</t>
  </si>
  <si>
    <t xml:space="preserve">WordPress</t>
  </si>
  <si>
    <t xml:space="preserve">7.1.3 (6 octobre 2026)</t>
  </si>
  <si>
    <t xml:space="preserve">GPLv2 ou ultérieure</t>
  </si>
  <si>
    <t xml:space="preserve">PHP 7.4+ (8.3+ recommandé) / pas de framework (API maison), React pour l'éditeur / MySQL ou MariaDB</t>
  </si>
  <si>
    <t xml:space="preserve">Drupal</t>
  </si>
  <si>
    <t xml:space="preserve">Drupal core 11.4.11 (octobre 2026) ; Drupal CMS 2.2.7 (23 octobre 2026) ; Canvas 1.12</t>
  </si>
  <si>
    <t xml:space="preserve">GPL-2.0-or-later</t>
  </si>
  <si>
    <t xml:space="preserve">PHP 8.3+ / Symfony 7 + Twig / MySQL-MariaDB, PostgreSQL, SQLite</t>
  </si>
  <si>
    <t xml:space="preserve">Craft CMS</t>
  </si>
  <si>
    <t xml:space="preserve">5.11.5.1 (8 octobre 2026)</t>
  </si>
  <si>
    <t xml:space="preserve">Craft License (propriétaire, source disponible) ; édition Solo gratuite, Team/Pro payantes</t>
  </si>
  <si>
    <t xml:space="preserve">PHP 8.2+ / Yii 2 / Twig / MySQL, MariaDB ou PostgreSQL ; panneau en JS/Vue</t>
  </si>
  <si>
    <t xml:space="preserve">Kirby</t>
  </si>
  <si>
    <t xml:space="preserve">5.6.1 (6 octobre 2026) ; 6.0.0-beta.1 en test</t>
  </si>
  <si>
    <t xml:space="preserve">Propriétaire (code source public), licence payante par site : Basic 99 €, Enterprise 349 €</t>
  </si>
  <si>
    <t xml:space="preserve">PHP 8.2-8.5 / framework maison (Panel Vue 2→3) / flat-file (fichiers texte), Db MySQL/SQLite optionnelle</t>
  </si>
  <si>
    <t xml:space="preserve">Statamic</t>
  </si>
  <si>
    <t xml:space="preserve">6.38.0 (23 octobre 2026)</t>
  </si>
  <si>
    <t xml:space="preserve">Core gratuit (licence propriétaire Statamic LLC, code source ouvert) ; Pro commercial 349 $/site</t>
  </si>
  <si>
    <t xml:space="preserve">PHP 8.3+ / Laravel 12-13 / flat-file (YAML/Markdown, Stache) ou base SQL via Eloquent Driver ; CP Vue 3 + Inertia + Tailwind 4</t>
  </si>
  <si>
    <t xml:space="preserve">October CMS</t>
  </si>
  <si>
    <t xml:space="preserve">4.4.11 (12 octobre 2026)</t>
  </si>
  <si>
    <t xml:space="preserve">Propriétaire (EULA Responsiv Pty Ltd), code source public ; licence gratuite la 1re année puis 39 $/site/an pour les mises à jour</t>
  </si>
  <si>
    <t xml:space="preserve">PHP 8.2+ / Laravel 12 / Twig 3 / MySQL, MariaDB, PostgreSQL, SQLite ; backend Vue 3</t>
  </si>
  <si>
    <t xml:space="preserve">Grav</t>
  </si>
  <si>
    <t xml:space="preserve">2.2.13 (23 octobre 2026)</t>
  </si>
  <si>
    <t xml:space="preserve">MIT</t>
  </si>
  <si>
    <t xml:space="preserve">PHP 8.3+ / composants Symfony 7, Twig 3 / flat-file (Markdown + YAML), sans base de données ; Admin2 en SvelteKit</t>
  </si>
  <si>
    <t xml:space="preserve">Payload</t>
  </si>
  <si>
    <t xml:space="preserve">3.92.0 (22 octobre 2026)</t>
  </si>
  <si>
    <t xml:space="preserve">MIT (cœur et plugins @payloadcms/*) ; fonctions Enterprise commerciales</t>
  </si>
  <si>
    <t xml:space="preserve">TypeScript / Node.js, Next.js (React) / MongoDB, PostgreSQL, SQLite, Cloudflare D1</t>
  </si>
  <si>
    <t xml:space="preserve">TallCMS</t>
  </si>
  <si>
    <t xml:space="preserve">4.9.1 (21 septembre 2026)</t>
  </si>
  <si>
    <t xml:space="preserve">MIT (Core) ; Pro, Multisite et Billing sous licence commerciale</t>
  </si>
  <si>
    <t xml:space="preserve">PHP 8.2+ / Laravel 12-13, Filament 5, Livewire 4, Tailwind v4 + daisyUI / MySQL, MariaDB, SQLite</t>
  </si>
  <si>
    <t xml:space="preserve">Lara Zeus Sky</t>
  </si>
  <si>
    <t xml:space="preserve">5.0.1 (29 avril 2026)</t>
  </si>
  <si>
    <t xml:space="preserve">PHP 8.2+ / Laravel + Filament 5 (TALL : Livewire, Alpine, Tailwind) / base relationnelle via Eloquent</t>
  </si>
  <si>
    <t xml:space="preserve">Note : les statuts reflètent la documentation consultée à la date d'analyse. Les projets jeunes (TallCMS, Sky) comportent davantage de « ? ». Vérifier les points décisifs avant de s'en servir.</t>
  </si>
  <si>
    <t xml:space="preserve">Synthèse de couverture</t>
  </si>
  <si>
    <t xml:space="preserve">Toutes les valeurs sont calculées depuis l'onglet Matrice.</t>
  </si>
  <si>
    <t xml:space="preserve">Total</t>
  </si>
  <si>
    <t xml:space="preserve">% disponible (natif+officiel)</t>
  </si>
  <si>
    <t xml:space="preserve">% avec extension (natif+off.+tiers)</t>
  </si>
  <si>
    <t xml:space="preserve">« % disponible » exclut les lignes Info du dénominateur.</t>
  </si>
  <si>
    <t xml:space="preserve">Disponibilité (natif + officiel) par catégorie</t>
  </si>
  <si>
    <t xml:space="preserve">Bloc</t>
  </si>
  <si>
    <t xml:space="preserve">Catégorie</t>
  </si>
  <si>
    <t xml:space="preserve">Nb fonct.</t>
  </si>
  <si>
    <t xml:space="preserve">Contenu</t>
  </si>
  <si>
    <t xml:space="preserve">Modélisation de contenu</t>
  </si>
  <si>
    <t xml:space="preserve">Édition et blocs</t>
  </si>
  <si>
    <t xml:space="preserve">Médias</t>
  </si>
  <si>
    <t xml:space="preserve">Versioning et planification</t>
  </si>
  <si>
    <t xml:space="preserve">Recherche</t>
  </si>
  <si>
    <t xml:space="preserve">Formulaires</t>
  </si>
  <si>
    <t xml:space="preserve">Utilisateurs</t>
  </si>
  <si>
    <t xml:space="preserve">Utilisateurs et rôles</t>
  </si>
  <si>
    <t xml:space="preserve">Workflows éditoriaux</t>
  </si>
  <si>
    <t xml:space="preserve">Notifications et e-mails</t>
  </si>
  <si>
    <t xml:space="preserve">Diffusion</t>
  </si>
  <si>
    <t xml:space="preserve">Multilingue et multi-site</t>
  </si>
  <si>
    <t xml:space="preserve">Routing</t>
  </si>
  <si>
    <t xml:space="preserve">Templating</t>
  </si>
  <si>
    <t xml:space="preserve">Thèmes et front-end</t>
  </si>
  <si>
    <t xml:space="preserve">SEO</t>
  </si>
  <si>
    <t xml:space="preserve">API et headless</t>
  </si>
  <si>
    <t xml:space="preserve">Commerce</t>
  </si>
  <si>
    <t xml:space="preserve">Accessibilité</t>
  </si>
  <si>
    <t xml:space="preserve">Technique</t>
  </si>
  <si>
    <t xml:space="preserve">Stockage des données</t>
  </si>
  <si>
    <t xml:space="preserve">Configuration as code</t>
  </si>
  <si>
    <t xml:space="preserve">Synchronisation entre environnements</t>
  </si>
  <si>
    <t xml:space="preserve">Extensibilité</t>
  </si>
  <si>
    <t xml:space="preserve">Performance et cache</t>
  </si>
  <si>
    <t xml:space="preserve">Tâches planifiées et files d'attente</t>
  </si>
  <si>
    <t xml:space="preserve">Sécurité</t>
  </si>
  <si>
    <t xml:space="preserve">Outils développeur</t>
  </si>
  <si>
    <t xml:space="preserve">Installation et mises à jour</t>
  </si>
  <si>
    <t xml:space="preserve">IA</t>
  </si>
  <si>
    <t xml:space="preserve">Gouvernance</t>
  </si>
  <si>
    <t xml:space="preserve">Conformité et vie privée</t>
  </si>
  <si>
    <t xml:space="preserve">Analytics et tableau de bord</t>
  </si>
  <si>
    <t xml:space="preserve">Interface d'administration</t>
  </si>
  <si>
    <t xml:space="preserve">Écosystème et communauté</t>
  </si>
  <si>
    <t xml:space="preserve">Priorisation pour un CMS Laravel / Filament</t>
  </si>
  <si>
    <t xml:space="preserve">Proposition à valider. MVP = socle indispensable au lancement ; V1 = attendu par le marché ; V2 = plus tard ; Hors périmètre = écarté volontairement. Différenciant = peu couvert nativement par les 10 CMS et à forte valeur. « Couverture » = nombre de CMS sur 10 qui l'offrent en natif ou via extension officielle (formule vers la Matrice).</t>
  </si>
  <si>
    <t xml:space="preserve">Priorité</t>
  </si>
  <si>
    <t xml:space="preserve">dont différenciantes</t>
  </si>
  <si>
    <t xml:space="preserve">MVP</t>
  </si>
  <si>
    <t xml:space="preserve">V1</t>
  </si>
  <si>
    <t xml:space="preserve">V2</t>
  </si>
  <si>
    <t xml:space="preserve">Hors périmètre</t>
  </si>
  <si>
    <t xml:space="preserve">Fonctionnalité</t>
  </si>
  <si>
    <t xml:space="preserve">Origine</t>
  </si>
  <si>
    <t xml:space="preserve">Couverture (/10)</t>
  </si>
  <si>
    <t xml:space="preserve">Différenciant</t>
  </si>
  <si>
    <t xml:space="preserve">Brique Laravel / Filament</t>
  </si>
  <si>
    <t xml:space="preserve">Vu chez (ajouts)</t>
  </si>
  <si>
    <t xml:space="preserve">Types de contenu personnalisés (sans code)</t>
  </si>
  <si>
    <t xml:space="preserve">Grille</t>
  </si>
  <si>
    <t xml:space="preserve">Générateur de schéma dans l'admin</t>
  </si>
  <si>
    <t xml:space="preserve">Types de contenu définis en code (schéma versionnable)</t>
  </si>
  <si>
    <t xml:space="preserve">Classes PHP + migrations</t>
  </si>
  <si>
    <t xml:space="preserve">Champs personnalisés (bibliothèque de types de champs)</t>
  </si>
  <si>
    <t xml:space="preserve">Champs Filament Forms</t>
  </si>
  <si>
    <t xml:space="preserve">Champs répétables / groupes de champs</t>
  </si>
  <si>
    <t xml:space="preserve">Filament Repeater</t>
  </si>
  <si>
    <t xml:space="preserve">Relations entre contenus (1-n, n-n)</t>
  </si>
  <si>
    <t xml:space="preserve">Relations Eloquent + Filament Select/RelationManager</t>
  </si>
  <si>
    <t xml:space="preserve">Relations bidirectionnelles / reverse lookup</t>
  </si>
  <si>
    <t xml:space="preserve">Oui</t>
  </si>
  <si>
    <t xml:space="preserve">Relations inverses Eloquent</t>
  </si>
  <si>
    <t xml:space="preserve">Taxonomies (catégories, tags, vocabulaires personnalisés)</t>
  </si>
  <si>
    <t xml:space="preserve">spatie/laravel-tags ou modèles dédiés</t>
  </si>
  <si>
    <t xml:space="preserve">Contenu hiérarchique (arborescence parent/enfant)</t>
  </si>
  <si>
    <t xml:space="preserve">kalnoy/nestedset ou adjacency list</t>
  </si>
  <si>
    <t xml:space="preserve">Ensembles de champs réutilisables (fieldsets / blueprints)</t>
  </si>
  <si>
    <t xml:space="preserve">Méthodes de schéma Filament réutilisables</t>
  </si>
  <si>
    <t xml:space="preserve">Contenus globaux / singletons (réglages de site)</t>
  </si>
  <si>
    <t xml:space="preserve">spatie/laravel-settings + Filament Settings</t>
  </si>
  <si>
    <t xml:space="preserve">Validation des champs (règles, champs obligatoires)</t>
  </si>
  <si>
    <t xml:space="preserve">Validation Laravel (natif Filament)</t>
  </si>
  <si>
    <t xml:space="preserve">Champs conditionnels (affichage selon valeur)</t>
  </si>
  <si>
    <t xml:space="preserve">Filament visible() / live() (natif)</t>
  </si>
  <si>
    <t xml:space="preserve">Champs calculés / dérivés</t>
  </si>
  <si>
    <t xml:space="preserve">Filament afterStateUpdated / accessors Eloquent</t>
  </si>
  <si>
    <t xml:space="preserve">Constructeur de listes / requêtes sans code (pages, blocs, flux)</t>
  </si>
  <si>
    <t xml:space="preserve">Ajout (hors grille)</t>
  </si>
  <si>
    <t xml:space="preserve">Filament Table + query builder</t>
  </si>
  <si>
    <t xml:space="preserve">Drupal (Views), WordPress (Query Loop)</t>
  </si>
  <si>
    <t xml:space="preserve">Cascade d'héritage des données et valeurs par défaut (globales → section → entrée)</t>
  </si>
  <si>
    <t xml:space="preserve">Logique applicative</t>
  </si>
  <si>
    <t xml:space="preserve">Statamic, TallCMS</t>
  </si>
  <si>
    <t xml:space="preserve">Format de titre automatique / titres générés</t>
  </si>
  <si>
    <t xml:space="preserve">Mutators Eloquent</t>
  </si>
  <si>
    <t xml:space="preserve">Craft, Statamic</t>
  </si>
  <si>
    <t xml:space="preserve">Dictionnaires : listes d'options issues de sources externes</t>
  </si>
  <si>
    <t xml:space="preserve">Filament Select options()</t>
  </si>
  <si>
    <t xml:space="preserve">Contenu virtuel issu de sources externes (API, autre base)</t>
  </si>
  <si>
    <t xml:space="preserve">Eloquent / Sushi</t>
  </si>
  <si>
    <t xml:space="preserve">UUID et liens internes stables (résistent aux renommages)</t>
  </si>
  <si>
    <t xml:space="preserve">HasUuids Eloquent</t>
  </si>
  <si>
    <t xml:space="preserve">Kirby, Craft</t>
  </si>
  <si>
    <t xml:space="preserve">Modes d'affichage multiples par type (carte, liste, complet)</t>
  </si>
  <si>
    <t xml:space="preserve">Vues Blade par mode</t>
  </si>
  <si>
    <t xml:space="preserve">Champs spécialisés : adresse, lien multi-type, couleur, icône, montant, JSON/code</t>
  </si>
  <si>
    <t xml:space="preserve">Champs Filament + plugins</t>
  </si>
  <si>
    <t xml:space="preserve">Craft, Payload, Kirby</t>
  </si>
  <si>
    <t xml:space="preserve">Champs de géolocalisation avec requêtes de proximité</t>
  </si>
  <si>
    <t xml:space="preserve">Plugin carte Filament + requêtes spatiales</t>
  </si>
  <si>
    <t xml:space="preserve">Payload, Drupal (contrib)</t>
  </si>
  <si>
    <t xml:space="preserve">Champs de mise en page (onglets, sections, colonnes)</t>
  </si>
  <si>
    <t xml:space="preserve">Filament Tabs / Section / Grid (natif)</t>
  </si>
  <si>
    <t xml:space="preserve">Payload, Statamic</t>
  </si>
  <si>
    <t xml:space="preserve">Ordre manuel par glisser-déposer</t>
  </si>
  <si>
    <t xml:space="preserve">Filament reorderable() + eloquent-sortable</t>
  </si>
  <si>
    <t xml:space="preserve">Plusieurs types d'entrée dans une même section</t>
  </si>
  <si>
    <t xml:space="preserve">Single table + type</t>
  </si>
  <si>
    <t xml:space="preserve">Craft, October</t>
  </si>
  <si>
    <t xml:space="preserve">Classe PHP dédiée par type de contenu (méthodes métier)</t>
  </si>
  <si>
    <t xml:space="preserve">Modèles Eloquent</t>
  </si>
  <si>
    <t xml:space="preserve">Kirby, Drupal</t>
  </si>
  <si>
    <t xml:space="preserve">Création rapide d'un contenu lié depuis un champ relation</t>
  </si>
  <si>
    <t xml:space="preserve">Filament createOptionForm (natif)</t>
  </si>
  <si>
    <t xml:space="preserve">October</t>
  </si>
  <si>
    <t xml:space="preserve">Outils de refactor de schéma (fusion, nettoyage, réenregistrement en masse)</t>
  </si>
  <si>
    <t xml:space="preserve">Commandes Artisan</t>
  </si>
  <si>
    <t xml:space="preserve">Éditeur WYSIWYG / rich text</t>
  </si>
  <si>
    <t xml:space="preserve">Filament RichEditor (TipTap)</t>
  </si>
  <si>
    <t xml:space="preserve">Éditeur par blocs (block editor / page builder)</t>
  </si>
  <si>
    <t xml:space="preserve">Filament Builder</t>
  </si>
  <si>
    <t xml:space="preserve">Blocs personnalisés définis par le développeur</t>
  </si>
  <si>
    <t xml:space="preserve">Filament Builder\Block</t>
  </si>
  <si>
    <t xml:space="preserve">Blocs imbriqués</t>
  </si>
  <si>
    <t xml:space="preserve">Builder dans Builder</t>
  </si>
  <si>
    <t xml:space="preserve">Blocs / patterns réutilisables (synchronisés)</t>
  </si>
  <si>
    <t xml:space="preserve">Modèle « bloc global » référencé</t>
  </si>
  <si>
    <t xml:space="preserve">Support Markdown</t>
  </si>
  <si>
    <t xml:space="preserve">Filament MarkdownEditor + league/commonmark</t>
  </si>
  <si>
    <t xml:space="preserve">Édition en contexte (front-end)</t>
  </si>
  <si>
    <t xml:space="preserve">Livewire sur le front</t>
  </si>
  <si>
    <t xml:space="preserve">Live preview / aperçu avant publication</t>
  </si>
  <si>
    <t xml:space="preserve">Plugin preview Filament / iframe signée</t>
  </si>
  <si>
    <t xml:space="preserve">Aperçu responsive (mobile/tablette)</t>
  </si>
  <si>
    <t xml:space="preserve">Iframe redimensionnable</t>
  </si>
  <si>
    <t xml:space="preserve">Raccourcis clavier / slash commands</t>
  </si>
  <si>
    <t xml:space="preserve">Extensions TipTap</t>
  </si>
  <si>
    <t xml:space="preserve">Sauvegarde automatique des brouillons</t>
  </si>
  <si>
    <t xml:space="preserve">Livewire + autosave</t>
  </si>
  <si>
    <t xml:space="preserve">Verrouillage de blocs / mode d'édition restreint au contenu</t>
  </si>
  <si>
    <t xml:space="preserve">Permissions par bloc</t>
  </si>
  <si>
    <t xml:space="preserve">Visibilité des blocs par appareil ou par condition</t>
  </si>
  <si>
    <t xml:space="preserve">Réglages communs aux blocs</t>
  </si>
  <si>
    <t xml:space="preserve">WordPress, TallCMS</t>
  </si>
  <si>
    <t xml:space="preserve">Liaison de blocs à des champs ou sources de données</t>
  </si>
  <si>
    <t xml:space="preserve">WordPress (Block Bindings)</t>
  </si>
  <si>
    <t xml:space="preserve">Surcharge locale de blocs réutilisables</t>
  </si>
  <si>
    <t xml:space="preserve">WordPress (Pattern Overrides)</t>
  </si>
  <si>
    <t xml:space="preserve">Panneau de structure des blocs avec réordonnancement</t>
  </si>
  <si>
    <t xml:space="preserve">Filament Builder collapsible / reorderable</t>
  </si>
  <si>
    <t xml:space="preserve">Sélecteur de blocs avec aperçus visuels, recherche et récents</t>
  </si>
  <si>
    <t xml:space="preserve">Filament Builder blockPreviews / blockPickerColumns</t>
  </si>
  <si>
    <t xml:space="preserve">Copier / coller de blocs et d'entrées entre champs</t>
  </si>
  <si>
    <t xml:space="preserve">Filament Builder cloneable + presse-papiers</t>
  </si>
  <si>
    <t xml:space="preserve">Craft</t>
  </si>
  <si>
    <t xml:space="preserve">Tokens dynamiques dans le contenu (merge tags, shortcodes)</t>
  </si>
  <si>
    <t xml:space="preserve">Parseur de contenu</t>
  </si>
  <si>
    <t xml:space="preserve">TallCMS, WordPress, Grav, Kirby, Drupal</t>
  </si>
  <si>
    <t xml:space="preserve">Sélecteur de liens internes (pages et entrées)</t>
  </si>
  <si>
    <t xml:space="preserve">Champ lien personnalisé</t>
  </si>
  <si>
    <t xml:space="preserve">October, Craft, Kirby</t>
  </si>
  <si>
    <t xml:space="preserve">Temps de lecture et nombre de mots</t>
  </si>
  <si>
    <t xml:space="preserve">Helper</t>
  </si>
  <si>
    <t xml:space="preserve">Vue calendrier des contenus programmés</t>
  </si>
  <si>
    <t xml:space="preserve">Plugin calendrier Filament</t>
  </si>
  <si>
    <t xml:space="preserve">Barre d'administration sur le front-end</t>
  </si>
  <si>
    <t xml:space="preserve">Composant Blade conditionnel</t>
  </si>
  <si>
    <t xml:space="preserve">WordPress, Payload</t>
  </si>
  <si>
    <t xml:space="preserve">Copie d'un contenu vers une autre langue</t>
  </si>
  <si>
    <t xml:space="preserve">Action Filament</t>
  </si>
  <si>
    <t xml:space="preserve">Édition en panneau latéral et édition inline dans les listes</t>
  </si>
  <si>
    <t xml:space="preserve">Filament slideOver / colonnes éditables (natif)</t>
  </si>
  <si>
    <t xml:space="preserve">Composants front codés et éditables dans le navigateur</t>
  </si>
  <si>
    <t xml:space="preserve">Drupal (Canvas)</t>
  </si>
  <si>
    <t xml:space="preserve">Médiathèque centralisée</t>
  </si>
  <si>
    <t xml:space="preserve">spatie/laravel-medialibrary + Curator</t>
  </si>
  <si>
    <t xml:space="preserve">Dossiers / organisation des médias</t>
  </si>
  <si>
    <t xml:space="preserve">Plugin médiathèque Filament</t>
  </si>
  <si>
    <t xml:space="preserve">Recadrage / point focal</t>
  </si>
  <si>
    <t xml:space="preserve">Filament imageEditor + point focal</t>
  </si>
  <si>
    <t xml:space="preserve">Transformations d'images à la volée (tailles, formats)</t>
  </si>
  <si>
    <t xml:space="preserve">Génération à la première demande (Glide), sans queue</t>
  </si>
  <si>
    <t xml:space="preserve">Conversion WebP/AVIF</t>
  </si>
  <si>
    <t xml:space="preserve">Conversions medialibrary (AVIF selon GD/Imagick dispo)</t>
  </si>
  <si>
    <t xml:space="preserve">Métadonnées des médias (alt, légende, crédits)</t>
  </si>
  <si>
    <t xml:space="preserve">Custom properties medialibrary</t>
  </si>
  <si>
    <t xml:space="preserve">Stockage distant (S3, CDN, etc.)</t>
  </si>
  <si>
    <t xml:space="preserve">Filesystem Laravel (S3, Infomaniak Swiss Backup S3)</t>
  </si>
  <si>
    <t xml:space="preserve">Gestion vidéo / audio / documents</t>
  </si>
  <si>
    <t xml:space="preserve">medialibrary</t>
  </si>
  <si>
    <t xml:space="preserve">Upload par glisser-déposer / multiple</t>
  </si>
  <si>
    <t xml:space="preserve">Filament FileUpload (natif)</t>
  </si>
  <si>
    <t xml:space="preserve">Détection des médias inutilisés</t>
  </si>
  <si>
    <t xml:space="preserve">Index des références</t>
  </si>
  <si>
    <t xml:space="preserve">Upload par morceaux (gros fichiers)</t>
  </si>
  <si>
    <t xml:space="preserve">Livewire / Filament chunked upload</t>
  </si>
  <si>
    <t xml:space="preserve">Import d'un média depuis une URL</t>
  </si>
  <si>
    <t xml:space="preserve">Http + medialibrary addMediaFromUrl</t>
  </si>
  <si>
    <t xml:space="preserve">Upload direct du navigateur vers le stockage distant</t>
  </si>
  <si>
    <t xml:space="preserve">URLs présignées S3</t>
  </si>
  <si>
    <t xml:space="preserve">Renommage avec mise à jour des références</t>
  </si>
  <si>
    <t xml:space="preserve">UUID + références par ID</t>
  </si>
  <si>
    <t xml:space="preserve">Filigrane (watermark)</t>
  </si>
  <si>
    <t xml:space="preserve">Glide / Intervention Image</t>
  </si>
  <si>
    <t xml:space="preserve">Statamic, Grav</t>
  </si>
  <si>
    <t xml:space="preserve">srcset / images responsives automatiques</t>
  </si>
  <si>
    <t xml:space="preserve">spatie/laravel-medialibrary responsive images</t>
  </si>
  <si>
    <t xml:space="preserve">Grav, WordPress, Statamic</t>
  </si>
  <si>
    <t xml:space="preserve">Intégrations oEmbed (YouTube, Vimeo…)</t>
  </si>
  <si>
    <t xml:space="preserve">Package oEmbed</t>
  </si>
  <si>
    <t xml:space="preserve">WordPress, Kirby</t>
  </si>
  <si>
    <t xml:space="preserve">Fichiers privés soumis aux permissions</t>
  </si>
  <si>
    <t xml:space="preserve">Disque privé + URLs signées Laravel</t>
  </si>
  <si>
    <t xml:space="preserve">Drupal, Grav</t>
  </si>
  <si>
    <t xml:space="preserve">Types de fichiers avec champs propres (templates de fichiers)</t>
  </si>
  <si>
    <t xml:space="preserve">Collections medialibrary</t>
  </si>
  <si>
    <t xml:space="preserve">Kirby, Statamic</t>
  </si>
  <si>
    <t xml:space="preserve">Brouillons</t>
  </si>
  <si>
    <t xml:space="preserve">Colonne statut + scopes</t>
  </si>
  <si>
    <t xml:space="preserve">Historique des révisions</t>
  </si>
  <si>
    <t xml:space="preserve">Table de révisions (ex. mpociot/versionable)</t>
  </si>
  <si>
    <t xml:space="preserve">Comparaison de versions (diff)</t>
  </si>
  <si>
    <t xml:space="preserve">Diff JSON / texte</t>
  </si>
  <si>
    <t xml:space="preserve">Restauration d'une révision</t>
  </si>
  <si>
    <t xml:space="preserve">Publication programmée</t>
  </si>
  <si>
    <t xml:space="preserve">Évaluée à la lecture (published_at &lt;= now), sans dépendre du planificateur</t>
  </si>
  <si>
    <t xml:space="preserve">Dépublication programmée / expiration</t>
  </si>
  <si>
    <t xml:space="preserve">Évaluée à la lecture (unpublished_at)</t>
  </si>
  <si>
    <t xml:space="preserve">Corbeille / suppression douce</t>
  </si>
  <si>
    <t xml:space="preserve">SoftDeletes + Filament TrashedFilter (natif)</t>
  </si>
  <si>
    <t xml:space="preserve">Duplication de contenu</t>
  </si>
  <si>
    <t xml:space="preserve">Filament ReplicateAction (natif)</t>
  </si>
  <si>
    <t xml:space="preserve">Liens d'aperçu partageables et expirables</t>
  </si>
  <si>
    <t xml:space="preserve">URLs signées temporaires Laravel</t>
  </si>
  <si>
    <t xml:space="preserve">Craft, Kirby, TallCMS, WordPress</t>
  </si>
  <si>
    <t xml:space="preserve">Snapshots nommés et épinglés</t>
  </si>
  <si>
    <t xml:space="preserve">Table de révisions</t>
  </si>
  <si>
    <t xml:space="preserve">Revue groupée de changements avant publication (workspaces)</t>
  </si>
  <si>
    <t xml:space="preserve">Suivi créateur / dernier modificateur</t>
  </si>
  <si>
    <t xml:space="preserve">Observers Eloquent</t>
  </si>
  <si>
    <t xml:space="preserve">Résumé des changements en attente de l'équipe</t>
  </si>
  <si>
    <t xml:space="preserve">Recherche interne dans l'admin</t>
  </si>
  <si>
    <t xml:space="preserve">Filament global search (natif)</t>
  </si>
  <si>
    <t xml:space="preserve">Recherche front-end intégrée</t>
  </si>
  <si>
    <t xml:space="preserve">Laravel Scout driver database (compatible mutualisé)</t>
  </si>
  <si>
    <t xml:space="preserve">Recherche plein texte</t>
  </si>
  <si>
    <t xml:space="preserve">Scout + MySQL fulltext</t>
  </si>
  <si>
    <t xml:space="preserve">Index personnalisables (champs indexés)</t>
  </si>
  <si>
    <t xml:space="preserve">toSearchableArray() Scout</t>
  </si>
  <si>
    <t xml:space="preserve">Intégrations moteurs externes (Algolia, Meilisearch, Elasticsearch)</t>
  </si>
  <si>
    <t xml:space="preserve">Drivers Scout, optionnels (hors mutualisé)</t>
  </si>
  <si>
    <t xml:space="preserve">Filtres / facettes</t>
  </si>
  <si>
    <t xml:space="preserve">Meilisearch facets</t>
  </si>
  <si>
    <t xml:space="preserve">Constructeur de formulaires (no-code)</t>
  </si>
  <si>
    <t xml:space="preserve">Plugin form builder (ex. Lara Zeus Bolt)</t>
  </si>
  <si>
    <t xml:space="preserve">Stockage des soumissions</t>
  </si>
  <si>
    <t xml:space="preserve">Modèle Eloquent</t>
  </si>
  <si>
    <t xml:space="preserve">Notifications e-mail des soumissions</t>
  </si>
  <si>
    <t xml:space="preserve">Notifications Laravel</t>
  </si>
  <si>
    <t xml:space="preserve">Anti-spam (captcha, honeypot)</t>
  </si>
  <si>
    <t xml:space="preserve">spatie/laravel-honeypot, Turnstile</t>
  </si>
  <si>
    <t xml:space="preserve">Logique conditionnelle</t>
  </si>
  <si>
    <t xml:space="preserve">Upload de fichiers dans les formulaires</t>
  </si>
  <si>
    <t xml:space="preserve">Validation fichiers Laravel</t>
  </si>
  <si>
    <t xml:space="preserve">Export des soumissions</t>
  </si>
  <si>
    <t xml:space="preserve">Filament ExportAction (natif)</t>
  </si>
  <si>
    <t xml:space="preserve">Formulaires multi-étapes</t>
  </si>
  <si>
    <t xml:space="preserve">Filament Wizard (natif)</t>
  </si>
  <si>
    <t xml:space="preserve">Validation en direct côté client</t>
  </si>
  <si>
    <t xml:space="preserve">Laravel Precognition</t>
  </si>
  <si>
    <t xml:space="preserve">Synchronisation vers outils marketing (Mailchimp, Brevo…)</t>
  </si>
  <si>
    <t xml:space="preserve">Intégrations HTTP</t>
  </si>
  <si>
    <t xml:space="preserve">TallCMS (Pro)</t>
  </si>
  <si>
    <t xml:space="preserve">Insertion d'un formulaire dans le contenu (bloc)</t>
  </si>
  <si>
    <t xml:space="preserve">Bloc formulaire</t>
  </si>
  <si>
    <t xml:space="preserve">Sky, WordPress</t>
  </si>
  <si>
    <t xml:space="preserve">Rôles personnalisables</t>
  </si>
  <si>
    <t xml:space="preserve">spatie/laravel-permission + Filament Shield</t>
  </si>
  <si>
    <t xml:space="preserve">Permissions granulaires (par type de contenu / action)</t>
  </si>
  <si>
    <t xml:space="preserve">Policies Laravel + Shield</t>
  </si>
  <si>
    <t xml:space="preserve">Permissions par champ</t>
  </si>
  <si>
    <t xml:space="preserve">Filament visible()/disabled() selon policy</t>
  </si>
  <si>
    <t xml:space="preserve">Permissions par entrée / propriétaire</t>
  </si>
  <si>
    <t xml:space="preserve">Policies Laravel</t>
  </si>
  <si>
    <t xml:space="preserve">Utilisateurs front-end (inscription, profils, espace membre)</t>
  </si>
  <si>
    <t xml:space="preserve">Laravel Fortify / starter kits</t>
  </si>
  <si>
    <t xml:space="preserve">Authentification 2FA</t>
  </si>
  <si>
    <t xml:space="preserve">Filament MFA (natif v4)</t>
  </si>
  <si>
    <t xml:space="preserve">SSO / OAuth / SAML / LDAP</t>
  </si>
  <si>
    <t xml:space="preserve">Socialite, LdapRecord, SAML2</t>
  </si>
  <si>
    <t xml:space="preserve">Impersonation (se connecter en tant que)</t>
  </si>
  <si>
    <t xml:space="preserve">Plugin impersonate Filament</t>
  </si>
  <si>
    <t xml:space="preserve">Groupes d'utilisateurs</t>
  </si>
  <si>
    <t xml:space="preserve">Modèle dédié</t>
  </si>
  <si>
    <t xml:space="preserve">Passkeys (WebAuthn)</t>
  </si>
  <si>
    <t xml:space="preserve">Package WebAuthn / passkeys</t>
  </si>
  <si>
    <t xml:space="preserve">Craft, Statamic, Kirby</t>
  </si>
  <si>
    <t xml:space="preserve">Sessions élevées (re-vérification avant action sensible)</t>
  </si>
  <si>
    <t xml:space="preserve">password.confirm middleware Laravel</t>
  </si>
  <si>
    <t xml:space="preserve">Connexion sans mot de passe (lien magique, code)</t>
  </si>
  <si>
    <t xml:space="preserve">URLs signées Laravel</t>
  </si>
  <si>
    <t xml:space="preserve">Kirby, Grav</t>
  </si>
  <si>
    <t xml:space="preserve">Protection de contenu front (mot de passe, IP, connecté)</t>
  </si>
  <si>
    <t xml:space="preserve">Middleware</t>
  </si>
  <si>
    <t xml:space="preserve">Statamic, Sky</t>
  </si>
  <si>
    <t xml:space="preserve">Voir le site / l'admin en tant qu'un rôle</t>
  </si>
  <si>
    <t xml:space="preserve">Clés API par utilisateur</t>
  </si>
  <si>
    <t xml:space="preserve">Laravel Sanctum</t>
  </si>
  <si>
    <t xml:space="preserve">Sessions actives révocables</t>
  </si>
  <si>
    <t xml:space="preserve">Driver de session database</t>
  </si>
  <si>
    <t xml:space="preserve">Accès restreint par langue ou par site</t>
  </si>
  <si>
    <t xml:space="preserve">Policies</t>
  </si>
  <si>
    <t xml:space="preserve">Payload, October</t>
  </si>
  <si>
    <t xml:space="preserve">Plusieurs populations d'utilisateurs authentifiés (admin, membres, clients)</t>
  </si>
  <si>
    <t xml:space="preserve">Guards Laravel</t>
  </si>
  <si>
    <t xml:space="preserve">Protection contre l'énumération d'utilisateurs</t>
  </si>
  <si>
    <t xml:space="preserve">Messages d'erreur génériques</t>
  </si>
  <si>
    <t xml:space="preserve">Statuts de contenu personnalisables</t>
  </si>
  <si>
    <t xml:space="preserve">Enum + config</t>
  </si>
  <si>
    <t xml:space="preserve">Workflow d'approbation / validation</t>
  </si>
  <si>
    <t xml:space="preserve">State machine (ex. spatie/laravel-model-states)</t>
  </si>
  <si>
    <t xml:space="preserve">Assignation de tâches / relecteurs</t>
  </si>
  <si>
    <t xml:space="preserve">Notes / commentaires internes</t>
  </si>
  <si>
    <t xml:space="preserve">Modèle commentaires polymorphe</t>
  </si>
  <si>
    <t xml:space="preserve">Verrouillage d'entrée pendant l'édition</t>
  </si>
  <si>
    <t xml:space="preserve">Plugin edit-lock Filament / cache lock</t>
  </si>
  <si>
    <t xml:space="preserve">Édition collaborative en temps réel</t>
  </si>
  <si>
    <t xml:space="preserve">Reverb + Yjs : impossible en mutualisé, option serveur uniquement</t>
  </si>
  <si>
    <t xml:space="preserve">Automatisations no-code événement → condition → action</t>
  </si>
  <si>
    <t xml:space="preserve">Events + jobs Laravel</t>
  </si>
  <si>
    <t xml:space="preserve">Drupal (ECA)</t>
  </si>
  <si>
    <t xml:space="preserve">Workflows multi-étapes avec reprises automatiques</t>
  </si>
  <si>
    <t xml:space="preserve">Bus::chain / batch Laravel</t>
  </si>
  <si>
    <t xml:space="preserve">Notifications aux éditeurs (in-app)</t>
  </si>
  <si>
    <t xml:space="preserve">Filament Database Notifications (natif)</t>
  </si>
  <si>
    <t xml:space="preserve">Modèles d'e-mails éditables</t>
  </si>
  <si>
    <t xml:space="preserve">Mailables + templates en base</t>
  </si>
  <si>
    <t xml:space="preserve">Configuration SMTP / transports mail</t>
  </si>
  <si>
    <t xml:space="preserve">Laravel Mail (natif)</t>
  </si>
  <si>
    <t xml:space="preserve">Newsletters / listes de diffusion</t>
  </si>
  <si>
    <t xml:space="preserve">Intégration externe</t>
  </si>
  <si>
    <t xml:space="preserve">Webhooks sortants sur événements</t>
  </si>
  <si>
    <t xml:space="preserve">spatie/laravel-webhook-server</t>
  </si>
  <si>
    <t xml:space="preserve">Multilingue natif</t>
  </si>
  <si>
    <t xml:space="preserve">spatie/laravel-translatable + plugin Filament</t>
  </si>
  <si>
    <t xml:space="preserve">Traduction au niveau des champs</t>
  </si>
  <si>
    <t xml:space="preserve">spatie/laravel-translatable</t>
  </si>
  <si>
    <t xml:space="preserve">Workflow de traduction / statut par langue</t>
  </si>
  <si>
    <t xml:space="preserve">Statut par locale</t>
  </si>
  <si>
    <t xml:space="preserve">Langue de repli (fallback)</t>
  </si>
  <si>
    <t xml:space="preserve">Fallback laravel-translatable</t>
  </si>
  <si>
    <t xml:space="preserve">Multi-site (plusieurs sites, une install)</t>
  </si>
  <si>
    <t xml:space="preserve">Filament multi-tenancy</t>
  </si>
  <si>
    <t xml:space="preserve">Contenu partagé entre sites</t>
  </si>
  <si>
    <t xml:space="preserve">Relations n-n site/contenu</t>
  </si>
  <si>
    <t xml:space="preserve">Langues RTL</t>
  </si>
  <si>
    <t xml:space="preserve">Filament (natif RTL)</t>
  </si>
  <si>
    <t xml:space="preserve">Domaines personnalisés avec vérification DNS et TLS</t>
  </si>
  <si>
    <t xml:space="preserve">Mode SaaS multi-tenant (plans, quotas, facturation)</t>
  </si>
  <si>
    <t xml:space="preserve">Filament tenancy + Cashier</t>
  </si>
  <si>
    <t xml:space="preserve">Détection de la langue du visiteur</t>
  </si>
  <si>
    <t xml:space="preserve">Middleware Accept-Language</t>
  </si>
  <si>
    <t xml:space="preserve">Kirby, October</t>
  </si>
  <si>
    <t xml:space="preserve">Traduction des chaînes d'interface du site depuis l'admin</t>
  </si>
  <si>
    <t xml:space="preserve">Translation loader en base</t>
  </si>
  <si>
    <t xml:space="preserve">Traduction de la configuration et des réglages</t>
  </si>
  <si>
    <t xml:space="preserve">Extensions activables par site</t>
  </si>
  <si>
    <t xml:space="preserve">Permaliens / structure d'URL configurable</t>
  </si>
  <si>
    <t xml:space="preserve">Routes dynamiques + table d'URL</t>
  </si>
  <si>
    <t xml:space="preserve">Slugs automatiques et éditables</t>
  </si>
  <si>
    <t xml:space="preserve">spatie/laravel-sluggable</t>
  </si>
  <si>
    <t xml:space="preserve">URL hiérarchiques (parent/enfant)</t>
  </si>
  <si>
    <t xml:space="preserve">Chemin calculé depuis l'arborescence</t>
  </si>
  <si>
    <t xml:space="preserve">Routes personnalisées déclaratives</t>
  </si>
  <si>
    <t xml:space="preserve">Routing Laravel (natif)</t>
  </si>
  <si>
    <t xml:space="preserve">Gestionnaire de redirections (301/302)</t>
  </si>
  <si>
    <t xml:space="preserve">Table de redirections + middleware</t>
  </si>
  <si>
    <t xml:space="preserve">Redirection auto lors du changement de slug</t>
  </si>
  <si>
    <t xml:space="preserve">Observer Eloquent</t>
  </si>
  <si>
    <t xml:space="preserve">Pages 404 personnalisables / journal des 404</t>
  </si>
  <si>
    <t xml:space="preserve">Handler d'exceptions + log 404</t>
  </si>
  <si>
    <t xml:space="preserve">URL multilingues (préfixe, sous-domaine, domaine)</t>
  </si>
  <si>
    <t xml:space="preserve">Middleware de locale</t>
  </si>
  <si>
    <t xml:space="preserve">URL canoniques</t>
  </si>
  <si>
    <t xml:space="preserve">Composant SEO</t>
  </si>
  <si>
    <t xml:space="preserve">Hiérarchie / fallback de templates</t>
  </si>
  <si>
    <t xml:space="preserve">View::first()</t>
  </si>
  <si>
    <t xml:space="preserve">Layouts et partials</t>
  </si>
  <si>
    <t xml:space="preserve">Blade (natif)</t>
  </si>
  <si>
    <t xml:space="preserve">Composants de vue réutilisables</t>
  </si>
  <si>
    <t xml:space="preserve">Composants Blade (natif)</t>
  </si>
  <si>
    <t xml:space="preserve">Choix du template par entrée</t>
  </si>
  <si>
    <t xml:space="preserve">Champ select de vue</t>
  </si>
  <si>
    <t xml:space="preserve">Variables globales / helpers dans les vues</t>
  </si>
  <si>
    <t xml:space="preserve">View::share / composers (natif)</t>
  </si>
  <si>
    <t xml:space="preserve">Templates éditables depuis l'admin</t>
  </si>
  <si>
    <t xml:space="preserve">Risque sécurité</t>
  </si>
  <si>
    <t xml:space="preserve">Contrôleurs / view models par template</t>
  </si>
  <si>
    <t xml:space="preserve">View composers / contrôleurs Laravel</t>
  </si>
  <si>
    <t xml:space="preserve">Interactivité déclarative côté serveur (AJAX, HTMX, Livewire)</t>
  </si>
  <si>
    <t xml:space="preserve">Livewire (natif TALL)</t>
  </si>
  <si>
    <t xml:space="preserve">October, Drupal, WordPress</t>
  </si>
  <si>
    <t xml:space="preserve">Formats de sortie multiples par page (HTML, JSON, RSS…)</t>
  </si>
  <si>
    <t xml:space="preserve">Routes / responses</t>
  </si>
  <si>
    <t xml:space="preserve">Grav, Kirby</t>
  </si>
  <si>
    <t xml:space="preserve">Bac à sable de templates pour éditeurs</t>
  </si>
  <si>
    <t xml:space="preserve">Craft, Grav</t>
  </si>
  <si>
    <t xml:space="preserve">Système de thèmes</t>
  </si>
  <si>
    <t xml:space="preserve">Namespaces de vues + packages</t>
  </si>
  <si>
    <t xml:space="preserve">Thèmes enfants / héritage</t>
  </si>
  <si>
    <t xml:space="preserve">Cascade de chemins de vues</t>
  </si>
  <si>
    <t xml:space="preserve">Marketplace de thèmes</t>
  </si>
  <si>
    <t xml:space="preserve">Starter kits / sites de démo</t>
  </si>
  <si>
    <t xml:space="preserve">Seeders + starter kit Composer</t>
  </si>
  <si>
    <t xml:space="preserve">Mode headless / découplé</t>
  </si>
  <si>
    <t xml:space="preserve">API Resources</t>
  </si>
  <si>
    <t xml:space="preserve">Génération de site statique (SSG)</t>
  </si>
  <si>
    <t xml:space="preserve">Export HTML (ex. spatie/laravel-export)</t>
  </si>
  <si>
    <t xml:space="preserve">Pipeline d'assets front intégré (Vite, etc.)</t>
  </si>
  <si>
    <t xml:space="preserve">Vite (natif Laravel)</t>
  </si>
  <si>
    <t xml:space="preserve">Styles globaux / design tokens éditables</t>
  </si>
  <si>
    <t xml:space="preserve">Variables CSS + réglages</t>
  </si>
  <si>
    <t xml:space="preserve">WordPress (theme.json), Drupal (Brand Kit)</t>
  </si>
  <si>
    <t xml:space="preserve">Bibliothèque de polices</t>
  </si>
  <si>
    <t xml:space="preserve">Réglages du thème par formulaire dans l'admin</t>
  </si>
  <si>
    <t xml:space="preserve">Filament settings page</t>
  </si>
  <si>
    <t xml:space="preserve">Contenu de démo importable avec un thème</t>
  </si>
  <si>
    <t xml:space="preserve">Seeders</t>
  </si>
  <si>
    <t xml:space="preserve">October, Statamic</t>
  </si>
  <si>
    <t xml:space="preserve">Starter kits modulaires et mettables à jour</t>
  </si>
  <si>
    <t xml:space="preserve">Packages Composer</t>
  </si>
  <si>
    <t xml:space="preserve">Recettes / templates de site composables</t>
  </si>
  <si>
    <t xml:space="preserve">Commandes d'installation</t>
  </si>
  <si>
    <t xml:space="preserve">Meta title / description par entrée</t>
  </si>
  <si>
    <t xml:space="preserve">Champs SEO communs (ralphjsmit/laravel-seo)</t>
  </si>
  <si>
    <t xml:space="preserve">Open Graph / Twitter cards</t>
  </si>
  <si>
    <t xml:space="preserve">Sitemap XML automatique</t>
  </si>
  <si>
    <t xml:space="preserve">spatie/laravel-sitemap</t>
  </si>
  <si>
    <t xml:space="preserve">Données structurées (schema.org / JSON-LD)</t>
  </si>
  <si>
    <t xml:space="preserve">spatie/schema-org</t>
  </si>
  <si>
    <t xml:space="preserve">Gestion robots.txt / noindex</t>
  </si>
  <si>
    <t xml:space="preserve">Route + champ noindex</t>
  </si>
  <si>
    <t xml:space="preserve">Analyse / score SEO du contenu</t>
  </si>
  <si>
    <t xml:space="preserve">Analyse de contenu</t>
  </si>
  <si>
    <t xml:space="preserve">Hreflang automatique</t>
  </si>
  <si>
    <t xml:space="preserve">Composant SEO multilingue</t>
  </si>
  <si>
    <t xml:space="preserve">Injection de code par site (head, début / fin de body)</t>
  </si>
  <si>
    <t xml:space="preserve">Réglages globaux</t>
  </si>
  <si>
    <t xml:space="preserve">A/B testing de contenu</t>
  </si>
  <si>
    <t xml:space="preserve">API REST</t>
  </si>
  <si>
    <t xml:space="preserve">API Resources Laravel</t>
  </si>
  <si>
    <t xml:space="preserve">API GraphQL</t>
  </si>
  <si>
    <t xml:space="preserve">Lighthouse</t>
  </si>
  <si>
    <t xml:space="preserve">API en lecture et écriture</t>
  </si>
  <si>
    <t xml:space="preserve">Controllers API</t>
  </si>
  <si>
    <t xml:space="preserve">Authentification API (tokens, OAuth)</t>
  </si>
  <si>
    <t xml:space="preserve">Laravel Sanctum / Passport</t>
  </si>
  <si>
    <t xml:space="preserve">Filtrage / pagination / tri via l'API</t>
  </si>
  <si>
    <t xml:space="preserve">spatie/laravel-query-builder</t>
  </si>
  <si>
    <t xml:space="preserve">SDK client officiel</t>
  </si>
  <si>
    <t xml:space="preserve">Client TypeScript généré</t>
  </si>
  <si>
    <t xml:space="preserve">Webhooks de mise à jour du contenu</t>
  </si>
  <si>
    <t xml:space="preserve">Preview headless (brouillons via API)</t>
  </si>
  <si>
    <t xml:space="preserve">Tokens de preview</t>
  </si>
  <si>
    <t xml:space="preserve">API locale typée sans HTTP</t>
  </si>
  <si>
    <t xml:space="preserve">Classes de service / repositories</t>
  </si>
  <si>
    <t xml:space="preserve">Endpoints personnalisés par type de contenu</t>
  </si>
  <si>
    <t xml:space="preserve">Routes Laravel</t>
  </si>
  <si>
    <t xml:space="preserve">Sélection des champs et profondeur de relations dans l'API</t>
  </si>
  <si>
    <t xml:space="preserve">API Resources + includes</t>
  </si>
  <si>
    <t xml:space="preserve">Limites de complexité / profondeur des requêtes</t>
  </si>
  <si>
    <t xml:space="preserve">Documentation OpenAPI / JSON Schema générée</t>
  </si>
  <si>
    <t xml:space="preserve">Scramble (dedoc/scramble)</t>
  </si>
  <si>
    <t xml:space="preserve">TallCMS, Drupal</t>
  </si>
  <si>
    <t xml:space="preserve">Concurrence optimiste (ETag / If-Match)</t>
  </si>
  <si>
    <t xml:space="preserve">CORS configurable</t>
  </si>
  <si>
    <t xml:space="preserve">Config CORS Laravel (natif)</t>
  </si>
  <si>
    <t xml:space="preserve">Négociation de contenu (HTML, JSON, Markdown par page)</t>
  </si>
  <si>
    <t xml:space="preserve">Responses Laravel</t>
  </si>
  <si>
    <t xml:space="preserve">E-commerce natif</t>
  </si>
  <si>
    <t xml:space="preserve">E-commerce via extension officielle</t>
  </si>
  <si>
    <t xml:space="preserve">Lunar en complément</t>
  </si>
  <si>
    <t xml:space="preserve">Paiements (Stripe, PayPal…)</t>
  </si>
  <si>
    <t xml:space="preserve">Laravel Cashier</t>
  </si>
  <si>
    <t xml:space="preserve">Produits numériques / abonnements</t>
  </si>
  <si>
    <t xml:space="preserve">Gestion des taxes / TVA</t>
  </si>
  <si>
    <t xml:space="preserve">Admin conforme WCAG</t>
  </si>
  <si>
    <t xml:space="preserve">Filament</t>
  </si>
  <si>
    <t xml:space="preserve">Vérification d'accessibilité du contenu</t>
  </si>
  <si>
    <t xml:space="preserve">Contrôles à la sauvegarde (alt, titres, contrastes)</t>
  </si>
  <si>
    <t xml:space="preserve">Thèmes front accessibles par défaut</t>
  </si>
  <si>
    <t xml:space="preserve">Thème de base WCAG AA</t>
  </si>
  <si>
    <t xml:space="preserve">Alt text obligatoire / rappels</t>
  </si>
  <si>
    <t xml:space="preserve">Validation sur les médias</t>
  </si>
  <si>
    <t xml:space="preserve">Base de données relationnelle</t>
  </si>
  <si>
    <t xml:space="preserve">Eloquent</t>
  </si>
  <si>
    <t xml:space="preserve">Moteurs supportés (MySQL, PostgreSQL, SQLite…)</t>
  </si>
  <si>
    <t xml:space="preserve">Laravel (natif)</t>
  </si>
  <si>
    <t xml:space="preserve">Mode flat-file</t>
  </si>
  <si>
    <t xml:space="preserve">Choix d'architecture : DB</t>
  </si>
  <si>
    <t xml:space="preserve">Mode hybride (fichiers + DB)</t>
  </si>
  <si>
    <t xml:space="preserve">Contenu versionnable dans Git</t>
  </si>
  <si>
    <t xml:space="preserve">Transactions base de données sur les opérations multiples</t>
  </si>
  <si>
    <t xml:space="preserve">DB::transaction Laravel</t>
  </si>
  <si>
    <t xml:space="preserve">Schémas / blueprints stockés en fichiers</t>
  </si>
  <si>
    <t xml:space="preserve">Classes PHP</t>
  </si>
  <si>
    <t xml:space="preserve">Réglages exportables / importables</t>
  </si>
  <si>
    <t xml:space="preserve">Configuration par environnement (.env)</t>
  </si>
  <si>
    <t xml:space="preserve">Project config / config sync</t>
  </si>
  <si>
    <t xml:space="preserve">Config PHP + migrations</t>
  </si>
  <si>
    <t xml:space="preserve">Sync config entre dev / staging / prod</t>
  </si>
  <si>
    <t xml:space="preserve">Git + migrations</t>
  </si>
  <si>
    <t xml:space="preserve">Sync / migration du contenu</t>
  </si>
  <si>
    <t xml:space="preserve">Export/import de contenu</t>
  </si>
  <si>
    <t xml:space="preserve">Outils de staging intégrés</t>
  </si>
  <si>
    <t xml:space="preserve">Déploiement sans perte du contenu prod</t>
  </si>
  <si>
    <t xml:space="preserve">Contenu en DB, schéma en migrations</t>
  </si>
  <si>
    <t xml:space="preserve">Système de plugins / modules</t>
  </si>
  <si>
    <t xml:space="preserve">Service providers + plugins Filament</t>
  </si>
  <si>
    <t xml:space="preserve">Marketplace d'extensions</t>
  </si>
  <si>
    <t xml:space="preserve">Hooks / événements / filtres</t>
  </si>
  <si>
    <t xml:space="preserve">Events Laravel</t>
  </si>
  <si>
    <t xml:space="preserve">Champs personnalisés en code</t>
  </si>
  <si>
    <t xml:space="preserve">Champs Filament</t>
  </si>
  <si>
    <t xml:space="preserve">Personnalisation de l'admin par code</t>
  </si>
  <si>
    <t xml:space="preserve">Filament Panels</t>
  </si>
  <si>
    <t xml:space="preserve">Widgets / tableaux de bord personnalisés</t>
  </si>
  <si>
    <t xml:space="preserve">Filament Widgets</t>
  </si>
  <si>
    <t xml:space="preserve">Pages admin personnalisées</t>
  </si>
  <si>
    <t xml:space="preserve">Filament Pages</t>
  </si>
  <si>
    <t xml:space="preserve">Double mode : CMS autonome ou plugin d'un panel Filament existant</t>
  </si>
  <si>
    <t xml:space="preserve">Plugin Filament</t>
  </si>
  <si>
    <t xml:space="preserve">Installation d'extensions depuis l'admin</t>
  </si>
  <si>
    <t xml:space="preserve">Composer depuis l'admin : peu fiable en mutualisé</t>
  </si>
  <si>
    <t xml:space="preserve">Drupal, TallCMS, Grav</t>
  </si>
  <si>
    <t xml:space="preserve">Dépendances déclarées entre extensions</t>
  </si>
  <si>
    <t xml:space="preserve">Composer</t>
  </si>
  <si>
    <t xml:space="preserve">WordPress, Grav</t>
  </si>
  <si>
    <t xml:space="preserve">Gestion des licences d'extensions</t>
  </si>
  <si>
    <t xml:space="preserve">Kirby, TallCMS</t>
  </si>
  <si>
    <t xml:space="preserve">Actions personnalisées sur les contenus (menu d'actions)</t>
  </si>
  <si>
    <t xml:space="preserve">Filament Actions (natif)</t>
  </si>
  <si>
    <t xml:space="preserve">Modèles et ressources surchargeables ou désactivables</t>
  </si>
  <si>
    <t xml:space="preserve">Config + container Laravel</t>
  </si>
  <si>
    <t xml:space="preserve">Sky</t>
  </si>
  <si>
    <t xml:space="preserve">Registre de capacités exposées aux agents IA</t>
  </si>
  <si>
    <t xml:space="preserve">laravel/mcp</t>
  </si>
  <si>
    <t xml:space="preserve">WordPress (Abilities API), Grav (mcp.yaml)</t>
  </si>
  <si>
    <t xml:space="preserve">Cache de pages complet</t>
  </si>
  <si>
    <t xml:space="preserve">spatie/laravel-responsecache (pilote fichier)</t>
  </si>
  <si>
    <t xml:space="preserve">Cache de fragments / requêtes</t>
  </si>
  <si>
    <t xml:space="preserve">Cache Laravel</t>
  </si>
  <si>
    <t xml:space="preserve">Cache statique (HTML pré-généré)</t>
  </si>
  <si>
    <t xml:space="preserve">HTML pré-généré servi par Apache/.htaccess, idéal en mutualisé</t>
  </si>
  <si>
    <t xml:space="preserve">Invalidation intelligente du cache</t>
  </si>
  <si>
    <t xml:space="preserve">Events + clés de cache versionnées (pas de tags : pilotes file/database)</t>
  </si>
  <si>
    <t xml:space="preserve">Lazy loading des images</t>
  </si>
  <si>
    <t xml:space="preserve">loading=lazy dans les composants</t>
  </si>
  <si>
    <t xml:space="preserve">Intégration CDN</t>
  </si>
  <si>
    <t xml:space="preserve">ASSET_URL / disque CDN</t>
  </si>
  <si>
    <t xml:space="preserve">Optimisation des requêtes (eager loading, etc.)</t>
  </si>
  <si>
    <t xml:space="preserve">Eloquent + preventLazyLoading</t>
  </si>
  <si>
    <t xml:space="preserve">Cache par tags avec invalidation fine</t>
  </si>
  <si>
    <t xml:space="preserve">Cache tags Laravel : Redis requis, donc option serveur</t>
  </si>
  <si>
    <t xml:space="preserve">Préchauffage du cache</t>
  </si>
  <si>
    <t xml:space="preserve">Commande Artisan</t>
  </si>
  <si>
    <t xml:space="preserve">Préchargement spéculatif des liens</t>
  </si>
  <si>
    <t xml:space="preserve">Speculation Rules API</t>
  </si>
  <si>
    <t xml:space="preserve">Pilote de cache Redis</t>
  </si>
  <si>
    <t xml:space="preserve">Laravel natif, optionnel (fichier/DB par défaut)</t>
  </si>
  <si>
    <t xml:space="preserve">Kirby, Payload, Laravel</t>
  </si>
  <si>
    <t xml:space="preserve">Planificateur de tâches (cron)</t>
  </si>
  <si>
    <t xml:space="preserve">Planificateur hybride : cron, URL appelée par l'hébergeur (15 min), déclenchement par visites via defer()</t>
  </si>
  <si>
    <t xml:space="preserve">Files d'attente / jobs asynchrones</t>
  </si>
  <si>
    <t xml:space="preserve">Queue database vidée par lots bornés en temps par le planificateur hybride</t>
  </si>
  <si>
    <t xml:space="preserve">Traitements lourds en arrière-plan (images, imports)</t>
  </si>
  <si>
    <t xml:space="preserve">Jobs courts et découpés (limites mémoire/temps du mutualisé)</t>
  </si>
  <si>
    <t xml:space="preserve">Mises à jour de sécurité régulières / politique de divulgation</t>
  </si>
  <si>
    <t xml:space="preserve">SECURITY.md + process</t>
  </si>
  <si>
    <t xml:space="preserve">Protection CSRF / XSS natives</t>
  </si>
  <si>
    <t xml:space="preserve">Limitation des tentatives de connexion</t>
  </si>
  <si>
    <t xml:space="preserve">RateLimiter Laravel</t>
  </si>
  <si>
    <t xml:space="preserve">Journal d'audit (activité utilisateurs)</t>
  </si>
  <si>
    <t xml:space="preserve">spatie/laravel-activitylog</t>
  </si>
  <si>
    <t xml:space="preserve">Gestion des politiques de mot de passe</t>
  </si>
  <si>
    <t xml:space="preserve">Rules\Password Laravel</t>
  </si>
  <si>
    <t xml:space="preserve">Headers de sécurité / CSP</t>
  </si>
  <si>
    <t xml:space="preserve">spatie/laravel-csp</t>
  </si>
  <si>
    <t xml:space="preserve">Sanitization des uploads</t>
  </si>
  <si>
    <t xml:space="preserve">Validation mimes + rendu sûr des SVG</t>
  </si>
  <si>
    <t xml:space="preserve">CLI dédiée</t>
  </si>
  <si>
    <t xml:space="preserve">Artisan</t>
  </si>
  <si>
    <t xml:space="preserve">Scaffolding / générateurs de code</t>
  </si>
  <si>
    <t xml:space="preserve">Commandes make:*</t>
  </si>
  <si>
    <t xml:space="preserve">Migrations de base de données</t>
  </si>
  <si>
    <t xml:space="preserve">Seeders / fixtures</t>
  </si>
  <si>
    <t xml:space="preserve">Factories / seeders Laravel</t>
  </si>
  <si>
    <t xml:space="preserve">Suite de tests / helpers de tests</t>
  </si>
  <si>
    <t xml:space="preserve">Pest + helpers CMS</t>
  </si>
  <si>
    <t xml:space="preserve">Debug bar / outils de profilage</t>
  </si>
  <si>
    <t xml:space="preserve">Telescope / Debugbar</t>
  </si>
  <si>
    <t xml:space="preserve">Typage / autocomplétion IDE</t>
  </si>
  <si>
    <t xml:space="preserve">Classes typées, ide-helper</t>
  </si>
  <si>
    <t xml:space="preserve">Documentation développeur complète</t>
  </si>
  <si>
    <t xml:space="preserve">Outils de migration automatique entre versions majeures</t>
  </si>
  <si>
    <t xml:space="preserve">Rector</t>
  </si>
  <si>
    <t xml:space="preserve">Payload, Grav</t>
  </si>
  <si>
    <t xml:space="preserve">Environnement Docker / DDEV fourni</t>
  </si>
  <si>
    <t xml:space="preserve">Laravel Sail</t>
  </si>
  <si>
    <t xml:space="preserve">Générateur visuel d'extensions</t>
  </si>
  <si>
    <t xml:space="preserve">October (Builder)</t>
  </si>
  <si>
    <t xml:space="preserve">Intégration du monitoring d'erreurs</t>
  </si>
  <si>
    <t xml:space="preserve">Sentry / Flare</t>
  </si>
  <si>
    <t xml:space="preserve">Payload (Sentry)</t>
  </si>
  <si>
    <t xml:space="preserve">Installeur web</t>
  </si>
  <si>
    <t xml:space="preserve">Assistant d'installation</t>
  </si>
  <si>
    <t xml:space="preserve">Installation via Composer / CLI</t>
  </si>
  <si>
    <t xml:space="preserve">composer create-project + commande install</t>
  </si>
  <si>
    <t xml:space="preserve">Mises à jour en un clic depuis l'admin</t>
  </si>
  <si>
    <t xml:space="preserve">Mises à jour via Composer</t>
  </si>
  <si>
    <t xml:space="preserve">Mises à jour automatiques</t>
  </si>
  <si>
    <t xml:space="preserve">Mode maintenance</t>
  </si>
  <si>
    <t xml:space="preserve">php artisan down (natif)</t>
  </si>
  <si>
    <t xml:space="preserve">Compatibilité hébergement mutualisé</t>
  </si>
  <si>
    <t xml:space="preserve">Queue database + cron, cache fichier/DB, aucun process permanent</t>
  </si>
  <si>
    <t xml:space="preserve">Rollback automatique d'une mise à jour échouée</t>
  </si>
  <si>
    <t xml:space="preserve">Mode de récupération / safe mode (extensions désactivées)</t>
  </si>
  <si>
    <t xml:space="preserve">WordPress, Craft</t>
  </si>
  <si>
    <t xml:space="preserve">Sauvegardes planifiées</t>
  </si>
  <si>
    <t xml:space="preserve">spatie/laravel-backup</t>
  </si>
  <si>
    <t xml:space="preserve">Diagnostic de santé du site</t>
  </si>
  <si>
    <t xml:space="preserve">spatie/laravel-health</t>
  </si>
  <si>
    <t xml:space="preserve">WordPress (Site Health), TallCMS</t>
  </si>
  <si>
    <t xml:space="preserve">Bac à sable de démo en ligne</t>
  </si>
  <si>
    <t xml:space="preserve">WordPress (Playground)</t>
  </si>
  <si>
    <t xml:space="preserve">Assistance à la rédaction IA</t>
  </si>
  <si>
    <t xml:space="preserve">Prism PHP / SDK LLM</t>
  </si>
  <si>
    <t xml:space="preserve">Traduction automatique IA</t>
  </si>
  <si>
    <t xml:space="preserve">Prism PHP / DeepL</t>
  </si>
  <si>
    <t xml:space="preserve">Génération d'alt text IA</t>
  </si>
  <si>
    <t xml:space="preserve">Modèle vision via Prism</t>
  </si>
  <si>
    <t xml:space="preserve">Recherche sémantique / vectorielle</t>
  </si>
  <si>
    <t xml:space="preserve">pgvector / Meilisearch hybride</t>
  </si>
  <si>
    <t xml:space="preserve">Intégration MCP / agents IA</t>
  </si>
  <si>
    <t xml:space="preserve">llms.txt généré automatiquement</t>
  </si>
  <si>
    <t xml:space="preserve">Route dédiée</t>
  </si>
  <si>
    <t xml:space="preserve">Grav, TallCMS</t>
  </si>
  <si>
    <t xml:space="preserve">Version Markdown de chaque page pour les agents</t>
  </si>
  <si>
    <t xml:space="preserve">Convertisseur HTML → Markdown</t>
  </si>
  <si>
    <t xml:space="preserve">Guidelines de développement pour agents IA</t>
  </si>
  <si>
    <t xml:space="preserve">Laravel Boost</t>
  </si>
  <si>
    <t xml:space="preserve">Statamic (Laravel Boost)</t>
  </si>
  <si>
    <t xml:space="preserve">Outils RGPD (export / suppression de données)</t>
  </si>
  <si>
    <t xml:space="preserve">Package GDPR / commandes dédiées</t>
  </si>
  <si>
    <t xml:space="preserve">Bannière de consentement cookies</t>
  </si>
  <si>
    <t xml:space="preserve">Composant consentement</t>
  </si>
  <si>
    <t xml:space="preserve">Politique de confidentialité générée / gérée</t>
  </si>
  <si>
    <t xml:space="preserve">Page modèle nLPD / RGPD</t>
  </si>
  <si>
    <t xml:space="preserve">Anonymisation des données</t>
  </si>
  <si>
    <t xml:space="preserve">Jobs planifiés</t>
  </si>
  <si>
    <t xml:space="preserve">Rétention des données configurable</t>
  </si>
  <si>
    <t xml:space="preserve">Model::prunable() Laravel</t>
  </si>
  <si>
    <t xml:space="preserve">Tableau de bord admin</t>
  </si>
  <si>
    <t xml:space="preserve">Filament Dashboard</t>
  </si>
  <si>
    <t xml:space="preserve">Statistiques de visite intégrées</t>
  </si>
  <si>
    <t xml:space="preserve">Intégration Plausible / Matomo API</t>
  </si>
  <si>
    <t xml:space="preserve">Intégration Google Analytics / Matomo / Plausible</t>
  </si>
  <si>
    <t xml:space="preserve">Réglage d'injection</t>
  </si>
  <si>
    <t xml:space="preserve">Rapports de contenu (obsolète, liens cassés)</t>
  </si>
  <si>
    <t xml:space="preserve">Admin responsive / mobile</t>
  </si>
  <si>
    <t xml:space="preserve">Filament (natif)</t>
  </si>
  <si>
    <t xml:space="preserve">Mode sombre</t>
  </si>
  <si>
    <t xml:space="preserve">White-label / personnalisation de la marque</t>
  </si>
  <si>
    <t xml:space="preserve">Filament brandName / colors</t>
  </si>
  <si>
    <t xml:space="preserve">Interface traduite (dont français)</t>
  </si>
  <si>
    <t xml:space="preserve">Filament traduit (FR, DE, IT…)</t>
  </si>
  <si>
    <t xml:space="preserve">Navigation admin personnalisable</t>
  </si>
  <si>
    <t xml:space="preserve">Filament navigation</t>
  </si>
  <si>
    <t xml:space="preserve">Recherche globale / command palette</t>
  </si>
  <si>
    <t xml:space="preserve">Filament global search / plugin spotlight</t>
  </si>
  <si>
    <t xml:space="preserve">Actions groupées (bulk)</t>
  </si>
  <si>
    <t xml:space="preserve">Filament BulkActions (natif)</t>
  </si>
  <si>
    <t xml:space="preserve">Import / export de contenu (CSV, JSON, XML)</t>
  </si>
  <si>
    <t xml:space="preserve">Filament Import/Export (natif)</t>
  </si>
  <si>
    <t xml:space="preserve">Importeur depuis un autre CMS (WordPress…)</t>
  </si>
  <si>
    <t xml:space="preserve">Importeur WXR / API REST WordPress</t>
  </si>
  <si>
    <t xml:space="preserve">Vues de liste enregistrées et partageables</t>
  </si>
  <si>
    <t xml:space="preserve">Plugin Filament / tabs de table</t>
  </si>
  <si>
    <t xml:space="preserve">Payload, Craft</t>
  </si>
  <si>
    <t xml:space="preserve">Groupement dans les listes</t>
  </si>
  <si>
    <t xml:space="preserve">Filament Table groups (natif)</t>
  </si>
  <si>
    <t xml:space="preserve">Préférences personnelles (apparence, accessibilité)</t>
  </si>
  <si>
    <t xml:space="preserve">Statamic, Payload, Grav, Craft</t>
  </si>
  <si>
    <t xml:space="preserve">Avertissement avant suppression d'un contenu référencé</t>
  </si>
  <si>
    <t xml:space="preserve">Relations inverses</t>
  </si>
  <si>
    <t xml:space="preserve">Utilitaires d'administration (cache, e-mail de test, files d'attente)</t>
  </si>
  <si>
    <t xml:space="preserve">Pages Filament</t>
  </si>
  <si>
    <t xml:space="preserve">Liens contextuels du front vers l'édition</t>
  </si>
  <si>
    <t xml:space="preserve">Barre d'admin front</t>
  </si>
  <si>
    <t xml:space="preserve">Navigation dans l'arborescence (arbre, colonnes)</t>
  </si>
  <si>
    <t xml:space="preserve">Plugin tree Filament</t>
  </si>
  <si>
    <t xml:space="preserve">Application mobile</t>
  </si>
  <si>
    <t xml:space="preserve">Politique de support des versions publiée</t>
  </si>
  <si>
    <t xml:space="preserve">Hébergement managé officiel</t>
  </si>
  <si>
    <t xml:space="preserve">Craft (Cloud)</t>
  </si>
  <si>
    <t xml:space="preserve">Licence de développement / essai gratuit illimité en local</t>
  </si>
  <si>
    <t xml:space="preserve">Navigation et menus</t>
  </si>
  <si>
    <t xml:space="preserve">Constructeur de menus arborescents</t>
  </si>
  <si>
    <t xml:space="preserve">Plugin menu Filament ou nested set</t>
  </si>
  <si>
    <t xml:space="preserve">Statamic, Drupal, WordPress, TallCMS, Sky</t>
  </si>
  <si>
    <t xml:space="preserve">Emplacements de menus multiples</t>
  </si>
  <si>
    <t xml:space="preserve">Config</t>
  </si>
  <si>
    <t xml:space="preserve">TallCMS, WordPress</t>
  </si>
  <si>
    <t xml:space="preserve">Types d'éléments de menu extensibles (entrée, URL, texte, personnalisé)</t>
  </si>
  <si>
    <t xml:space="preserve">Mega menus et règles de visibilité</t>
  </si>
  <si>
    <t xml:space="preserve">Blog et interactions</t>
  </si>
  <si>
    <t xml:space="preserve">Commentaires avec modération</t>
  </si>
  <si>
    <t xml:space="preserve">Package commentaires</t>
  </si>
  <si>
    <t xml:space="preserve">WordPress, TallCMS, October</t>
  </si>
  <si>
    <t xml:space="preserve">Flux RSS / Atom automatiques</t>
  </si>
  <si>
    <t xml:space="preserve">spatie/laravel-feed</t>
  </si>
  <si>
    <t xml:space="preserve">Pages auteur avec profil</t>
  </si>
  <si>
    <t xml:space="preserve">TallCMS, Sky</t>
  </si>
  <si>
    <t xml:space="preserve">Contenus liés automatiques</t>
  </si>
  <si>
    <t xml:space="preserve">Requête par taxonomies</t>
  </si>
  <si>
    <t xml:space="preserve">Mise en avant temporisée (sticky avec expiration)</t>
  </si>
  <si>
    <t xml:space="preserve">Champ date</t>
  </si>
  <si>
    <t xml:space="preserve">Sky, TallCMS</t>
  </si>
  <si>
    <t xml:space="preserve">Modération des contenus soumis par les visiteurs</t>
  </si>
  <si>
    <t xml:space="preserve">Nb natif</t>
  </si>
  <si>
    <t xml:space="preserve">Nb dispo (natif+officiel)</t>
  </si>
  <si>
    <t xml:space="preserve">Moteur de templates (lequel)</t>
  </si>
  <si>
    <t xml:space="preserve">Modèle de prix (gratuit / payant / freemium)</t>
  </si>
  <si>
    <t xml:space="preserve">Nombre d'extensions disponibles</t>
  </si>
  <si>
    <t xml:space="preserve">Étoiles GitHub / popularité</t>
  </si>
  <si>
    <t xml:space="preserve">Fréquence des releases</t>
  </si>
  <si>
    <t xml:space="preserve">Qualité de la documentation</t>
  </si>
  <si>
    <t xml:space="preserve">Support commercial disponible</t>
  </si>
  <si>
    <t xml:space="preserve">Taille de la communauté (forum, Discord)</t>
  </si>
  <si>
    <t xml:space="preserve">Statut</t>
  </si>
  <si>
    <t xml:space="preserve">Détail</t>
  </si>
  <si>
    <t xml:space="preserve">Source</t>
  </si>
  <si>
    <t xml:space="preserve">Secure Custom Fields (plugin WordPress.org, gratuit) permet d'enregistrer types de contenu et taxonomies via l'admin ; le cœur l'exige en code.</t>
  </si>
  <si>
    <t xml:space="preserve">https://wordpress.org/plugins/secure-custom-fields/</t>
  </si>
  <si>
    <t xml:space="preserve">Types de contenu (bundles de nœuds) créés et configurés depuis Structure &gt; Types de contenu.</t>
  </si>
  <si>
    <t xml:space="preserve">https://www.drupal.org/docs/user_guide/en/structure-content-type.html</t>
  </si>
  <si>
    <t xml:space="preserve">Sections (Single, Channel, Structure) et types d'entrées globaux créés depuis Paramètres, sans code.</t>
  </si>
  <si>
    <t xml:space="preserve">https://craftcms.com/docs/5.x/reference/element-types/entries.html</t>
  </si>
  <si>
    <t xml:space="preserve">Les types (templates) se définissent par fichiers blueprints YAML/PHP ; aucun éditeur de schéma dans le Panel.</t>
  </si>
  <si>
    <t xml:space="preserve">https://getkirby.com/docs/guide/blueprints/introduction</t>
  </si>
  <si>
    <t xml:space="preserve">Collections, taxonomies, globals et blueprints créables depuis le Control Panel, illimités même en Core.</t>
  </si>
  <si>
    <t xml:space="preserve">https://statamic.dev/content-modeling/collections</t>
  </si>
  <si>
    <t xml:space="preserve">Tailor crée types, tables et formulaires sans PHP, mais via blueprints YAML écrits dans l'éditeur backend ; pas de constructeur visuel.</t>
  </si>
  <si>
    <t xml:space="preserve">https://docs.octobercms.com/4.x/cms/tailor/introduction.html</t>
  </si>
  <si>
    <t xml:space="preserve">Types de pages et collections Flex définis par blueprints YAML ; aucun éditeur visuel de types dans Admin2.</t>
  </si>
  <si>
    <t xml:space="preserve">https://github.com/trilbymedia/grav-plugin-flex-objects</t>
  </si>
  <si>
    <t xml:space="preserve">Les collections se déclarent uniquement en TypeScript dans payload.config ; aucun constructeur de schéma dans l'admin.</t>
  </si>
  <si>
    <t xml:space="preserve">https://payloadcms.com/docs/configuration/collections</t>
  </si>
  <si>
    <t xml:space="preserve">Seulement deux types fixes (Pages et Articles) ; aucun constructeur de types de contenu dans l'admin.</t>
  </si>
  <si>
    <t xml:space="preserve">https://github.com/tallcms/tallcms/blob/main/docs/site-pages-posts.md</t>
  </si>
  <si>
    <t xml:space="preserve">Types figés : articles, pages, FAQ, bibliothèque ; aucun constructeur de types depuis l'admin.</t>
  </si>
  <si>
    <t xml:space="preserve">https://larazeus.com/docs/sky/v5/introduction</t>
  </si>
  <si>
    <t xml:space="preserve">register_post_type() et register_taxonomy() en PHP dans un plugin ou thème, donc versionnables dans Git.</t>
  </si>
  <si>
    <t xml:space="preserve">https://developer.wordpress.org/plugins/post-types/registering-custom-post-types/</t>
  </si>
  <si>
    <t xml:space="preserve">Configuration exportée en YAML (config sync) et entités/bundles définis en PHP via attributs ; recettes pour distribuer des modèles.</t>
  </si>
  <si>
    <t xml:space="preserve">https://www.drupal.org/docs/configuration-management</t>
  </si>
  <si>
    <t xml:space="preserve">Tout le schéma (sections, champs, layouts) est sérialisé en YAML dans config/project, versionnable dans Git.</t>
  </si>
  <si>
    <t xml:space="preserve">https://craftcms.com/docs/5.x/system/project-config.html</t>
  </si>
  <si>
    <t xml:space="preserve">Blueprints YAML ou PHP dans site/blueprints, versionnables dans Git avec le reste du projet.</t>
  </si>
  <si>
    <t xml:space="preserve">Collections et blueprints sont des fichiers YAML (resources/blueprints, content/collections) versionnables dans Git.</t>
  </si>
  <si>
    <t xml:space="preserve">https://statamic.dev/content-modeling/blueprints</t>
  </si>
  <si>
    <t xml:space="preserve">Blueprints Tailor en fichiers YAML (app/blueprints, thème ou plugin), versionnables dans Git, appliqués via tailor:migrate.</t>
  </si>
  <si>
    <t xml:space="preserve">https://docs.octobercms.com/4.x/cms/tailor/blueprints.html</t>
  </si>
  <si>
    <t xml:space="preserve">Blueprints YAML par template de page dans le thème ou plugin, versionnables dans Git.</t>
  </si>
  <si>
    <t xml:space="preserve">https://learn.getgrav.org/20/forms/blueprints/fields-available</t>
  </si>
  <si>
    <t xml:space="preserve">Collections et globals définis en TypeScript dans la config, versionnés avec le code de l'application.</t>
  </si>
  <si>
    <t xml:space="preserve">Pas d'API de types de contenu : il faut créer modèle Eloquent et Resource Filament soi-même (natif Laravel/Filament).</t>
  </si>
  <si>
    <t xml:space="preserve">https://github.com/tallcms/tallcms/blob/main/docs/ref-architecture.md</t>
  </si>
  <si>
    <t xml:space="preserve">Pas de déclaration de types ; on étend les modèles Eloquent et ressources Filament fournis, migrations versionnées.</t>
  </si>
  <si>
    <t xml:space="preserve">https://larazeus.com/docs/sky/v5/advanced/models</t>
  </si>
  <si>
    <t xml:space="preserve">Le cœur n'offre que des métadonnées brutes (clé/valeur) ; Secure Custom Fields, fork d'ACF maintenu par WordPress.org, fournit plus de 30 types.</t>
  </si>
  <si>
    <t xml:space="preserve">Field API : texte, nombre, date, booléen, lien, fichier, image, e-mail, liste, référence d'entité, etc. ; extensible par plugins.</t>
  </si>
  <si>
    <t xml:space="preserve">https://www.drupal.org/docs/user_guide/en/structure-fields.html</t>
  </si>
  <si>
    <t xml:space="preserve">26 types natifs : Matrix, Link, Money, Addresses, Icon, Color, Range, Table, Content Block, Entries, Assets, etc.</t>
  </si>
  <si>
    <t xml:space="preserve">https://craftcms.com/docs/5.x/reference/field-types/</t>
  </si>
  <si>
    <t xml:space="preserve">35 types de champs natifs : blocks, layout, structure, object, entries, writer, link, color, pages, files, users…</t>
  </si>
  <si>
    <t xml:space="preserve">https://getkirby.com/docs/reference/panel/fields</t>
  </si>
  <si>
    <t xml:space="preserve">Bibliothèque de 48 fieldtypes (Bard, Replicator, Grid, Entries, Assets, Dictionary, Video, Icon…).</t>
  </si>
  <si>
    <t xml:space="preserve">https://statamic.dev/fieldtypes/all-fieldtypes</t>
  </si>
  <si>
    <t xml:space="preserve">Une trentaine de champs et widgets : texte, rich editor, markdown, repeater, fileupload, mediafinder, datatable, taglist, currency, etc.</t>
  </si>
  <si>
    <t xml:space="preserve">https://docs.octobercms.com/4.x/element/form-fields.html</t>
  </si>
  <si>
    <t xml:space="preserve">Une quarantaine de types de champs blueprint : list, media, pages, taxonomy, datetime, colorpicker, iconpicker, filepicker…</t>
  </si>
  <si>
    <t xml:space="preserve">Une vingtaine de types : text, number, date, select, relationship, upload, json, code, point, richText, blocks, array, etc.</t>
  </si>
  <si>
    <t xml:space="preserve">https://payloadcms.com/docs/fields/overview</t>
  </si>
  <si>
    <t xml:space="preserve">Aucun champ personnalisé sur pages/articles ; seuls les blocs exposent les champs de formulaire Filament.</t>
  </si>
  <si>
    <t xml:space="preserve">https://github.com/tallcms/tallcms/blob/main/docs/dev-blocks.md</t>
  </si>
  <si>
    <t xml:space="preserve">Champs codés en dur dans les ressources ; l'ajout passe par une ressource Filament personnalisée.</t>
  </si>
  <si>
    <t xml:space="preserve">https://github.com/lara-zeus/sky/blob/main/src/Filament/Resources/PostResource.php</t>
  </si>
  <si>
    <t xml:space="preserve">Champs Repeater, Group et Flexible Content inclus gratuitement dans Secure Custom Fields.</t>
  </si>
  <si>
    <t xml:space="preserve">Champs multi-valeurs natifs ; groupes répétables via Paragraphs (Entity Reference Revisions), regroupement visuel via Field Group.</t>
  </si>
  <si>
    <t xml:space="preserve">https://www.drupal.org/project/paragraphs</t>
  </si>
  <si>
    <t xml:space="preserve">Matrix (entrées imbriquées), Table et Content Block (groupe de champs non répétable, 5.8) couvrent les groupes et répétitions.</t>
  </si>
  <si>
    <t xml:space="preserve">https://craftcms.com/docs/5.x/reference/field-types/matrix.html</t>
  </si>
  <si>
    <t xml:space="preserve">Champs structure (lignes répétables), object (groupe), entries (5.0, valeurs multiples) et groupes de champs réutilisables.</t>
  </si>
  <si>
    <t xml:space="preserve">Fieldtypes Grid (lignes répétables), Group, Replicator (sets ordonnables) et Table.</t>
  </si>
  <si>
    <t xml:space="preserve">https://statamic.dev/fieldtypes/replicator</t>
  </si>
  <si>
    <t xml:space="preserve">Widget repeater (modes accordéon ou builder) avec groupes de champs, et champ nesteditems pour sous-enregistrements.</t>
  </si>
  <si>
    <t xml:space="preserve">https://docs.octobercms.com/4.x/element/form/widget-repeater.html</t>
  </si>
  <si>
    <t xml:space="preserve">Champ list (min/max, tri, réduction) et fieldset/columns pour grouper des sous-champs.</t>
  </si>
  <si>
    <t xml:space="preserve">Champs array (répétables) et group, plus champs de mise en page row, collapsible et tabs.</t>
  </si>
  <si>
    <t xml:space="preserve">https://payloadcms.com/docs/fields/array</t>
  </si>
  <si>
    <t xml:space="preserve">Repeater Filament disponible dans les blocs (natif Filament), pas sur les entrées elles-mêmes.</t>
  </si>
  <si>
    <t xml:space="preserve">Aucun champ répétable exposé ; seul le Repeater natif de Filament dans une ressource réécrite.</t>
  </si>
  <si>
    <t xml:space="preserve">Champs Relationship, Post Object, Taxonomy et User de Secure Custom Fields ; aucune relation typée dans le cœur.</t>
  </si>
  <si>
    <t xml:space="preserve">Champ référence d'entité, mono ou multi-valeur, vers nœuds, termes, médias, utilisateurs ou toute entité.</t>
  </si>
  <si>
    <t xml:space="preserve">https://www.drupal.org/docs/user_guide/en/structure-reference-fields.html</t>
  </si>
  <si>
    <t xml:space="preserve">Champs relationnels Entries, Assets, Categories, Tags, Users avec limites min/max et sources filtrées par conditions.</t>
  </si>
  <si>
    <t xml:space="preserve">https://craftcms.com/docs/5.x/system/relations.html</t>
  </si>
  <si>
    <t xml:space="preserve">Champs pages, files et users stockant des UUID ; multiples sélections pour relations n-n.</t>
  </si>
  <si>
    <t xml:space="preserve">https://getkirby.com/docs/reference/panel/fields/pages</t>
  </si>
  <si>
    <t xml:space="preserve">13 fieldtypes relationnels (Entries, Terms, Users, Assets…) stockant des ID, résolus automatiquement en front.</t>
  </si>
  <si>
    <t xml:space="preserve">https://statamic.dev/content-modeling/relationships</t>
  </si>
  <si>
    <t xml:space="preserve">Champ « entries » de Tailor reliant des blueprints, avec maxItems et modes relation, recordfinder, taglist ou controller.</t>
  </si>
  <si>
    <t xml:space="preserve">https://docs.octobercms.com/4.x/element/content/field-entries.html</t>
  </si>
  <si>
    <t xml:space="preserve">Champ pages pour référencer des pages ; relations entre objets Flex définies en PHP, pas de champ relationnel générique.</t>
  </si>
  <si>
    <t xml:space="preserve">Champ relationship avec hasMany et relations polymorphes vers plusieurs collections.</t>
  </si>
  <si>
    <t xml:space="preserve">https://payloadcms.com/docs/fields/relationship</t>
  </si>
  <si>
    <t xml:space="preserve">Relations figées : page parente, catégories n-n des articles, collections média ; pas de champ relation générique.</t>
  </si>
  <si>
    <t xml:space="preserve">Seulement auteur, page parente et tags/catégories polymorphes (spatie/laravel-tags) ; pas de champ relation générique.</t>
  </si>
  <si>
    <t xml:space="preserve">https://github.com/lara-zeus/sky/blob/main/src/Models/Post.php</t>
  </si>
  <si>
    <t xml:space="preserve">Secure Custom Fields gère les relations bidirectionnelles synchronisées (filtre scf/bidirectional/allow_target).</t>
  </si>
  <si>
    <t xml:space="preserve">Relations inverses exploitables dans Views (reverse relationship) ; synchronisation bidirectionnelle des champs via Corresponding Entity References.</t>
  </si>
  <si>
    <t xml:space="preserve">https://www.drupal.org/project/cer</t>
  </si>
  <si>
    <t xml:space="preserve">Requêtes inverses via le paramètre relatedTo (sourceElement/targetElement), mais pas de champ inverse éditable synchronisé.</t>
  </si>
  <si>
    <t xml:space="preserve">Pas de relation inverse automatique ; se code via filtres de collection ou méthodes de page (plugins type Usage Reference).</t>
  </si>
  <si>
    <t xml:space="preserve">https://getkirby.com/docs/guide/uuids</t>
  </si>
  <si>
    <t xml:space="preserve">Pas de relation inverse native ; addons Reverse Relationships (cboxdk) ou Relationships (Stillat) pour synchroniser/afficher l'inverse.</t>
  </si>
  <si>
    <t xml:space="preserve">https://statamic.com/addons/cboxdk/reverse-relationships</t>
  </si>
  <si>
    <t xml:space="preserve">Option inverse du champ entries pour déclarer la relation réciproque depuis le blueprint lié.</t>
  </si>
  <si>
    <t xml:space="preserve">Aucune relation inverse automatique ; à coder via collections Twig ou classes Flex.</t>
  </si>
  <si>
    <t xml:space="preserve">Champ virtuel join qui affiche et interroge les documents liés en sens inverse.</t>
  </si>
  <si>
    <t xml:space="preserve">https://payloadcms.com/docs/fields/join</t>
  </si>
  <si>
    <t xml:space="preserve">Uniquement via les relations Eloquent codées (catégorie vers articles, enfants d'une page) ; rien de configurable.</t>
  </si>
  <si>
    <t xml:space="preserve">https://github.com/tallcms/tallcms/blob/main/docs/dev-api.md</t>
  </si>
  <si>
    <t xml:space="preserve">Le modèle Tag expose les relations inverses vers articles, bibliothèque et FAQ.</t>
  </si>
  <si>
    <t xml:space="preserve">https://github.com/lara-zeus/sky/blob/main/src/Models/Tag.php</t>
  </si>
  <si>
    <t xml:space="preserve">Catégories, étiquettes et taxonomies personnalisées hiérarchiques ou plates via register_taxonomy().</t>
  </si>
  <si>
    <t xml:space="preserve">https://developer.wordpress.org/plugins/taxonomies/</t>
  </si>
  <si>
    <t xml:space="preserve">Module Taxonomy : vocabulaires illimités, termes hiérarchiques, champs sur les termes.</t>
  </si>
  <si>
    <t xml:space="preserve">https://www.drupal.org/docs/user_guide/en/structure-taxonomy.html</t>
  </si>
  <si>
    <t xml:space="preserve">Groupes de catégories hiérarchiques et groupes de tags ; les commandes entrify permettent de les convertir en sections.</t>
  </si>
  <si>
    <t xml:space="preserve">https://craftcms.com/docs/5.x/reference/element-types/categories.html</t>
  </si>
  <si>
    <t xml:space="preserve">Pas de taxonomie dédiée : champs tags/multiselect ou pages servant de catégories, filtrage par collection.</t>
  </si>
  <si>
    <t xml:space="preserve">https://getkirby.com/docs/reference/panel/fields/tags</t>
  </si>
  <si>
    <t xml:space="preserve">Taxonomies illimitées avec blueprints de termes, partagées entre collections et routables.</t>
  </si>
  <si>
    <t xml:space="preserve">https://statamic.dev/content-modeling/taxonomies</t>
  </si>
  <si>
    <t xml:space="preserve">Pas de taxonomie dédiée : on modélise catégories/tags comme blueprints structure/entry reliés par champ entries.</t>
  </si>
  <si>
    <t xml:space="preserve">Types de taxonomie libres déclarés dans site.yaml, filtres d'URL /tag:valeur et champ taxonomy.</t>
  </si>
  <si>
    <t xml:space="preserve">https://learn.getgrav.org/20/content/headers</t>
  </si>
  <si>
    <t xml:space="preserve">Pas de taxonomie dédiée : on crée une collection catégories reliée par relationship (modèle du template website).</t>
  </si>
  <si>
    <t xml:space="preserve">Catégories hiérarchiques pour les articles seulement ; ni tags ni vocabulaires personnalisés.</t>
  </si>
  <si>
    <t xml:space="preserve">Tags et catégories via spatie/laravel-tags ; types de tags configurables avec tagTypes() du plugin.</t>
  </si>
  <si>
    <t xml:space="preserve">https://larazeus.com/docs/sky/v5/getting-started/configuration</t>
  </si>
  <si>
    <t xml:space="preserve">Pages et types déclarés hierarchical=true disposent d'un parent et d'un ordre de menu.</t>
  </si>
  <si>
    <t xml:space="preserve">https://developer.wordpress.org/reference/functions/register_post_type/</t>
  </si>
  <si>
    <t xml:space="preserve">Hiérarchie native pour termes et menus ; module Book retiré du cœur en 11, arbres de nœuds via Entity Hierarchy.</t>
  </si>
  <si>
    <t xml:space="preserve">https://www.drupal.org/project/entity_hierarchy</t>
  </si>
  <si>
    <t xml:space="preserve">Sections de type Structure avec glisser-déposer, niveaux maximum et requêtes ancestors/descendants.</t>
  </si>
  <si>
    <t xml:space="preserve">Les pages sont des dossiers imbriqués ; arborescence illimitée, déplacement via dialogue d'arbre de pages (4.0).</t>
  </si>
  <si>
    <t xml:space="preserve">https://getkirby.com/releases/4</t>
  </si>
  <si>
    <t xml:space="preserve">Collections « orderable » structurées en arbre (structures) avec max_depth et montage de collections.</t>
  </si>
  <si>
    <t xml:space="preserve">https://statamic.dev/content-modeling/structures</t>
  </si>
  <si>
    <t xml:space="preserve">Type de blueprint « structure » : arbre parent/enfant, glisser-déposer, maxDepth, fullslug.</t>
  </si>
  <si>
    <t xml:space="preserve">L'arborescence des dossiers de user/pages définit la hiérarchie et l'ordre (préfixes numériques).</t>
  </si>
  <si>
    <t xml:space="preserve">Plugin @payloadcms/plugin-nested-docs : champ parent et breadcrumbs générés automatiquement.</t>
  </si>
  <si>
    <t xml:space="preserve">https://payloadcms.com/docs/plugins/nested-docs</t>
  </si>
  <si>
    <t xml:space="preserve">Pages parent/enfant avec ordre de tri et fil d'Ariane ; catégories imbriquées (nested set).</t>
  </si>
  <si>
    <t xml:space="preserve">Pages avec page parente (parent_id) et ordre manuel ; affichage des pages enfants côté front.</t>
  </si>
  <si>
    <t xml:space="preserve">https://github.com/lara-zeus/sky/blob/main/src/Filament/Resources/PageResource.php</t>
  </si>
  <si>
    <t xml:space="preserve">Groupes de champs Secure Custom Fields assignables par règles de localisation et réutilisables via le champ Clone.</t>
  </si>
  <si>
    <t xml:space="preserve">Stockage de champ réutilisable entre bundles ; vrais ensembles réutilisables via types de Paragraphs.</t>
  </si>
  <si>
    <t xml:space="preserve">https://www.drupal.org/docs/user_guide/en/structure-field-reuse.html</t>
  </si>
  <si>
    <t xml:space="preserve">Types d'entrées globaux réutilisables entre sections et Matrix, champs multi-instances et champ Content Block réutilisable.</t>
  </si>
  <si>
    <t xml:space="preserve">Mécanisme extends pour champs, groupes, sections, onglets et layouts partagés ; blueprints PHP dynamiques.</t>
  </si>
  <si>
    <t xml:space="preserve">https://getkirby.com/docs/guide/blueprints/extending-blueprints</t>
  </si>
  <si>
    <t xml:space="preserve">Fieldsets importables dans plusieurs blueprints avec préfixe et sections préservées ou aplaties.</t>
  </si>
  <si>
    <t xml:space="preserve">https://statamic.dev/content-modeling/fieldsets</t>
  </si>
  <si>
    <t xml:space="preserve">Blueprints de type mixin importés dans d'autres blueprints via un champ mixin.</t>
  </si>
  <si>
    <t xml:space="preserve">https://docs.octobercms.com/4.x/element/content/field-mixin.html</t>
  </si>
  <si>
    <t xml:space="preserve">Blueprints extensibles via extends@ et import@, plus fichier frontmatter.yaml partagé par dossier.</t>
  </si>
  <si>
    <t xml:space="preserve">Les champs sont des objets TS réutilisables ; blockReferences permet de partager des blocs définis une seule fois.</t>
  </si>
  <si>
    <t xml:space="preserve">https://payloadcms.com/docs/fields/blocks</t>
  </si>
  <si>
    <t xml:space="preserve">Aucune notion de fieldset ou blueprint réutilisable ; les traits PHP des blocs sont le seul partage.</t>
  </si>
  <si>
    <t xml:space="preserve">Aucun mécanisme de fieldsets ; uniquement la composition de schémas Filament en code.</t>
  </si>
  <si>
    <t xml:space="preserve">Pages d'options de Secure Custom Fields ; le cœur propose seulement la Settings API en code.</t>
  </si>
  <si>
    <t xml:space="preserve">Formulaires de configuration codés par module ; singletons éditables par contributeurs via Config Pages.</t>
  </si>
  <si>
    <t xml:space="preserve">https://www.drupal.org/project/config_pages</t>
  </si>
  <si>
    <t xml:space="preserve">Sections Single pour pages uniques et Global Sets pour réglages partagés accessibles partout dans Twig.</t>
  </si>
  <si>
    <t xml:space="preserve">https://craftcms.com/docs/5.x/reference/element-types/globals.html</t>
  </si>
  <si>
    <t xml:space="preserve">Objet $site avec son propre blueprint site.yml pour les réglages globaux ; pages uniques possibles.</t>
  </si>
  <si>
    <t xml:space="preserve">https://getkirby.com/docs/reference/panel/blueprints/site</t>
  </si>
  <si>
    <t xml:space="preserve">Global sets éditables dans le CP, accessibles partout dans les templates, localisables.</t>
  </si>
  <si>
    <t xml:space="preserve">https://statamic.dev/content-modeling/globals</t>
  </si>
  <si>
    <t xml:space="preserve">Blueprints global (réglages site, multisite possible) et single (entrée unique type page d'accueil).</t>
  </si>
  <si>
    <t xml:space="preserve">site.yaml et configuration de thème éditables comme réglages globaux, exposés à Twig.</t>
  </si>
  <si>
    <t xml:space="preserve">https://learn.getgrav.org/17/basics/grav-configuration</t>
  </si>
  <si>
    <t xml:space="preserve">Globals : documents uniques (header, footer, réglages) avec versions et accès propres.</t>
  </si>
  <si>
    <t xml:space="preserve">https://payloadcms.com/docs/configuration/globals</t>
  </si>
  <si>
    <t xml:space="preserve">Pages Site Settings et Global Defaults (identité, branding, contact, réseaux sociaux, maintenance) avec héritage.</t>
  </si>
  <si>
    <t xml:space="preserve">https://github.com/tallcms/tallcms/blob/main/docs/site-settings.md</t>
  </si>
  <si>
    <t xml:space="preserve">Réglages limités au fichier config zeus.php (titre, description, couleur) ; pas d'écran de réglages.</t>
  </si>
  <si>
    <t xml:space="preserve">https://github.com/lara-zeus/sky/blob/main/config/zeus-sky.php</t>
  </si>
  <si>
    <t xml:space="preserve">Champs obligatoires et validation dans Secure Custom Fields ; register_meta() permet un schéma JSON côté REST.</t>
  </si>
  <si>
    <t xml:space="preserve">Champs obligatoires, cardinalité, limites, et contraintes Symfony Validator sur entités et champs.</t>
  </si>
  <si>
    <t xml:space="preserve">https://www.drupal.org/docs/drupal-apis/entity-api/entity-validation-api</t>
  </si>
  <si>
    <t xml:space="preserve">Champs obligatoires par layout, limites par type (min/max, longueur) et validation personnalisée via événements ; action Valider (5.8).</t>
  </si>
  <si>
    <t xml:space="preserve">https://craftcms.com/docs/5.x/system/drafts-revisions.html</t>
  </si>
  <si>
    <t xml:space="preserve">Options required, min/max, pattern et validate (validateurs intégrés ou personnalisés) par champ.</t>
  </si>
  <si>
    <t xml:space="preserve">https://getkirby.com/docs/guide/blueprints/fields</t>
  </si>
  <si>
    <t xml:space="preserve">Toutes les règles de validation Laravel par champ, plus règles UniqueEntryValue/UniqueTermValue et règles custom.</t>
  </si>
  <si>
    <t xml:space="preserve">https://statamic.dev/content-modeling/validation</t>
  </si>
  <si>
    <t xml:space="preserve">Propriété validation par champ avec règles Laravel (required, min, unique…), messages et noms d'attributs personnalisés.</t>
  </si>
  <si>
    <t xml:space="preserve">https://docs.octobercms.com/4.x/cms/tailor/content-fields.html</t>
  </si>
  <si>
    <t xml:space="preserve">validate.required, pattern regex, type (email, int, slug…), min/max et message personnalisé.</t>
  </si>
  <si>
    <t xml:space="preserve">required, unique, min/max et fonctions validate personnalisées exécutées côté serveur et client.</t>
  </si>
  <si>
    <t xml:space="preserve">https://payloadcms.com/docs/fields/overview#validation</t>
  </si>
  <si>
    <t xml:space="preserve">Règles de validation Filament/Laravel dans les formulaires et blocs (natif Filament).</t>
  </si>
  <si>
    <t xml:space="preserve">Règles de validation Filament (required, maxLength, unique, règle de slug traduit unique).</t>
  </si>
  <si>
    <t xml:space="preserve">Logique conditionnelle par champ dans Secure Custom Fields.</t>
  </si>
  <si>
    <t xml:space="preserve">Module Conditional Fields (états #states de Form API côté développeur).</t>
  </si>
  <si>
    <t xml:space="preserve">https://www.drupal.org/project/conditional_fields</t>
  </si>
  <si>
    <t xml:space="preserve">Conditions de visibilité et d'éditabilité par champ/onglet du layout, basées sur l'entrée ou l'utilisateur courant.</t>
  </si>
  <si>
    <t xml:space="preserve">https://craftcms.com/docs/5.x/system/fields.html</t>
  </si>
  <si>
    <t xml:space="preserve">Option when native mais uniquement conditions ET sur égalité de valeur ; logique complexe via plugin.</t>
  </si>
  <si>
    <t xml:space="preserve">Conditions if/unless/if_any avec opérateurs riches et fonctions JS personnalisées, aussi en formulaires front.</t>
  </si>
  <si>
    <t xml:space="preserve">https://statamic.dev/control-panel/conditional-fields</t>
  </si>
  <si>
    <t xml:space="preserve">Propriété trigger (show/hide/enable/disable/fill selon valeur d'un autre champ) et dependsOn pour recharger un champ.</t>
  </si>
  <si>
    <t xml:space="preserve">Champ elements qui affiche des sous-champs selon une valeur déclencheuse, et attribut toggleable ; pas de règles libres.</t>
  </si>
  <si>
    <t xml:space="preserve">Propriété admin.condition sur chaque champ, évaluée selon les données du document et des frères.</t>
  </si>
  <si>
    <t xml:space="preserve">https://payloadcms.com/docs/fields/overview#conditional-logic</t>
  </si>
  <si>
    <t xml:space="preserve">Visibilité réactive Filament (visible(fn Get)) utilisée dans les blocs ; natif Filament, réservé au code.</t>
  </si>
  <si>
    <t xml:space="preserve">https://github.com/tallcms/tallcms/tree/main/packages/tallcms/cms/src/Filament/Blocks/ContactFormBlock.php</t>
  </si>
  <si>
    <t xml:space="preserve">Utilisé en interne (mot de passe si statut privé, image upload ou URL) ; pas configurable sans code.</t>
  </si>
  <si>
    <t xml:space="preserve">Aucun type de champ calculé ; réalisable uniquement en code via les hooks save_post ou les filtres de valeur.</t>
  </si>
  <si>
    <t xml:space="preserve">https://developer.wordpress.org/reference/hooks/save_post/</t>
  </si>
  <si>
    <t xml:space="preserve">Champs calculés définis en code (computed base fields) ; création sans code via Computed Field.</t>
  </si>
  <si>
    <t xml:space="preserve">https://www.drupal.org/project/computed_field</t>
  </si>
  <si>
    <t xml:space="preserve">Generated Fields (5.8) : valeurs calculées par template Twig, stockées, triables et affichables dans les index.</t>
  </si>
  <si>
    <t xml:space="preserve">https://github.com/craftcms/cms/blob/5.x/CHANGELOG.md</t>
  </si>
  <si>
    <t xml:space="preserve">Pas de champ calculé stocké ; valeurs dérivées via query language dans blueprints, page models ou champ info/stats.</t>
  </si>
  <si>
    <t xml:space="preserve">https://getkirby.com/docs/guide/blueprints/query-language</t>
  </si>
  <si>
    <t xml:space="preserve">Computed values définies en PHP sur collections ou users, affichées en lecture seule dans le CP.</t>
  </si>
  <si>
    <t xml:space="preserve">https://statamic.dev/content-modeling/computed-values</t>
  </si>
  <si>
    <t xml:space="preserve">Option preset (slug généré depuis le titre) et dependsOn avec code PHP ; pas de champ calculé déclaratif dans Tailor.</t>
  </si>
  <si>
    <t xml:space="preserve">Pas de champ calculé ; valeurs dérivées à produire en Twig ou via un plugin.</t>
  </si>
  <si>
    <t xml:space="preserve">Champs virtual et hooks de champ (beforeChange, afterRead) pour calculer des valeurs.</t>
  </si>
  <si>
    <t xml:space="preserve">https://payloadcms.com/docs/fields/overview#virtual-fields</t>
  </si>
  <si>
    <t xml:space="preserve">Uniquement en code (afterStateUpdated Filament, ex. slug dérivé du titre, temps de lecture calculé).</t>
  </si>
  <si>
    <t xml:space="preserve">https://github.com/tallcms/tallcms/tree/main/packages/tallcms/cms/src/Filament/Resources/CmsPages/Schemas/CmsPageForm.php</t>
  </si>
  <si>
    <t xml:space="preserve">Seuls quelques attributs calculés (slug depuis le titre, require_password) ; rien de configurable.</t>
  </si>
  <si>
    <t xml:space="preserve">Éditeur de blocs Gutenberg (rich text) ; l'éditeur classique TinyMCE reste disponible via le bloc Classique.</t>
  </si>
  <si>
    <t xml:space="preserve">https://wordpress.org/documentation/article/wordpress-block-editor/</t>
  </si>
  <si>
    <t xml:space="preserve">CKEditor 5 intégré, formats de texte configurables, liens vers contenus par autocomplétion (11.3), plein écran (11.4).</t>
  </si>
  <si>
    <t xml:space="preserve">https://www.drupal.org/docs/core-modules-and-themes/core-modules/ckeditor5-module</t>
  </si>
  <si>
    <t xml:space="preserve">Plugin CKEditor 5 gratuit de Pixel &amp; Tonic, barres d'outils configurables et entrées imbriquées dans le texte.</t>
  </si>
  <si>
    <t xml:space="preserve">https://plugins.craftcms.com/ckeditor</t>
  </si>
  <si>
    <t xml:space="preserve">Champ writer (ProseMirror) pour texte riche, marques et nœuds extensibles ; textarea avec barre Markdown/KirbyText.</t>
  </si>
  <si>
    <t xml:space="preserve">https://getkirby.com/docs/reference/panel/fields/writer</t>
  </si>
  <si>
    <t xml:space="preserve">Fieldtype Bard basé sur TipTap/ProseMirror, barre d'outils configurable, tableaux, liens, plein écran.</t>
  </si>
  <si>
    <t xml:space="preserve">https://statamic.dev/fieldtypes/bard</t>
  </si>
  <si>
    <t xml:space="preserve">Rich Editor basé sur Froala, barres d'outils configurables et boutons personnalisés enregistrables.</t>
  </si>
  <si>
    <t xml:space="preserve">https://docs.octobercms.com/4.x/element/form/widget-richeditor.html</t>
  </si>
  <si>
    <t xml:space="preserve">Payant : Editor Pro (75 $), éditeur WYSIWYM TipTap/ProseMirror ; l'éditeur par défaut est Markdown (CodeMirror).</t>
  </si>
  <si>
    <t xml:space="preserve">https://premium.getgrav.org/l/grav-premium-editor-pro</t>
  </si>
  <si>
    <t xml:space="preserve">Éditeur Lexical (@payloadcms/richtext-lexical) extensible par features, stocké en JSON.</t>
  </si>
  <si>
    <t xml:space="preserve">https://payloadcms.com/docs/rich-text/overview</t>
  </si>
  <si>
    <t xml:space="preserve">CmsRichEditor basé sur le RichEditor Tiptap de Filament, avec insertion depuis la médiathèque.</t>
  </si>
  <si>
    <t xml:space="preserve">https://github.com/tallcms/tallcms/blob/main/docs/ref-rich-editor.md</t>
  </si>
  <si>
    <t xml:space="preserve">RichEditor de Filament (TipTap) par défaut, TinyEditor possible ; éditeur configurable dans zeus-sky.php.</t>
  </si>
  <si>
    <t xml:space="preserve">https://larazeus.com/docs/sky/v5/getting-started/editor</t>
  </si>
  <si>
    <t xml:space="preserve">Gutenberg pour articles, pages et Site Editor complet (templates, styles globaux) pour thèmes de blocs.</t>
  </si>
  <si>
    <t xml:space="preserve">https://developer.wordpress.org/block-editor/</t>
  </si>
  <si>
    <t xml:space="preserve">Layout Builder natif ; Drupal Canvas (ex-Experience Builder), constructeur visuel de l'initiative Drupal CMS, en module.</t>
  </si>
  <si>
    <t xml:space="preserve">https://www.drupal.org/docs/core-modules-and-themes/core-modules/layout-builder-module</t>
  </si>
  <si>
    <t xml:space="preserve">Champ Matrix en modes blocs inline, cartes ou grille de cartes, pour composer des pages par blocs typés.</t>
  </si>
  <si>
    <t xml:space="preserve">Champ blocks et champ layout (colonnes) avec 11 blocs natifs (texte, image, galerie, code, tableau…).</t>
  </si>
  <si>
    <t xml:space="preserve">https://getkirby.com/docs/guide/page-builder</t>
  </si>
  <si>
    <t xml:space="preserve">Replicator et sets Bard permettent de composer des pages par blocs ordonnables avec aperçus.</t>
  </si>
  <si>
    <t xml:space="preserve">Repeater en displayMode builder avec groupes, utilisable comme constructeur de sections ; pas d'éditeur de blocs visuel type Gutenberg.</t>
  </si>
  <si>
    <t xml:space="preserve">Payant : Editor Pro fournit un éditeur par blocs ; sinon pages modulaires (une page = plusieurs modules).</t>
  </si>
  <si>
    <t xml:space="preserve">Champ blocks pour construire des pages en layouts de blocs typés, réordonnables par glisser-déposer.</t>
  </si>
  <si>
    <t xml:space="preserve">Blocs personnalisés insérés dans l'éditeur rich text ; 19 blocs core stylés daisyUI, panneau latéral et outline.</t>
  </si>
  <si>
    <t xml:space="preserve">https://github.com/tallcms/tallcms/blob/main/docs/site-blocks.md</t>
  </si>
  <si>
    <t xml:space="preserve">Contenu monobloc dans un éditeur ; aucun page builder ni Builder Filament prévu.</t>
  </si>
  <si>
    <t xml:space="preserve">block.json + JS/React, ou depuis 7.0 blocs PHP uniquement avec contrôles d'inspecteur générés automatiquement.</t>
  </si>
  <si>
    <t xml:space="preserve">https://make.wordpress.org/core/2026/05/14/wordpress-7-0-field-guide/</t>
  </si>
  <si>
    <t xml:space="preserve">Plugins de bloc PHP et Single Directory Components (SDC) avec props/slots, utilisables dans Canvas.</t>
  </si>
  <si>
    <t xml:space="preserve">https://www.drupal.org/docs/develop/theming-drupal/using-single-directory-components</t>
  </si>
  <si>
    <t xml:space="preserve">Chaque bloc Matrix est un type d'entrée avec son propre layout de champs, défini en admin ou via project config.</t>
  </si>
  <si>
    <t xml:space="preserve">Blocs custom via blueprints de fieldsets, snippets de rendu et aperçus Vue optionnels.</t>
  </si>
  <si>
    <t xml:space="preserve">https://getkirby.com/docs/reference/panel/fields/blocks</t>
  </si>
  <si>
    <t xml:space="preserve">Sets définis en YAML/CP avec n'importe quels champs, rendus via partials par type de set.</t>
  </si>
  <si>
    <t xml:space="preserve">Groupes de repeater définis en YAML et snippets (partials ou composants) insérables dans le rich editor.</t>
  </si>
  <si>
    <t xml:space="preserve">https://docs.octobercms.com/4.x/cms/themes/snippets.html</t>
  </si>
  <si>
    <t xml:space="preserve">Modules de pages modulaires et shortcodes personnalisés (Shortcode Core) définis par template Twig et blueprint.</t>
  </si>
  <si>
    <t xml:space="preserve">https://github.com/getgrav/grav-plugin-shortcode-core</t>
  </si>
  <si>
    <t xml:space="preserve">Chaque bloc est défini en code avec ses champs, son slug, sa miniature et ses composants admin.</t>
  </si>
  <si>
    <t xml:space="preserve">Commande make:tallcms-block générant classe RichContentCustomBlock + vue Blade, auto-découverte.</t>
  </si>
  <si>
    <t xml:space="preserve">Pas de blocs ; parseurs de contenu configurables (ex. balise &lt;bolt&gt; injectant un formulaire).</t>
  </si>
  <si>
    <t xml:space="preserve">https://github.com/lara-zeus/sky/blob/main/src/Classes/BoltParser.php</t>
  </si>
  <si>
    <t xml:space="preserve">InnerBlocks : Groupe, Colonnes, Onglets (7.1) et tout bloc personnalisé peuvent contenir d'autres blocs.</t>
  </si>
  <si>
    <t xml:space="preserve">https://developer.wordpress.org/block-editor/how-to-guides/block-tutorial/nested-blocks-inner-blocks/</t>
  </si>
  <si>
    <t xml:space="preserve">Sections et régions de Layout Builder ; slots de composants imbriqués dans Canvas.</t>
  </si>
  <si>
    <t xml:space="preserve">https://project.pages.drupalcode.org/canvas/sdc-components/slots</t>
  </si>
  <si>
    <t xml:space="preserve">Les entrées imbriquées peuvent elles-mêmes contenir des champs Matrix, sans limite de profondeur.</t>
  </si>
  <si>
    <t xml:space="preserve">Un bloc peut contenir un champ blocks ou structure ; recette officielle de bloc imbriqué avec aperçu.</t>
  </si>
  <si>
    <t xml:space="preserve">Grid et Replicator imbricables dans des sets Bard ou Replicator.</t>
  </si>
  <si>
    <t xml:space="preserve">Repeaters imbriqués et références parent (^) dans les triggers ; nested forms dans les groupes.</t>
  </si>
  <si>
    <t xml:space="preserve">Shortcodes imbricables, mais les pages modulaires n'ont qu'un niveau de modules.</t>
  </si>
  <si>
    <t xml:space="preserve">Les blocs peuvent contenir des champs blocks ou array ; blocs aussi insérables dans le rich text Lexical.</t>
  </si>
  <si>
    <t xml:space="preserve">https://payloadcms.com/docs/rich-text/blocks</t>
  </si>
  <si>
    <t xml:space="preserve">Les blocs sont des nœuds atomiques Tiptap configurés par modal ; pas d'imbrication de blocs dans des blocs.</t>
  </si>
  <si>
    <t xml:space="preserve">Pas de système de blocs.</t>
  </si>
  <si>
    <t xml:space="preserve">Compositions synchronisées (ex-blocs réutilisables) avec Pattern Overrides pour contenus variables par instance.</t>
  </si>
  <si>
    <t xml:space="preserve">https://wordpress.org/documentation/article/reusable-blocks/</t>
  </si>
  <si>
    <t xml:space="preserve">Blocs de contenu réutilisables (bibliothèque de blocs) synchronisés ; les patterns Canvas sont en revanche des copies indépendantes.</t>
  </si>
  <si>
    <t xml:space="preserve">https://www.drupal.org/docs/user_guide/en/block-create-custom.html</t>
  </si>
  <si>
    <t xml:space="preserve">Pas de patterns synchronisés natifs ; contournement courant via un champ Entries pointant vers des entrées « composants ».</t>
  </si>
  <si>
    <t xml:space="preserve">https://craftcms.com/docs/5.x/reference/field-types/entries.html</t>
  </si>
  <si>
    <t xml:space="preserve">Pas de blocs synchronisés natifs ; plugins Block Reference (tearoom1) ou kirby-global-blocks (tobimori).</t>
  </si>
  <si>
    <t xml:space="preserve">https://packagist.org/packages/tobimori/kirby-global-blocks</t>
  </si>
  <si>
    <t xml:space="preserve">Sets réutilisables via import de fieldsets (schéma), mais pas de blocs de contenu synchronisés ; contournement par entrées liées.</t>
  </si>
  <si>
    <t xml:space="preserve">Snippets et content blocks réutilisables partout, mais pas de bibliothèque de blocs de contenu synchronisés gérée par l'éditeur.</t>
  </si>
  <si>
    <t xml:space="preserve">Plugin Page Inject (gratuit) pour insérer le contenu d'une autre page, mis à jour partout.</t>
  </si>
  <si>
    <t xml:space="preserve">https://github.com/getgrav/grav-plugin-page-inject</t>
  </si>
  <si>
    <t xml:space="preserve">Pas de blocs synchronisés côté éditeur ; il faut une collection de blocs référencée par relationship.</t>
  </si>
  <si>
    <t xml:space="preserve">Duplication de bloc possible mais aucun bloc global synchronisé ni bibliothèque de patterns.</t>
  </si>
  <si>
    <t xml:space="preserve">Aucun bloc réutilisable synchronisé.</t>
  </si>
  <si>
    <t xml:space="preserve">Le Markdown collé est converti en blocs et certains raccourcis Markdown sont reconnus ; pas de stockage Markdown (bloc Markdown via Jetpack).</t>
  </si>
  <si>
    <t xml:space="preserve">https://wordpress.org/documentation/article/keyboard-shortcuts-block-editor/</t>
  </si>
  <si>
    <t xml:space="preserve">Module Markdown (filtre de texte) ; CKEditor 5 accepte seulement l'autoformatage de syntaxe Markdown à la saisie.</t>
  </si>
  <si>
    <t xml:space="preserve">https://www.drupal.org/project/markdown</t>
  </si>
  <si>
    <t xml:space="preserve">Filtre Twig |markdown et élément de layout Markdown ; pas de champ éditeur Markdown natif (plugins tiers).</t>
  </si>
  <si>
    <t xml:space="preserve">https://craftcms.com/docs/5.x/reference/twig/filters.html</t>
  </si>
  <si>
    <t xml:space="preserve">Markdown/KirbyText dans textarea, bloc markdown, extension de contenu .md possible, parseur configurable.</t>
  </si>
  <si>
    <t xml:space="preserve">https://getkirby.com/docs/reference/system/options/markdown</t>
  </si>
  <si>
    <t xml:space="preserve">Fieldtype Markdown dédié, fichiers .md comme contenu et modifier markdown en template.</t>
  </si>
  <si>
    <t xml:space="preserve">https://statamic.dev/frontend/markdown</t>
  </si>
  <si>
    <t xml:space="preserve">Widget markdown editor, filtre Twig |md et content blocks .md.</t>
  </si>
  <si>
    <t xml:space="preserve">https://docs.octobercms.com/4.x/element/form/widget-markdown.html</t>
  </si>
  <si>
    <t xml:space="preserve">Markdown est le format de stockage ; Parsedown Extra, GFM (tâches, autoliens), surlignage et API d'extension de syntaxe.</t>
  </si>
  <si>
    <t xml:space="preserve">https://github.com/getgrav/grav/blob/develop/CHANGELOG.md</t>
  </si>
  <si>
    <t xml:space="preserve">Raccourcis Markdown dans Lexical et convertisseurs Lexical vers/depuis Markdown et MDX.</t>
  </si>
  <si>
    <t xml:space="preserve">https://payloadcms.com/docs/rich-text/converting-markdown</t>
  </si>
  <si>
    <t xml:space="preserve">Aucune saisie ou import Markdown documenté pour le contenu (le Markdown ne sert qu'à la doc).</t>
  </si>
  <si>
    <t xml:space="preserve">MarkdownEditor de Filament sélectionnable comme éditeur de contenu.</t>
  </si>
  <si>
    <t xml:space="preserve">Le Site Editor offre une édition visuelle fidèle au rendu, mais pas d'édition directe sur le site public.</t>
  </si>
  <si>
    <t xml:space="preserve">https://wordpress.org/documentation/article/site-editor/</t>
  </si>
  <si>
    <t xml:space="preserve">Drupal Canvas permet l'édition visuelle de la page ; Settings Tray et Quick Edit retirés du cœur.</t>
  </si>
  <si>
    <t xml:space="preserve">https://www.drupal.org/project/canvas</t>
  </si>
  <si>
    <t xml:space="preserve">Aucune édition sur le front ; seul un lien vers l'écran d'édition du panneau (cpEditUrl) est possible.</t>
  </si>
  <si>
    <t xml:space="preserve">Pas d'édition front native ; plugins Admin Bar/Edit Button pour lier au Panel. Kirby 6 apporte un éditeur live côte à côte.</t>
  </si>
  <si>
    <t xml:space="preserve">https://getkirby.com/releases/6</t>
  </si>
  <si>
    <t xml:space="preserve">Pas d'édition inline native ; seulement des barres de liens vers le CP via addons tiers (Simple Statamic Toolbar).</t>
  </si>
  <si>
    <t xml:space="preserve">https://statamic.com/addons/chrisvasey/simple-statamic-toolbar</t>
  </si>
  <si>
    <t xml:space="preserve">Plugin RainLab.Editable (gratuit) pour content blocks, mais présenté comme preuve de concept et non testé sur v4.</t>
  </si>
  <si>
    <t xml:space="preserve">https://octobercms.com/plugin/rainlab-editable</t>
  </si>
  <si>
    <t xml:space="preserve">Pas d'édition sur le site public ; l'édition passe par Admin2.</t>
  </si>
  <si>
    <t xml:space="preserve">https://github.com/getgrav/grav-plugin-admin2</t>
  </si>
  <si>
    <t xml:space="preserve">Payant : Visual Editor Enterprise annoncé (édition sur la page), encore « coming soon » ; admin-bar seulement en gratuit.</t>
  </si>
  <si>
    <t xml:space="preserve">https://payloadcms.com/enterprise</t>
  </si>
  <si>
    <t xml:space="preserve">Édition uniquement dans le panneau Filament ; aucune édition sur le front.</t>
  </si>
  <si>
    <t xml:space="preserve">Édition uniquement dans le panneau Filament.</t>
  </si>
  <si>
    <t xml:space="preserve">Aperçu des brouillons et modifications non publiées dans un nouvel onglet ; canvas iframé fidèle au thème.</t>
  </si>
  <si>
    <t xml:space="preserve">https://wordpress.org/documentation/article/preview-post/</t>
  </si>
  <si>
    <t xml:space="preserve">Bouton Aperçu des nœuds ; Canvas offre un aperçu en direct pendant l'édition.</t>
  </si>
  <si>
    <t xml:space="preserve">https://www.drupal.org/docs/user_guide/en/content-create.html</t>
  </si>
  <si>
    <t xml:space="preserve">Live Preview en vue partagée rafraîchie à chaque autosave, liens d'aperçu tokenisés partageables ; cibles multiples en Team/Pro.</t>
  </si>
  <si>
    <t xml:space="preserve">Kirby 5 : vue Preview des changements non publiés, mode comparaison, synchro du défilement (5.3).</t>
  </si>
  <si>
    <t xml:space="preserve">https://getkirby.com/releases/5/changes</t>
  </si>
  <si>
    <t xml:space="preserve">Live Preview avec hot-reload, preview targets multiples, fenêtre détachable, disponible en Core.</t>
  </si>
  <si>
    <t xml:space="preserve">https://statamic.dev/control-panel/live-preview</t>
  </si>
  <si>
    <t xml:space="preserve">Bouton Preview Tailor ouvrant la page CMS associée avec jeton de prévisualisation temporaire, brouillons compris.</t>
  </si>
  <si>
    <t xml:space="preserve">https://github.com/octobercms/october/blob/develop/modules/tailor/behaviors/PreviewController.php</t>
  </si>
  <si>
    <t xml:space="preserve">Aperçu Markdown côte à côte et volet de prévisualisation par langue dans plugin Admin2 (gratuit, livré dans le paquet grav-admin).</t>
  </si>
  <si>
    <t xml:space="preserve">https://github.com/getgrav/grav-plugin-admin2/blob/develop/CHANGELOG.md</t>
  </si>
  <si>
    <t xml:space="preserve">Live Preview en iframe synchronisée en temps réel, plus Draft Preview via URL de prévisualisation.</t>
  </si>
  <si>
    <t xml:space="preserve">https://payloadcms.com/docs/live-preview/overview</t>
  </si>
  <si>
    <t xml:space="preserve">Bouton Preview dans le thème réel, plus liens d'aperçu partageables à jetons expirables et révocables.</t>
  </si>
  <si>
    <t xml:space="preserve">https://github.com/tallcms/tallcms/blob/main/docs/ref-publishing.md</t>
  </si>
  <si>
    <t xml:space="preserve">Action « Ouvrir » vers la page publique ; pas d'aperçu de brouillon dédié.</t>
  </si>
  <si>
    <t xml:space="preserve">Aperçu bureau/tablette/mobile dans l'éditeur ; 7.1 ajoute des styles par point de rupture configurable.</t>
  </si>
  <si>
    <t xml:space="preserve">https://wordpress.org/news/2026/08/mary-lou/</t>
  </si>
  <si>
    <t xml:space="preserve">Canvas propose des aperçus mobile, tablette, bureau et grand écran ; rien d'équivalent dans le formulaire classique.</t>
  </si>
  <si>
    <t xml:space="preserve">https://imagexmedia.com/blog/drupal-canvas-tour-content-authoring</t>
  </si>
  <si>
    <t xml:space="preserve">Le Live Preview propose des tailles d'appareil (mobile, tablette, bureau) avec rotation d'orientation.</t>
  </si>
  <si>
    <t xml:space="preserve">https://madebyshape.co.uk/web-design-blog/mastering-craft-cms-live-preview-a-step-by-step-guide/</t>
  </si>
  <si>
    <t xml:space="preserve">Pas de sélecteur d'appareils en 5.x ; Kirby 6 (bêta) permet de détacher l'aperçu dans une autre fenêtre/taille.</t>
  </si>
  <si>
    <t xml:space="preserve">Sélecteur d'appareils dans Live Preview, tailles configurables dans config/statamic/live_preview.php.</t>
  </si>
  <si>
    <t xml:space="preserve">L'aperçu ouvre la page front dans un onglet ; aucun sélecteur d'appareil intégré.</t>
  </si>
  <si>
    <t xml:space="preserve">Aucun aperçu par taille d'écran documenté dans Admin2.</t>
  </si>
  <si>
    <t xml:space="preserve">Option breakpoints du Live Preview : tailles d'appareil sélectionnables dans la barre d'outils.</t>
  </si>
  <si>
    <t xml:space="preserve">https://payloadcms.com/docs/live-preview/overview#breakpoints</t>
  </si>
  <si>
    <t xml:space="preserve">L'aperçu s'ouvre dans un nouvel onglet sans sélecteur de taille d'écran.</t>
  </si>
  <si>
    <t xml:space="preserve">Aucun aperçu par appareil.</t>
  </si>
  <si>
    <t xml:space="preserve">Commande / pour insérer un bloc, raccourcis clavier et palette de commandes Ctrl/Cmd+K dans tout l'admin.</t>
  </si>
  <si>
    <t xml:space="preserve">Raccourcis et autoformatage CKEditor 5 ; pas de slash commands natives ; navigation clavier admin via Coffee.</t>
  </si>
  <si>
    <t xml:space="preserve">https://www.drupal.org/project/coffee</t>
  </si>
  <si>
    <t xml:space="preserve">Raccourcis Cmd+S, Cmd+Shift+S, sélection Shift-clic ; pas de slash commands natives.</t>
  </si>
  <si>
    <t xml:space="preserve">https://craftcms.com/docs/5.x/system/control-panel.html</t>
  </si>
  <si>
    <t xml:space="preserve">Raccourcis clavier dans blocs et writer (ajout 4.0), pas de slash commands natives.</t>
  </si>
  <si>
    <t xml:space="preserve">Raccourcis clavier (⌘K, ⌘S…) et API Statamic.$keys ; pas de slash commands documentées dans Bard.</t>
  </si>
  <si>
    <t xml:space="preserve">https://statamic.dev/control-panel/keyboard-shortcuts</t>
  </si>
  <si>
    <t xml:space="preserve">Raccourcis clavier dans l'éditeur CMS et la barre d'outils document (save, hotkeys) ; pas de slash commands.</t>
  </si>
  <si>
    <t xml:space="preserve">https://octobercms.com/support/article/rn-42</t>
  </si>
  <si>
    <t xml:space="preserve">Admin2 gère des raccourcis clavier et la navigation au clavier ; slash commands non confirmées hors Editor Pro.</t>
  </si>
  <si>
    <t xml:space="preserve">Menu slash et raccourcis clavier (gras, italique…) dans Lexical ; Ctrl+S pour enregistrer.</t>
  </si>
  <si>
    <t xml:space="preserve">https://payloadcms.com/docs/rich-text/official-features</t>
  </si>
  <si>
    <t xml:space="preserve">Commande / façon Notion pour insérer un bloc, navigation clavier, undo ⌘Z sur réordonnancement.</t>
  </si>
  <si>
    <t xml:space="preserve">Raccourcis de l'éditeur TipTap de Filament (gras, listes…) ; pas de slash commands spécifiques à Sky.</t>
  </si>
  <si>
    <t xml:space="preserve">https://filamentphp.com/docs/5.x/forms/rich-editor</t>
  </si>
  <si>
    <t xml:space="preserve">Autosave périodique (révision autosave) et sauvegarde locale du navigateur en cas de perte de connexion.</t>
  </si>
  <si>
    <t xml:space="preserve">https://wordpress.org/documentation/article/revisions/</t>
  </si>
  <si>
    <t xml:space="preserve">Canvas sauvegarde automatiquement ; formulaires classiques via Autosave Form (tiers, inclus dans Drupal CMS).</t>
  </si>
  <si>
    <t xml:space="preserve">Brouillons provisoires créés dès la première modification et sauvegardés automatiquement pendant l'édition.</t>
  </si>
  <si>
    <t xml:space="preserve">Depuis 5.0, les modifications non sauvegardées sont stockées côté serveur (version changes) en continu.</t>
  </si>
  <si>
    <t xml:space="preserve">https://getkirby.com/releases/5</t>
  </si>
  <si>
    <t xml:space="preserve">Aucune sauvegarde automatique documentée ; l'enregistrement est manuel (working copy en Pro).</t>
  </si>
  <si>
    <t xml:space="preserve">https://statamic.dev/content-modeling/revisions</t>
  </si>
  <si>
    <t xml:space="preserve">Les brouillons Tailor sont enregistrés manuellement ; aucune sauvegarde automatique documentée.</t>
  </si>
  <si>
    <t xml:space="preserve">Sauvegarde automatique des pages dans plugin Admin2 (gratuit, livré dans le paquet grav-admin).</t>
  </si>
  <si>
    <t xml:space="preserve">versions.drafts.autosave avec intervalle configurable.</t>
  </si>
  <si>
    <t xml:space="preserve">https://payloadcms.com/docs/versions/autosave</t>
  </si>
  <si>
    <t xml:space="preserve">Aucune autosauvegarde documentée ; révisions créées à l'enregistrement manuel.</t>
  </si>
  <si>
    <t xml:space="preserve">Aucune sauvegarde automatique ; le statut « auto » existe dans l'énum sans logique associée.</t>
  </si>
  <si>
    <t xml:space="preserve">https://github.com/lara-zeus/sky/blob/main/src/Enums/PostStatus.php</t>
  </si>
  <si>
    <t xml:space="preserve">Médiathèque unique (grille/liste), défilement infini par défaut depuis 7.1.</t>
  </si>
  <si>
    <t xml:space="preserve">https://wordpress.org/documentation/article/media-library-screen/</t>
  </si>
  <si>
    <t xml:space="preserve">Modules Media et Media Library : médias réutilisables, widget de sélection, vue grille/tableau.</t>
  </si>
  <si>
    <t xml:space="preserve">https://www.drupal.org/docs/core-modules-and-themes/core-modules/media-library-module</t>
  </si>
  <si>
    <t xml:space="preserve">Éléments Assets répartis en volumes, avec permissions, layouts de champs et index filtrables.</t>
  </si>
  <si>
    <t xml:space="preserve">https://craftcms.com/docs/5.x/reference/element-types/assets.html</t>
  </si>
  <si>
    <t xml:space="preserve">Fichiers rattachés à chaque page/site, pas de médiathèque globale ; centralisation possible via une page dédiée.</t>
  </si>
  <si>
    <t xml:space="preserve">https://getkirby.com/docs/guide/files</t>
  </si>
  <si>
    <t xml:space="preserve">Gestionnaire d'assets par conteneurs avec navigateur, recherche et éditeur d'asset.</t>
  </si>
  <si>
    <t xml:space="preserve">https://statamic.dev/frontend/assets</t>
  </si>
  <si>
    <t xml:space="preserve">Module Media Manager : bibliothèque de fichiers partagée, sélectionnée via le widget mediafinder.</t>
  </si>
  <si>
    <t xml:space="preserve">https://docs.octobercms.com/4.x/cms/media/introduction.html</t>
  </si>
  <si>
    <t xml:space="preserve">Gestionnaire de médias de site (user/media) dans Admin2, en plus des médias rattachés à chaque page.</t>
  </si>
  <si>
    <t xml:space="preserve">Collections upload (ex. media) servant de médiathèque, référencées par champs upload.</t>
  </si>
  <si>
    <t xml:space="preserve">https://payloadcms.com/docs/upload/overview</t>
  </si>
  <si>
    <t xml:space="preserve">Media Library dédiée avec onglets par type, filtres, recherche et insertion dans l'éditeur.</t>
  </si>
  <si>
    <t xml:space="preserve">https://github.com/tallcms/tallcms/blob/main/docs/site-media.md</t>
  </si>
  <si>
    <t xml:space="preserve">Images rattachées à chaque entrée via spatie/laravel-medialibrary ; pas de médiathèque globale (Library = documents publiés).</t>
  </si>
  <si>
    <t xml:space="preserve">Aucun dossier dans le cœur ; extensions FileBird, Real Media Library ou Media Library Folders.</t>
  </si>
  <si>
    <t xml:space="preserve">https://wordpress.org/plugins/filebird/</t>
  </si>
  <si>
    <t xml:space="preserve">Pas de dossiers natifs (classement par champs/taxonomie) ; dossiers via Media Directories.</t>
  </si>
  <si>
    <t xml:space="preserve">https://www.drupal.org/project/media_directories</t>
  </si>
  <si>
    <t xml:space="preserve">Sous-dossiers par volume, déplacement par glisser-déposer et sous-chemins dynamiques par champ Assets.</t>
  </si>
  <si>
    <t xml:space="preserve">Pas de dossiers médias ; organisation par page et templates de fichiers. Plugin Media Manager (kirby-vault).</t>
  </si>
  <si>
    <t xml:space="preserve">https://plugins.getkirby.com/topics/media</t>
  </si>
  <si>
    <t xml:space="preserve">Dossiers dans chaque conteneur, glisser-déposer vers dossiers et fil d'Ariane (6.38).</t>
  </si>
  <si>
    <t xml:space="preserve">Création, renommage et déplacement de dossiers et fichiers dans le Media Manager.</t>
  </si>
  <si>
    <t xml:space="preserve">Création, renommage et suppression de sous-dossiers de médias via Admin2 et l'API.</t>
  </si>
  <si>
    <t xml:space="preserve">https://github.com/getgrav/grav-mcp</t>
  </si>
  <si>
    <t xml:space="preserve">Fonction Folders (bêta) imbriquables, activable par collection.</t>
  </si>
  <si>
    <t xml:space="preserve">https://payloadcms.com/docs/folders/overview</t>
  </si>
  <si>
    <t xml:space="preserve">Collections (étiquettes colorées, n-n) au lieu de dossiers hiérarchiques.</t>
  </si>
  <si>
    <t xml:space="preserve">Éléments de bibliothèque classés par tags de type library ; pas de dossiers.</t>
  </si>
  <si>
    <t xml:space="preserve">https://github.com/lara-zeus/sky/blob/main/src/Filament/Resources/LibraryResource.php</t>
  </si>
  <si>
    <t xml:space="preserve">Éditeur d'image natif (recadrage, rotation, retournement, nouveau modal en 7.1) ; point focal seulement dans le bloc Couverture.</t>
  </si>
  <si>
    <t xml:space="preserve">Effets de recadrage fixes natifs ; point focal via Focal Point (inclus dans Drupal CMS) ou Image Widget Crop.</t>
  </si>
  <si>
    <t xml:space="preserve">https://www.drupal.org/project/focal_point</t>
  </si>
  <si>
    <t xml:space="preserve">Éditeur d'images intégré : recadrage, rotation, retournement, redressement et point focal utilisé par les transformations.</t>
  </si>
  <si>
    <t xml:space="preserve">Point focal réglable dans la vue fichier (4.0) et utilisé par crop() ; pas d'outil de recadrage manuel.</t>
  </si>
  <si>
    <t xml:space="preserve">Point focal réglable et outil de recadrage avec ratios prédéfinis (copie ou remplacement).</t>
  </si>
  <si>
    <t xml:space="preserve">Recadrage et redimensionnement manuel dans le Media Manager ; pas de point focal.</t>
  </si>
  <si>
    <t xml:space="preserve">https://github.com/octobercms/october/blob/develop/modules/media/widgets/MediaManager.php</t>
  </si>
  <si>
    <t xml:space="preserve">Actions crop, cropZoom et cropResize via Markdown/Twig ; pas d'outil de recadrage visuel ni de point focal.</t>
  </si>
  <si>
    <t xml:space="preserve">https://learn.getgrav.org/20/content/media</t>
  </si>
  <si>
    <t xml:space="preserve">Outils crop et focalPoint intégrés dans l'admin pour les uploads d'images.</t>
  </si>
  <si>
    <t xml:space="preserve">https://payloadcms.com/docs/upload/overview#crop-and-focal-point-selector</t>
  </si>
  <si>
    <t xml:space="preserve">Éditeur d'image Filament (recadrage, ratios) sur certains champs de blocs ; pas de point focal.</t>
  </si>
  <si>
    <t xml:space="preserve">https://github.com/tallcms/tallcms/tree/main/packages/tallcms/cms/src/Filament/Blocks/ImageGalleryBlock.php</t>
  </si>
  <si>
    <t xml:space="preserve">Éditeur d'image natif du FileUpload Filament activable en code ; pas configuré par Sky, pas de point focal.</t>
  </si>
  <si>
    <t xml:space="preserve">https://filamentphp.com/docs/5.x/forms/file-upload</t>
  </si>
  <si>
    <t xml:space="preserve">Tailles intermédiaires générées à l'upload (add_image_size, srcset) ; pas de transformation par URL à la demande (Jetpack Image CDN officiel le fait).</t>
  </si>
  <si>
    <t xml:space="preserve">https://developer.wordpress.org/reference/functions/add_image_size/</t>
  </si>
  <si>
    <t xml:space="preserve">Styles d'image : dérivés générés à la première requête (redimensionner, recadrer, convertir) ; images responsives natives.</t>
  </si>
  <si>
    <t xml:space="preserve">https://www.drupal.org/docs/user_guide/en/structure-image-style-create.html</t>
  </si>
  <si>
    <t xml:space="preserve">Transformations nommées ou ad hoc en Twig/GraphQL, non destructives, avec srcset générés.</t>
  </si>
  <si>
    <t xml:space="preserve">https://craftcms.com/docs/5.x/development/image-transforms.html</t>
  </si>
  <si>
    <t xml:space="preserve">thumb(), resize(), crop(), srcset(), blur, grayscale, presets ; génération à la première requête.</t>
  </si>
  <si>
    <t xml:space="preserve">https://getkirby.com/docs/guide/files/resize-images-on-the-fly</t>
  </si>
  <si>
    <t xml:space="preserve">Glide : redimensionnement, recadrage, filtres, presets, cache dynamique/statique/hybride.</t>
  </si>
  <si>
    <t xml:space="preserve">https://statamic.dev/frontend/image-manipulation</t>
  </si>
  <si>
    <t xml:space="preserve">Filtre Twig |resize et Resizer (Intervention Image v3) : modes crop, cover, fit, qualité, extension, cache.</t>
  </si>
  <si>
    <t xml:space="preserve">https://docs.octobercms.com/4.x/markup/filter/resize.html</t>
  </si>
  <si>
    <t xml:space="preserve">Actions chaînables (resize, crop, quality, filtres) dans les URL Markdown ou Twig, avec cache d'images.</t>
  </si>
  <si>
    <t xml:space="preserve">imageSizes génère des tailles à l'upload via Sharp, pas de transformation à la demande par URL.</t>
  </si>
  <si>
    <t xml:space="preserve">https://payloadcms.com/docs/upload/overview#image-sizes</t>
  </si>
  <si>
    <t xml:space="preserve">Variantes fixes générées à l'upload (300, 800, 1200 px) via Intervention Image, pas de transformation à la volée.</t>
  </si>
  <si>
    <t xml:space="preserve">Conversions spatie/laravel-medialibrary définissables en surchargeant le modèle ; rien de préconfiguré.</t>
  </si>
  <si>
    <t xml:space="preserve">https://spatie.be/docs/laravel-medialibrary/v11/converting-images/defining-conversions</t>
  </si>
  <si>
    <t xml:space="preserve">Le cœur accepte WebP/AVIF et filtre de format de sortie ; conversion automatique via Modern Image Formats (équipe Performance WordPress).</t>
  </si>
  <si>
    <t xml:space="preserve">https://wordpress.org/plugins/webp-uploads/</t>
  </si>
  <si>
    <t xml:space="preserve">Effet Convertir des styles d'image ; AVIF depuis 11.2 avec repli WebP si le serveur ne le gère pas.</t>
  </si>
  <si>
    <t xml:space="preserve">https://www.drupal.org/blog/drupal-11-2-0</t>
  </si>
  <si>
    <t xml:space="preserve">Formats de sortie webp et avif disponibles dans les transformations si ImageMagick les supporte.</t>
  </si>
  <si>
    <t xml:space="preserve">Option format: webp/avif dans thumb() et srcset() avec pilotes GD, ImageMagick ou Imagick (5.1).</t>
  </si>
  <si>
    <t xml:space="preserve">Paramètre format du tag Glide accepte webp et avif.</t>
  </si>
  <si>
    <t xml:space="preserve">https://statamic.dev/tags/glide</t>
  </si>
  <si>
    <t xml:space="preserve">Option extension du |resize permet de convertir le format (ex. webp) selon le pilote GD/Imagick ; pas de génération automatique multi-format.</t>
  </si>
  <si>
    <t xml:space="preserve">Action format() vers WebP ou AVIF dans la bibliothèque d'images du cœur, qualité respectée.</t>
  </si>
  <si>
    <t xml:space="preserve">https://github.com/getgrav/grav/blob/develop/system/src/Grav/Common/Page/Medium/ImageMedium.php</t>
  </si>
  <si>
    <t xml:space="preserve">formatOptions et formatOptions par imageSize via Sharp (webp, avif…).</t>
  </si>
  <si>
    <t xml:space="preserve">Conversion WebP automatique en tâche de fond ; AVIF non supporté.</t>
  </si>
  <si>
    <t xml:space="preserve">Possible via conversions medialibrary (format webp/avif) à coder ; non fourni par Sky.</t>
  </si>
  <si>
    <t xml:space="preserve">Texte alternatif, légende, description, titre ; import IPTC/EXIF (dont alt depuis 7.0) ; pas de champ crédit dédié.</t>
  </si>
  <si>
    <t xml:space="preserve">Alt et titre sur le champ image ; types de média fieldables pour légende, crédit, etc.</t>
  </si>
  <si>
    <t xml:space="preserve">https://www.drupal.org/docs/core-modules-and-themes/core-modules/media-module</t>
  </si>
  <si>
    <t xml:space="preserve">Champ natif Texte alternatif traduisible plus champs personnalisés libres sur le layout du volume.</t>
  </si>
  <si>
    <t xml:space="preserve">Fichier méta .txt par fichier, champs libres définis par blueprint de fichier (alt, légende, crédit…).</t>
  </si>
  <si>
    <t xml:space="preserve">https://getkirby.com/docs/guide/files/file-metadata</t>
  </si>
  <si>
    <t xml:space="preserve">Blueprint d'asset personnalisable (alt par défaut) stocké en fichiers .meta.</t>
  </si>
  <si>
    <t xml:space="preserve">Pièces jointes avec titre et description (useCaption) ; pas de champs alt/crédits dédiés dans la médiathèque.</t>
  </si>
  <si>
    <t xml:space="preserve">https://docs.octobercms.com/4.x/element/form/widget-fileupload.html</t>
  </si>
  <si>
    <t xml:space="preserve">Fichier compagnon &lt;fichier&gt;.meta.yaml pour alt et champs libres, interrogeable en Twig (filterBy, sortBy).</t>
  </si>
  <si>
    <t xml:space="preserve">La collection upload accepte n'importe quels champs (alt, caption, crédit) définis par le développeur.</t>
  </si>
  <si>
    <t xml:space="preserve">Texte alternatif et légende éditables ; pas de champ crédits/copyright.</t>
  </si>
  <si>
    <t xml:space="preserve">Aucun champ alt/légende pour l'image mise en avant.</t>
  </si>
  <si>
    <t xml:space="preserve">Uploads vers S3/GCS/Azure via WP Offload Media ou Media Cloud ; Jetpack Image CDN ne fait que diffuser.</t>
  </si>
  <si>
    <t xml:space="preserve">https://wordpress.org/plugins/amazon-s3-and-cloudfront/</t>
  </si>
  <si>
    <t xml:space="preserve">API stream wrappers native ; stockage S3 via S3 File System (s3fs) ou Flysystem.</t>
  </si>
  <si>
    <t xml:space="preserve">https://www.drupal.org/project/s3fs</t>
  </si>
  <si>
    <t xml:space="preserve">Filesystems gratuits Pixel &amp; Tonic pour Amazon S3, Google Cloud Storage et Azure Blob.</t>
  </si>
  <si>
    <t xml:space="preserve">https://plugins.craftcms.com/aws-s3</t>
  </si>
  <si>
    <t xml:space="preserve">Fichiers sur disque local ; S3/Cloudinary/imgix via plugins tiers (Cloudinary sync, Imgix).</t>
  </si>
  <si>
    <t xml:space="preserve">Conteneurs sur disques Laravel Flysystem (S3, Spaces…), cache Glide sur disque distant.</t>
  </si>
  <si>
    <t xml:space="preserve">Disques Laravel Flysystem (S3, etc.) configurables pour médias, uploads et assets de thème.</t>
  </si>
  <si>
    <t xml:space="preserve">https://docs.octobercms.com/4.x/cms/media/providers.html</t>
  </si>
  <si>
    <t xml:space="preserve">Médias stockés sur le système de fichiers local ; aucun adaptateur S3 officiel identifié.</t>
  </si>
  <si>
    <t xml:space="preserve">Adaptateurs @payloadcms/storage-s3, -azure, -gcs, -r2, -vercel-blob, -uploadthing.</t>
  </si>
  <si>
    <t xml:space="preserve">https://payloadcms.com/docs/upload/storage-adapters</t>
  </si>
  <si>
    <t xml:space="preserve">Disques Laravel : S3, R2, Spaces, B2, MinIO auto-détectés ; disque dédié via TALLCMS_MEDIA_DISK.</t>
  </si>
  <si>
    <t xml:space="preserve">Disque et répertoire d'upload configurables (uploadDisk/uploadDirectory), donc tout disque Laravel dont S3.</t>
  </si>
  <si>
    <t xml:space="preserve">Upload et blocs Vidéo, Audio, Fichier, Playlist (7.1) avec lecteur intégré ; hébergement vidéo avancé via VideoPress (officiel, payant).</t>
  </si>
  <si>
    <t xml:space="preserve">Types de média Document, Audio, Vidéo locale et Vidéo distante (oEmbed YouTube/Vimeo) dans le cœur.</t>
  </si>
  <si>
    <t xml:space="preserve">Tous types de fichiers gérés avec filtrage par kind ; aperçu audio/vidéo dans l'écran d'édition (5.5).</t>
  </si>
  <si>
    <t xml:space="preserve">Types de fichiers image, vidéo, audio, documents, code ; aperçus Panel vidéo/audio/PDF depuis 5.0.</t>
  </si>
  <si>
    <t xml:space="preserve">Tout type de fichier stockable, miniatures vidéo via FFmpeg, fieldtype Video (YouTube, Vimeo, Cloudflare Stream).</t>
  </si>
  <si>
    <t xml:space="preserve">Media Manager gère tout type de fichier avec partials lecteurs audio/vidéo personnalisables.</t>
  </si>
  <si>
    <t xml:space="preserve">Types audio, vidéo et documents gérés comme médias avec options d'intégration (autoplay, controls…).</t>
  </si>
  <si>
    <t xml:space="preserve">Tout type de fichier, restreint via mimeTypes ; aperçus vidéo/PDF limités.</t>
  </si>
  <si>
    <t xml:space="preserve">https://payloadcms.com/docs/upload/overview#mimetypes</t>
  </si>
  <si>
    <t xml:space="preserve">MP4/WebM, MP3/WAV et PDF acceptés ; bloc Document List pour les téléchargements.</t>
  </si>
  <si>
    <t xml:space="preserve">Addon Library : types fichier, image, vidéo, par upload ou URL externe.</t>
  </si>
  <si>
    <t xml:space="preserve">https://larazeus.com/docs/sky/v5/advanced/addons</t>
  </si>
  <si>
    <t xml:space="preserve">Upload multiple par glisser-déposer, avec progression et reprise automatique depuis 7.1.</t>
  </si>
  <si>
    <t xml:space="preserve">Upload multiple via la Media Library ; vrai glisser-déposer via DropzoneJS.</t>
  </si>
  <si>
    <t xml:space="preserve">https://www.drupal.org/project/dropzonejs</t>
  </si>
  <si>
    <t xml:space="preserve">Upload multiple par bouton ou glisser-déposer depuis le bureau dans l'index et les champs Assets.</t>
  </si>
  <si>
    <t xml:space="preserve">Uploader multiple par glisser-déposer, renommage et aperçu avant envoi, upload par morceaux (5.0).</t>
  </si>
  <si>
    <t xml:space="preserve">Upload multiple par glisser-déposer dans le navigateur d'assets et les champs Assets.</t>
  </si>
  <si>
    <t xml:space="preserve">https://statamic.dev/fieldtypes/assets</t>
  </si>
  <si>
    <t xml:space="preserve">Upload multiple par glisser-déposer (Dropzone) dans Media Manager et widget fileupload.</t>
  </si>
  <si>
    <t xml:space="preserve">Upload multiple par glisser-déposer et collage d'images dans l'éditeur via plugin Admin2 (gratuit, livré dans le paquet grav-admin).</t>
  </si>
  <si>
    <t xml:space="preserve">Glisser-déposer et option bulkUpload depuis la vue liste, activée par défaut.</t>
  </si>
  <si>
    <t xml:space="preserve">Glisser-déposer jusqu'à 50 fichiers de 20 Mo par envoi.</t>
  </si>
  <si>
    <t xml:space="preserve">Composant FileUpload Filament (FilePond) avec glisser-déposer.</t>
  </si>
  <si>
    <t xml:space="preserve">Aucune détection native ; extension Media Cleaner.</t>
  </si>
  <si>
    <t xml:space="preserve">https://wordpress.org/plugins/media-cleaner/</t>
  </si>
  <si>
    <t xml:space="preserve">Suivi des usages via Entity Usage ; aucun rapport natif.</t>
  </si>
  <si>
    <t xml:space="preserve">https://www.drupal.org/project/entity_usage</t>
  </si>
  <si>
    <t xml:space="preserve">Pas d'outil natif ; plugins Asset Usage ou Asset Cleaner.</t>
  </si>
  <si>
    <t xml:space="preserve">https://plugins.craftcms.com/asset-cleaner</t>
  </si>
  <si>
    <t xml:space="preserve">Rien de natif ; plugins Usage Reference (visionbites) ou Template Checker pour repérer les fichiers orphelins.</t>
  </si>
  <si>
    <t xml:space="preserve">https://plugins.getkirby.com/topics/panel</t>
  </si>
  <si>
    <t xml:space="preserve">Absent du cœur ; addons Unused Assets (Novu) ou Asset Usage (Key Agency).</t>
  </si>
  <si>
    <t xml:space="preserve">https://statamic.com/addons/novu/unused-assets</t>
  </si>
  <si>
    <t xml:space="preserve">Commandes october:util purge uploads/orphans pour les pièces jointes ; rien pour la médiathèque.</t>
  </si>
  <si>
    <t xml:space="preserve">https://docs.octobercms.com/4.x/element/available-commands.html</t>
  </si>
  <si>
    <t xml:space="preserve">Aucun outil de détection des fichiers non référencés.</t>
  </si>
  <si>
    <t xml:space="preserve">Aucun rapport de médias orphelins ; à développer via join ou script.</t>
  </si>
  <si>
    <t xml:space="preserve">Filtre « non assigné » (hors collection) et alt manquant, mais pas de détection d'usage dans les contenus.</t>
  </si>
  <si>
    <t xml:space="preserve">Aucun outil de détection.</t>
  </si>
  <si>
    <t xml:space="preserve">Statuts brouillon, en attente de relecture, privé, programmé et publié.</t>
  </si>
  <si>
    <t xml:space="preserve">https://wordpress.org/documentation/article/post-status/</t>
  </si>
  <si>
    <t xml:space="preserve">Statut non publié et révisions en avant (forward revisions) avec Content Moderation.</t>
  </si>
  <si>
    <t xml:space="preserve">https://www.drupal.org/docs/core-modules-and-themes/core-modules/content-moderation-module</t>
  </si>
  <si>
    <t xml:space="preserve">Brouillons nommés avec notes, brouillons provisoires, fusion automatique des changements de la version live.</t>
  </si>
  <si>
    <t xml:space="preserve">Statut draft (dossier _drafts), accessible aux connectés ou via lien secret de brouillon.</t>
  </si>
  <si>
    <t xml:space="preserve">https://getkirby.com/docs/guide/content/publishing-workflow</t>
  </si>
  <si>
    <t xml:space="preserve">Statut publié/brouillon par entrée disponible en Core ; brouillons de modifications (working copy) en Pro.</t>
  </si>
  <si>
    <t xml:space="preserve">Option drafts: true des blueprints entry : brouillons multiples avec notes, publication et abandon.</t>
  </si>
  <si>
    <t xml:space="preserve">Champ published: false ; Admin2 crée les nouvelles pages en brouillon par défaut.</t>
  </si>
  <si>
    <t xml:space="preserve">versions.drafts ajoute un statut _status draft/published.</t>
  </si>
  <si>
    <t xml:space="preserve">https://payloadcms.com/docs/versions/drafts</t>
  </si>
  <si>
    <t xml:space="preserve">Statut Draft pour pages et articles.</t>
  </si>
  <si>
    <t xml:space="preserve">Statut Draft dans l'énum PostStatus.</t>
  </si>
  <si>
    <t xml:space="preserve">Révisions stockées à chaque sauvegarde, nombre limitable via WP_POST_REVISIONS ; liens de révision partageables en 7.1.</t>
  </si>
  <si>
    <t xml:space="preserve">Révisions pour nœuds, blocs, médias et termes, avec message de journal.</t>
  </si>
  <si>
    <t xml:space="preserve">https://www.drupal.org/docs/user_guide/en/content-revision.html</t>
  </si>
  <si>
    <t xml:space="preserve">Révision créée à chaque publication, navigateur de révisions, limite configurable via maxRevisions.</t>
  </si>
  <si>
    <t xml:space="preserve">Uniquement versions changes/latest en natif ; historique via plugins Versions (Lukas Bestle) ou Revisions.</t>
  </si>
  <si>
    <t xml:space="preserve">https://plugins.getkirby.com/topics/versioning</t>
  </si>
  <si>
    <t xml:space="preserve">Payant : Pro – révisions YAML activées par collection, vue History.</t>
  </si>
  <si>
    <t xml:space="preserve">Versions Tailor non finalisées (désactivées dans le code) ; trait Revisionable disponible pour modèles de plugins.</t>
  </si>
  <si>
    <t xml:space="preserve">https://docs.octobercms.com/4.x/extend/database/traits.html</t>
  </si>
  <si>
    <t xml:space="preserve">Payant : Revisions Pro (pages, config, réglages plugins) ; alternative gratuite Git Sync via l'historique Git.</t>
  </si>
  <si>
    <t xml:space="preserve">https://learn.getgrav.org/20/grav-premium/revisions-pro</t>
  </si>
  <si>
    <t xml:space="preserve">versions stockées dans une collection dédiée, limitées par maxPerDoc.</t>
  </si>
  <si>
    <t xml:space="preserve">https://payloadcms.com/docs/versions/overview</t>
  </si>
  <si>
    <t xml:space="preserve">Révisions automatiques avant/après chaque sauvegarde (hash SHA-256) plus snapshots épinglés annotés.</t>
  </si>
  <si>
    <t xml:space="preserve">Pas de table de révisions.</t>
  </si>
  <si>
    <t xml:space="preserve">https://github.com/lara-zeus/sky/blob/main/database/migrations/create_posts_table.php.stub</t>
  </si>
  <si>
    <t xml:space="preserve">Écran de comparaison textuel et, depuis 7.0, révisions visuelles avec curseur dans l'éditeur.</t>
  </si>
  <si>
    <t xml:space="preserve">Module Diff pour comparer les révisions champ par champ.</t>
  </si>
  <si>
    <t xml:space="preserve">https://www.drupal.org/project/diff</t>
  </si>
  <si>
    <t xml:space="preserve">Champs modifiés signalés dans les brouillons, mais pas de vue diff côte à côte entre révisions.</t>
  </si>
  <si>
    <t xml:space="preserve">Comparaison visuelle changements vs version publiée dans la Preview ; pas de diff champ par champ ni d'historique.</t>
  </si>
  <si>
    <t xml:space="preserve">La vue History permet aperçu et restauration mais aucune comparaison côte à côte.</t>
  </si>
  <si>
    <t xml:space="preserve">Aucun diff natif ; uniquement via plugins tiers comme ChangeTrail.</t>
  </si>
  <si>
    <t xml:space="preserve">Payant : Revisions Pro propose un diff côte à côte ou unifié avec coloration syntaxique.</t>
  </si>
  <si>
    <t xml:space="preserve">Vue de comparaison champ par champ entre versions dans l'admin.</t>
  </si>
  <si>
    <t xml:space="preserve">Diff côte à côte des champs texte et comparaison visuelle des blocs (ContentDiffService).</t>
  </si>
  <si>
    <t xml:space="preserve">Pas de révisions, donc pas de diff.</t>
  </si>
  <si>
    <t xml:space="preserve">Restauration en un clic depuis l'écran des révisions.</t>
  </si>
  <si>
    <t xml:space="preserve">Action Rétablir dans l'onglet Révisions, crée une nouvelle révision.</t>
  </si>
  <si>
    <t xml:space="preserve">Action « Revert content from this revision », l'état courant étant sauvegardé en nouvelle révision.</t>
  </si>
  <si>
    <t xml:space="preserve">Seulement « annuler les changements » en natif ; restauration de révisions via plugins Revisions/Versions.</t>
  </si>
  <si>
    <t xml:space="preserve">Payant : Pro – restauration d'une révision vers la working copy ou l'entrée.</t>
  </si>
  <si>
    <t xml:space="preserve">Code de restauration présent pour Tailor mais fonctionnalité versions désactivée ; Revisionable n'offre pas d'interface.</t>
  </si>
  <si>
    <t xml:space="preserve">https://github.com/octobercms/october/blob/develop/modules/tailor/classes/blueprint/EntryBlueprint.php</t>
  </si>
  <si>
    <t xml:space="preserve">Payant : Revisions Pro restaure une révision après sauvegarde automatique de l'état courant.</t>
  </si>
  <si>
    <t xml:space="preserve">Restauration d'une version depuis l'admin ou l'API restoreVersion.</t>
  </si>
  <si>
    <t xml:space="preserve">Bouton Restore sur chaque révision, permission RestoreRevision dédiée.</t>
  </si>
  <si>
    <t xml:space="preserve">Pas de révisions.</t>
  </si>
  <si>
    <t xml:space="preserve">Programmation de la date de publication (statut future), déclenchée par WP-Cron.</t>
  </si>
  <si>
    <t xml:space="preserve">https://wordpress.org/documentation/article/schedule-posts/</t>
  </si>
  <si>
    <t xml:space="preserve">Module Scheduler (inclus dans Drupal CMS), intégration Content Moderation via sous-module dédié.</t>
  </si>
  <si>
    <t xml:space="preserve">https://www.drupal.org/project/scheduler</t>
  </si>
  <si>
    <t xml:space="preserve">Post Date future : l'entrée reste Pending puis devient Live automatiquement.</t>
  </si>
  <si>
    <t xml:space="preserve">Absent du cœur ; plugins AutoPublish (Maurice Renck) ou Autopublish (bvdputte), via cron/webhook.</t>
  </si>
  <si>
    <t xml:space="preserve">https://packagist.org/packages/mauricerenck/autopublish</t>
  </si>
  <si>
    <t xml:space="preserve">Entrées datées futures en statut « scheduled », événement EntryScheduleReached via scheduler.</t>
  </si>
  <si>
    <t xml:space="preserve">https://statamic.dev/advanced-topics/scheduling</t>
  </si>
  <si>
    <t xml:space="preserve">Champ published_at des entrées Tailor : statut Scheduled jusqu'à la date.</t>
  </si>
  <si>
    <t xml:space="preserve">https://docs.octobercms.com/4.x/cms/tailor/models.html</t>
  </si>
  <si>
    <t xml:space="preserve">En-tête publish_date avec publication automatique.</t>
  </si>
  <si>
    <t xml:space="preserve">versions.drafts.schedulePublish, exécuté par la Jobs Queue.</t>
  </si>
  <si>
    <t xml:space="preserve">https://payloadcms.com/docs/versions/drafts#scheduled-publish</t>
  </si>
  <si>
    <t xml:space="preserve">Statut Published avec date future : visible automatiquement à l'échéance.</t>
  </si>
  <si>
    <t xml:space="preserve">Champ published_at : les scopes front n'affichent que les contenus dont la date est passée.</t>
  </si>
  <si>
    <t xml:space="preserve">https://github.com/lara-zeus/sky/blob/main/src/Models/PostScope.php</t>
  </si>
  <si>
    <t xml:space="preserve">Pas d'expiration native ; extension PublishPress Future.</t>
  </si>
  <si>
    <t xml:space="preserve">https://wordpress.org/plugins/post-expirator/</t>
  </si>
  <si>
    <t xml:space="preserve">Scheduler gère aussi la date de dépublication.</t>
  </si>
  <si>
    <t xml:space="preserve">Expiry Date : l'entrée passe au statut Expired à la date choisie.</t>
  </si>
  <si>
    <t xml:space="preserve">Rien de natif ; plugins d'autopublish/scheduler ou filtrage par champ date dans les templates.</t>
  </si>
  <si>
    <t xml:space="preserve">https://plugins.getkirby.com/beebmx/scheduler</t>
  </si>
  <si>
    <t xml:space="preserve">Statut « expired » pour collections à dates passées privées ; pas de date de fin dédiée (addon Expires On).</t>
  </si>
  <si>
    <t xml:space="preserve">Champ expired_at des entrées Tailor : statut Expired après la date.</t>
  </si>
  <si>
    <t xml:space="preserve">En-tête unpublish_date ; Admin2 distingue les états programmé et expiré.</t>
  </si>
  <si>
    <t xml:space="preserve">schedulePublish permet aussi de programmer la dépublication.</t>
  </si>
  <si>
    <t xml:space="preserve">Aucun champ de date d'expiration ; dépublication manuelle ou via API uniquement.</t>
  </si>
  <si>
    <t xml:space="preserve">Seule la mise en avant expire (sticky_until) ; pas de date de dépublication.</t>
  </si>
  <si>
    <t xml:space="preserve">Corbeille pour contenus, commentaires et médias (option), vidage automatique après 30 jours (EMPTY_TRASH_DAYS).</t>
  </si>
  <si>
    <t xml:space="preserve">https://wordpress.org/documentation/article/trash-status/</t>
  </si>
  <si>
    <t xml:space="preserve">Module Trash (inclus dans Drupal CMS) : suppression douce et restauration des entités.</t>
  </si>
  <si>
    <t xml:space="preserve">https://www.drupal.org/project/trash</t>
  </si>
  <si>
    <t xml:space="preserve">Suppression douce avec source Trashed, restauration possible, purge après softDeleteDuration.</t>
  </si>
  <si>
    <t xml:space="preserve">Suppression définitive en natif ; plugin Kirby Trash (sigtrygg-space) avec restauration et rétention.</t>
  </si>
  <si>
    <t xml:space="preserve">https://plugins.getkirby.com/sigtrygg-space/kirby-trash</t>
  </si>
  <si>
    <t xml:space="preserve">Suppression définitive ; récupération seulement via Git ou sauvegarde.</t>
  </si>
  <si>
    <t xml:space="preserve">softDeletes activé par défaut dans Tailor, avec restauration et suppression définitive.</t>
  </si>
  <si>
    <t xml:space="preserve">La suppression d'une page efface ses fichiers ; pas de corbeille.</t>
  </si>
  <si>
    <t xml:space="preserve">Option trash: true par collection : suppression douce, restauration et suppression définitive.</t>
  </si>
  <si>
    <t xml:space="preserve">https://payloadcms.com/docs/trash/overview</t>
  </si>
  <si>
    <t xml:space="preserve">SoftDeletes sur pages, articles, catégories et commentaires, avec restauration et suppression définitive.</t>
  </si>
  <si>
    <t xml:space="preserve">SoftDeletes sur les articles/pages avec filtre corbeille, restauration et suppression définitive.</t>
  </si>
  <si>
    <t xml:space="preserve">Le cœur duplique compositions et parties de template ; la duplication d'articles reste réservée au plugin Gutenberg ou à Yoast Duplicate Post.</t>
  </si>
  <si>
    <t xml:space="preserve">https://developer.wordpress.org/block-editor/reference-guides/packages/packages-core-actions/</t>
  </si>
  <si>
    <t xml:space="preserve">Entity Clone ou Quick Node Clone.</t>
  </si>
  <si>
    <t xml:space="preserve">https://www.drupal.org/project/entity_clone</t>
  </si>
  <si>
    <t xml:space="preserve">Actions Dupliquer (en brouillon depuis 5.9), Save as new, copier/coller d'entrées entre champs Matrix.</t>
  </si>
  <si>
    <t xml:space="preserve">Duplication de page dans le Panel avec ou sans enfants/fichiers, UUID régénérés et références mises à jour (5.0).</t>
  </si>
  <si>
    <t xml:space="preserve">Action « Duplicate » intégrée au cœur depuis la 3.3 (ex-addon Duplicator).</t>
  </si>
  <si>
    <t xml:space="preserve">https://statamic.com/blog/duplicating</t>
  </si>
  <si>
    <t xml:space="preserve">Action groupée Duplicate sur les entrées Tailor.</t>
  </si>
  <si>
    <t xml:space="preserve">https://github.com/octobercms/october/blob/develop/modules/tailor/controllers/Entries.php</t>
  </si>
  <si>
    <t xml:space="preserve">Copie de page avec ses médias via Admin2 et l'endpoint API /copy.</t>
  </si>
  <si>
    <t xml:space="preserve">https://github.com/getgrav/grav-plugin-api</t>
  </si>
  <si>
    <t xml:space="preserve">Bouton et opération duplicate, désactivable via disableDuplicate.</t>
  </si>
  <si>
    <t xml:space="preserve">Duplication de blocs dans l'éditeur et copie de traduction ; pas d'action « dupliquer la page » documentée.</t>
  </si>
  <si>
    <t xml:space="preserve">Pas d'action de réplication dans les ressources.</t>
  </si>
  <si>
    <t xml:space="preserve">Champ de recherche sur chaque liste (contenus, médias, utilisateurs, commentaires) et palette de commandes.</t>
  </si>
  <si>
    <t xml:space="preserve">https://wordpress.org/documentation/article/posts-screen/</t>
  </si>
  <si>
    <t xml:space="preserve">Vue Contenu de l'admin filtrable par titre, type, statut et langue (vue Views modifiable).</t>
  </si>
  <si>
    <t xml:space="preserve">https://www.drupal.org/docs/user_guide/en/content-edit.html</t>
  </si>
  <si>
    <t xml:space="preserve">Recherche par mots-clés dans tous les index d'éléments, avec syntaxe avancée et tri par score.</t>
  </si>
  <si>
    <t xml:space="preserve">https://craftcms.com/docs/5.x/system/searching.html</t>
  </si>
  <si>
    <t xml:space="preserve">Vue et dialogue de recherche du Panel (pages, fichiers, utilisateurs), types extensibles par plugin.</t>
  </si>
  <si>
    <t xml:space="preserve">Index cp alimentant la command palette et recherche dans les listings.</t>
  </si>
  <si>
    <t xml:space="preserve">https://statamic.dev/frontend/search</t>
  </si>
  <si>
    <t xml:space="preserve">Barre de recherche des listes backend (ListController) sur colonnes searchable.</t>
  </si>
  <si>
    <t xml:space="preserve">https://docs.octobercms.com/4.x/extend/lists/list-controller.html</t>
  </si>
  <si>
    <t xml:space="preserve">Recherche de pages dans Admin2 (premiers résultats, bouton Afficher plus) et recherche dans la médiathèque.</t>
  </si>
  <si>
    <t xml:space="preserve">Recherche dans la vue liste configurable via listSearchableFields.</t>
  </si>
  <si>
    <t xml:space="preserve">https://payloadcms.com/docs/configuration/collections#list-searchable-fields</t>
  </si>
  <si>
    <t xml:space="preserve">Recherche globale Filament dans l'en-tête sur pages et articles, avec statut et lien d'édition.</t>
  </si>
  <si>
    <t xml:space="preserve">https://github.com/tallcms/tallcms/blob/main/docs/ref-search.md</t>
  </si>
  <si>
    <t xml:space="preserve">Colonnes titre et statut recherchables dans les tables Filament.</t>
  </si>
  <si>
    <t xml:space="preserve">Bloc Recherche et template search ; requêtes ?s= gérées par WP_Query.</t>
  </si>
  <si>
    <t xml:space="preserve">https://wordpress.org/documentation/article/search-block/</t>
  </si>
  <si>
    <t xml:space="preserve">Module Search du cœur déprécié en 11.x et retiré en Drupal 12 ; Search API recommandé.</t>
  </si>
  <si>
    <t xml:space="preserve">https://www.drupal.org/node/3488826</t>
  </si>
  <si>
    <t xml:space="preserve">Paramètre search des requêtes d'éléments utilisable en Twig pour construire une page de résultats.</t>
  </si>
  <si>
    <t xml:space="preserve">Méthode $collection-&gt;search() utilisable dans un template/contrôleur de recherche.</t>
  </si>
  <si>
    <t xml:space="preserve">https://getkirby.com/docs/reference/objects/cms/pages/search</t>
  </si>
  <si>
    <t xml:space="preserve">Tag search:results avec paramètre q et index configurable.</t>
  </si>
  <si>
    <t xml:space="preserve">Plugin OFFLINE.SiteSearch (gratuit) indexant pages, Tailor, blog.</t>
  </si>
  <si>
    <t xml:space="preserve">https://octobercms.com/plugin/offline-sitesearch</t>
  </si>
  <si>
    <t xml:space="preserve">Plugin SimpleSearch (gratuit) pour une recherche front basique sur les collections de pages.</t>
  </si>
  <si>
    <t xml:space="preserve">https://github.com/getgrav/grav-plugin-simplesearch</t>
  </si>
  <si>
    <t xml:space="preserve">@payloadcms/plugin-search : collection d'index synchronisée et interrogeable par API.</t>
  </si>
  <si>
    <t xml:space="preserve">https://payloadcms.com/docs/plugins/search</t>
  </si>
  <si>
    <t xml:space="preserve">Page /search Livewire avec saisie en direct, filtre par type et termes surlignés.</t>
  </si>
  <si>
    <t xml:space="preserve">Paramètre ?search sur la page blog avec surlignage des termes trouvés.</t>
  </si>
  <si>
    <t xml:space="preserve">https://github.com/lara-zeus/sky/blob/main/src/Livewire/Posts.php</t>
  </si>
  <si>
    <t xml:space="preserve">Recherche par LIKE sur titre, extrait et contenu, sans pertinence avancée ni métadonnées.</t>
  </si>
  <si>
    <t xml:space="preserve">https://developer.wordpress.org/reference/classes/wp_query/#search-parameters</t>
  </si>
  <si>
    <t xml:space="preserve">Recherche plein texte basique via Search (déprécié) ; Search API avec backend base de données ou Solr pour un vrai plein texte.</t>
  </si>
  <si>
    <t xml:space="preserve">https://www.drupal.org/project/search_api</t>
  </si>
  <si>
    <t xml:space="preserve">Index de recherche propre (table searchindex) avec opérateurs OR, exclusion, phrases, jokers et field:terme.</t>
  </si>
  <si>
    <t xml:space="preserve">search() parcourt le texte des champs à la volée, sans index ni pertinence avancée.</t>
  </si>
  <si>
    <t xml:space="preserve">Driver local JSON avec stemming, poids par champ et min_characters.</t>
  </si>
  <si>
    <t xml:space="preserve">Via OFFLINE.SiteSearch ou Laravel Scout ; requêtes LIKE en natif.</t>
  </si>
  <si>
    <t xml:space="preserve">TNTSearch (gratuit, index SQLite, Ajax) ou YetiSearch Pro (payant, FTS5/BM25, recherche approximative).</t>
  </si>
  <si>
    <t xml:space="preserve">https://github.com/trilbymedia/grav-plugin-tntsearch</t>
  </si>
  <si>
    <t xml:space="preserve">Opérateurs like/contains en base ; pas d'index plein texte géré nativement.</t>
  </si>
  <si>
    <t xml:space="preserve">https://payloadcms.com/docs/queries/overview</t>
  </si>
  <si>
    <t xml:space="preserve">Laravel Scout driver database : requêtes LIKE sur une colonne search_content, sans pertinence ni stemming.</t>
  </si>
  <si>
    <t xml:space="preserve">Requêtes LIKE sur titre, slug, contenu et description ; pas d'index plein texte.</t>
  </si>
  <si>
    <t xml:space="preserve">Relevanssi ou SearchWP pour indexer métadonnées, taxonomies et pondérer les champs.</t>
  </si>
  <si>
    <t xml:space="preserve">https://wordpress.org/plugins/relevanssi/</t>
  </si>
  <si>
    <t xml:space="preserve">Search API : index configurables, choix des champs, boosts, processeurs.</t>
  </si>
  <si>
    <t xml:space="preserve">Réglage par champ « Utiliser les valeurs comme mots-clés » ; réindexation via resave --update-search-index.</t>
  </si>
  <si>
    <t xml:space="preserve">Option fields de search() pour limiter les champs ; pas d'index persistant (plugin Loupe/SQLite pour cela).</t>
  </si>
  <si>
    <t xml:space="preserve">https://plugins.getkirby.com/topics/search</t>
  </si>
  <si>
    <t xml:space="preserve">Index multiples définissant searchables, champs, transformers et filtres.</t>
  </si>
  <si>
    <t xml:space="preserve">Fournisseurs de recherche configurables dans OFFLINE.SiteSearch ou index Scout.</t>
  </si>
  <si>
    <t xml:space="preserve">TNTSearch indexe des données arbitraires via templates Twig personnalisés.</t>
  </si>
  <si>
    <t xml:space="preserve">index: true sur les champs, index composés au niveau collection ; plugin-search avec priorités.</t>
  </si>
  <si>
    <t xml:space="preserve">https://payloadcms.com/docs/database/indexes</t>
  </si>
  <si>
    <t xml:space="preserve">Champs indexés codés dans ContentIndexer ; ajouter un bloc impose de modifier extractFromBlock().</t>
  </si>
  <si>
    <t xml:space="preserve">Champs recherchés codés en dur dans le scope search.</t>
  </si>
  <si>
    <t xml:space="preserve">Jetpack Search (Elasticsearch, gratuit jusqu'à un quota puis payant) ; ElasticPress ou WP Search with Algolia en tiers.</t>
  </si>
  <si>
    <t xml:space="preserve">https://jetpack.com/support/search/</t>
  </si>
  <si>
    <t xml:space="preserve">Backends Search API : Solr, Elasticsearch Connector, OpenSearch, Meilisearch, Algolia.</t>
  </si>
  <si>
    <t xml:space="preserve">https://www.drupal.org/project/search_api_solr</t>
  </si>
  <si>
    <t xml:space="preserve">Plugin Scout (Algolia, Meilisearch, Typesense) ou Typesense Sync.</t>
  </si>
  <si>
    <t xml:space="preserve">https://plugins.craftcms.com/scout</t>
  </si>
  <si>
    <t xml:space="preserve">Plugins Algolia DocSearch (Johann Schopplich), Loupe ; composant search remplaçable.</t>
  </si>
  <si>
    <t xml:space="preserve">Algolia natif ; Meilisearch et Typesense via addons Rad Pack, drivers custom via Search::extend.</t>
  </si>
  <si>
    <t xml:space="preserve">Aucun plugin marketplace dédié ; intégration manuelle possible via Laravel Scout.</t>
  </si>
  <si>
    <t xml:space="preserve">https://docs.octobercms.com/4.x/extend/resources/using-laravel-packages.html</t>
  </si>
  <si>
    <t xml:space="preserve">Payant : Algolia Pro (100 $) ; pas d'intégration officielle Meilisearch ou Elasticsearch.</t>
  </si>
  <si>
    <t xml:space="preserve">https://premium.getgrav.org/l/grav-premium-algolia-pro</t>
  </si>
  <si>
    <t xml:space="preserve">Plugins communautaires (ex. typesense-search) ou synchronisation par hooks afterChange.</t>
  </si>
  <si>
    <t xml:space="preserve">https://github.com/fronttribe/typesense-search</t>
  </si>
  <si>
    <t xml:space="preserve">Scout permet théoriquement Meilisearch/Algolia (suggéré pour gros sites) mais non intégré ni documenté.</t>
  </si>
  <si>
    <t xml:space="preserve">Aucune intégration Scout fournie.</t>
  </si>
  <si>
    <t xml:space="preserve">Filtres dans Jetpack Search (payant au-delà du quota) ; FacetWP en tiers ; aucun facettage dans le cœur.</t>
  </si>
  <si>
    <t xml:space="preserve">Filtres exposés Views natifs ; facettes via Facets (Search API) et Better Exposed Filters.</t>
  </si>
  <si>
    <t xml:space="preserve">https://www.drupal.org/project/facets</t>
  </si>
  <si>
    <t xml:space="preserve">Filtrage puissant via requêtes d'éléments et conditions d'index admin, mais pas de facettes de recherche prêtes à l'emploi.</t>
  </si>
  <si>
    <t xml:space="preserve">https://craftcms.com/docs/5.x/system/elements.html</t>
  </si>
  <si>
    <t xml:space="preserve">filterBy(), groupBy() et paramètres d'URL permettent des filtres codés ; pas de facettes prêtes à l'emploi.</t>
  </si>
  <si>
    <t xml:space="preserve">https://getkirby.com/docs/cookbook/collections/filtering</t>
  </si>
  <si>
    <t xml:space="preserve">Filtres de requête dans les tags et listings ; facettes seulement via moteurs externes (Algolia).</t>
  </si>
  <si>
    <t xml:space="preserve">Filtres backend riches (scopes) ; pas de recherche à facettes front native.</t>
  </si>
  <si>
    <t xml:space="preserve">https://docs.octobercms.com/4.x/element/filter-scopes.html</t>
  </si>
  <si>
    <t xml:space="preserve">Filtres de taxonomie dans l'URL ; DSL de filtres dans YetiSearch Pro (payant), facettes dédiées retirées.</t>
  </si>
  <si>
    <t xml:space="preserve">https://learn.getgrav.org/20/grav-premium/yetisearch-pro</t>
  </si>
  <si>
    <t xml:space="preserve">Filtres where avancés dans la vue liste et l'API, presets de requête enregistrables.</t>
  </si>
  <si>
    <t xml:space="preserve">Filtre par type (pages/articles) sur la recherche front ; pas de facettes.</t>
  </si>
  <si>
    <t xml:space="preserve">Filtre par catégorie en front ; filtres admin par statut, tags, mot de passe, sticky.</t>
  </si>
  <si>
    <t xml:space="preserve">Bloc Formulaire de Jetpack Forms (Automattic, gratuit) avec nombreux types de champs et formulaires multi-étapes.</t>
  </si>
  <si>
    <t xml:space="preserve">https://jetpack.com/support/jetpack-blocks/contact-form/</t>
  </si>
  <si>
    <t xml:space="preserve">Webform (inclus dans Drupal CMS) ; le module Contact du cœur est retiré en Drupal 12.</t>
  </si>
  <si>
    <t xml:space="preserve">https://www.drupal.org/project/webform</t>
  </si>
  <si>
    <t xml:space="preserve">Aucun builder natif ; plugins payants Formie (Verbb) ou Freeform (Solspace).</t>
  </si>
  <si>
    <t xml:space="preserve">https://verbb.io/craft-plugins/formie</t>
  </si>
  <si>
    <t xml:space="preserve">Pas de form builder natif ; DreamForm (tobimori, payant) construit des formulaires multi-étapes dans le Panel.</t>
  </si>
  <si>
    <t xml:space="preserve">https://plugins.getkirby.com/tobimori/dreamform</t>
  </si>
  <si>
    <t xml:space="preserve">Formulaires créés dans le CP avec blueprint ; Core limité à un seul formulaire, illimité en Pro.</t>
  </si>
  <si>
    <t xml:space="preserve">https://statamic.dev/frontend/forms</t>
  </si>
  <si>
    <t xml:space="preserve">Blueprint submission (4.4) génère formulaire front depuis YAML ; constructeur visuel via Renatio Form Builder (tiers, 15 $).</t>
  </si>
  <si>
    <t xml:space="preserve">https://octobercms.com/support/article/rn-43</t>
  </si>
  <si>
    <t xml:space="preserve">Formulaires déclarés en YAML dans le frontmatter (plugin Form) ; pas de constructeur visuel.</t>
  </si>
  <si>
    <t xml:space="preserve">https://github.com/getgrav/grav-plugin-form</t>
  </si>
  <si>
    <t xml:space="preserve">@payloadcms/plugin-form-builder : formulaires construits dans l'admin, rendu front à coder.</t>
  </si>
  <si>
    <t xml:space="preserve">https://payloadcms.com/docs/plugins/form-builder</t>
  </si>
  <si>
    <t xml:space="preserve">Bloc Contact Form avec champs configurables (texte, email, téléphone, textarea, liste) ; pas de form builder complet.</t>
  </si>
  <si>
    <t xml:space="preserve">https://github.com/tallcms/tallcms/blob/main/docs/site-blocks-contact-form.md</t>
  </si>
  <si>
    <t xml:space="preserve">Lara Zeus Bolt, constructeur de formulaires Filament, intégrable dans le contenu via &lt;bolt&gt;slug&lt;/bolt&gt;.</t>
  </si>
  <si>
    <t xml:space="preserve">https://github.com/lara-zeus/bolt</t>
  </si>
  <si>
    <t xml:space="preserve">Réponses Jetpack Forms enregistrées dans l'admin (désactivable par formulaire).</t>
  </si>
  <si>
    <t xml:space="preserve">Webform stocke et affiche les soumissions dans le site.</t>
  </si>
  <si>
    <t xml:space="preserve">https://project.pages.drupalcode.org/drupal_cms/customize/contact-form/</t>
  </si>
  <si>
    <t xml:space="preserve">Via Formie ou Freeform ; le plugin officiel Contact Form ne stocke pas les messages.</t>
  </si>
  <si>
    <t xml:space="preserve">DreamForm stocke les soumissions ; en natif il faut coder (création de pages via contrôleur).</t>
  </si>
  <si>
    <t xml:space="preserve">Soumissions stockées (fichiers ou DB) et consultables dans le CP, stockage désactivable.</t>
  </si>
  <si>
    <t xml:space="preserve">Soumissions stockées comme enregistrements Tailor avec file de modération (Pending/Approve/Reject).</t>
  </si>
  <si>
    <t xml:space="preserve">Action save du plugin Form : un fichier par soumission dans user/data/&lt;formulaire&gt;.</t>
  </si>
  <si>
    <t xml:space="preserve">https://learn.getgrav.org/20/forms/forms/reference-form-actions</t>
  </si>
  <si>
    <t xml:space="preserve">Collection form-submissions créée par le plugin form-builder.</t>
  </si>
  <si>
    <t xml:space="preserve">Soumissions enregistrées et consultables dans la ressource Contact Submissions.</t>
  </si>
  <si>
    <t xml:space="preserve">Bolt enregistre les réponses et propose un rapport des entrées.</t>
  </si>
  <si>
    <t xml:space="preserve">Jetpack Forms envoie les réponses à un ou plusieurs destinataires configurables.</t>
  </si>
  <si>
    <t xml:space="preserve">Handlers e-mail de Webform, destinataires et modèles configurables.</t>
  </si>
  <si>
    <t xml:space="preserve">Plugin gratuit Contact Form (Pixel &amp; Tonic) envoyant le formulaire par e-mail.</t>
  </si>
  <si>
    <t xml:space="preserve">https://plugins.craftcms.com/contact-form</t>
  </si>
  <si>
    <t xml:space="preserve">DreamForm ou Uniform envoient les e-mails ; $kirby-&gt;email() natif utilisable en code.</t>
  </si>
  <si>
    <t xml:space="preserve">https://plugins.getkirby.com/topics/forms</t>
  </si>
  <si>
    <t xml:space="preserve">Plusieurs configurations e-mail par formulaire, destinataires dynamiques, pièces jointes.</t>
  </si>
  <si>
    <t xml:space="preserve">notifyGroup, notifyTemplate et notifyReplyTo envoient un e-mail à un groupe d'admins.</t>
  </si>
  <si>
    <t xml:space="preserve">Action email du plugin Form avec corps en Twig, reply-to et pièces jointes.</t>
  </si>
  <si>
    <t xml:space="preserve">E-mails dynamiques multi-destinataires configurés par formulaire dans form-builder.</t>
  </si>
  <si>
    <t xml:space="preserve">E-mail admin configurable par bloc plus réponse automatique au visiteur.</t>
  </si>
  <si>
    <t xml:space="preserve">Bolt envoie un mailable FormSubmission en file d'attente.</t>
  </si>
  <si>
    <t xml:space="preserve">Filtrage Akismet (Automattic, payant pour usage commercial) intégré à Jetpack Forms.</t>
  </si>
  <si>
    <t xml:space="preserve">Honeypot et CAPTCHA (Friendly Captcha) inclus dans Drupal CMS.</t>
  </si>
  <si>
    <t xml:space="preserve">https://www.drupal.org/project/honeypot</t>
  </si>
  <si>
    <t xml:space="preserve">Plugin Contact Form Honeypot de Pixel &amp; Tonic ; captchas avancés via Formie/Freeform.</t>
  </si>
  <si>
    <t xml:space="preserve">https://github.com/craftcms/contact-form-honeypot</t>
  </si>
  <si>
    <t xml:space="preserve">Honeypot/Turnstile via Uniform ou DreamForm ; jeton CSRF natif via csrf().</t>
  </si>
  <si>
    <t xml:space="preserve">Honeypot natif ; captchas (reCAPTCHA, hCaptcha, Turnstile) via addon tiers Captcha.</t>
  </si>
  <si>
    <t xml:space="preserve">Honeypot, limitation 6 envois/min par IP et action Spam ; captcha via événement cms.form.beforeSubmit.</t>
  </si>
  <si>
    <t xml:space="preserve">Plugin Form : honeypot, Basic Captcha, reCAPTCHA, Cloudflare Turnstile et widget Cap.</t>
  </si>
  <si>
    <t xml:space="preserve">https://github.com/getgrav/grav-plugin-form/blob/develop/CHANGELOG.md</t>
  </si>
  <si>
    <t xml:space="preserve">Aucun captcha ni honeypot dans form-builder ; à ajouter via hooks.</t>
  </si>
  <si>
    <t xml:space="preserve">Honeypot et limitation de débit par IP ; pas de captcha sur les formulaires de contact.</t>
  </si>
  <si>
    <t xml:space="preserve">https://github.com/tallcms/tallcms/tree/main/packages/tallcms/cms/src/Http/Controllers/ContactFormController.php</t>
  </si>
  <si>
    <t xml:space="preserve">Aucune mention de captcha ou honeypot trouvée dans Bolt.</t>
  </si>
  <si>
    <t xml:space="preserve">Affichage conditionnel de champs selon les réponses dans Jetpack Forms.</t>
  </si>
  <si>
    <t xml:space="preserve">Conditions d'affichage et de validation dans Webform (#states).</t>
  </si>
  <si>
    <t xml:space="preserve">Logique conditionnelle de champs et pages via Formie ou Freeform.</t>
  </si>
  <si>
    <t xml:space="preserve">Champs conditionnels dans DreamForm.</t>
  </si>
  <si>
    <t xml:space="preserve">Champs conditionnels des blueprints exploitables dans form:create ; Forms 2.0 (alpha) ajoute un éditeur visuel.</t>
  </si>
  <si>
    <t xml:space="preserve">Formulaires multi-étapes via tags ; triggers surtout côté backend, peu documentés côté front.</t>
  </si>
  <si>
    <t xml:space="preserve">Champ conditional (condition évaluée côté serveur) ; pas de logique dynamique avancée côté client.</t>
  </si>
  <si>
    <t xml:space="preserve">Seules les conditions de prix (priceConditions) existent ; pas d'affichage conditionnel des champs.</t>
  </si>
  <si>
    <t xml:space="preserve">https://payloadcms.com/docs/plugins/form-builder#price-conditions</t>
  </si>
  <si>
    <t xml:space="preserve">Aucune logique conditionnelle entre champs du formulaire de contact.</t>
  </si>
  <si>
    <t xml:space="preserve">Bolt gère la visibilité conditionnelle des champs selon d'autres réponses.</t>
  </si>
  <si>
    <t xml:space="preserve">Champ File Upload de Jetpack Forms.</t>
  </si>
  <si>
    <t xml:space="preserve">Éléments fichier, image, document de Webform avec stockage privé possible.</t>
  </si>
  <si>
    <t xml:space="preserve">Contact Form accepte les pièces jointes ; uploads stockés en assets via Formie/Freeform.</t>
  </si>
  <si>
    <t xml:space="preserve">https://github.com/craftcms/contact-form</t>
  </si>
  <si>
    <t xml:space="preserve">Champ fichier dans DreamForm/Uniform ; possible en code via $page-&gt;createFile().</t>
  </si>
  <si>
    <t xml:space="preserve">Champs assets (stockés en conteneur) ou files (joints à l'e-mail puis supprimés).</t>
  </si>
  <si>
    <t xml:space="preserve">Champs fichiers dans submission avec contrôle taille, fileTypes, maxFiles et SVG nettoyés.</t>
  </si>
  <si>
    <t xml:space="preserve">Champ file (FilePond) avec extensions acceptées et liste d'extensions dangereuses bloquées.</t>
  </si>
  <si>
    <t xml:space="preserve">Champ Upload du form-builder, lié à des uploadCollections.</t>
  </si>
  <si>
    <t xml:space="preserve">https://payloadcms.com/docs/plugins/form-builder#upload</t>
  </si>
  <si>
    <t xml:space="preserve">Types de champs limités à texte, email, téléphone, textarea et liste déroulante.</t>
  </si>
  <si>
    <t xml:space="preserve">Champ FileUpload disponible dans Bolt.</t>
  </si>
  <si>
    <t xml:space="preserve">Export CSV ou Google Sheets des réponses Jetpack Forms.</t>
  </si>
  <si>
    <t xml:space="preserve">Webform exporte en CSV, Excel, JSON, YAML ou archive.</t>
  </si>
  <si>
    <t xml:space="preserve">Export CSV/Excel des soumissions via Formie ou Freeform.</t>
  </si>
  <si>
    <t xml:space="preserve">Export des soumissions proposé par DreamForm.</t>
  </si>
  <si>
    <t xml:space="preserve">Export CSV ou JSON avec sélection des colonnes et exporteurs personnalisés.</t>
  </si>
  <si>
    <t xml:space="preserve">Export CSV/JSON (avec ZIP des pièces jointes) via showExport des blueprints Tailor.</t>
  </si>
  <si>
    <t xml:space="preserve">Soumissions en fichiers bruts ; aucun export CSV intégré au plugin Form.</t>
  </si>
  <si>
    <t xml:space="preserve">Via @payloadcms/plugin-import-export (CSV/JSON) appliqué à la collection des soumissions.</t>
  </si>
  <si>
    <t xml:space="preserve">https://payloadcms.com/docs/plugins/import-export</t>
  </si>
  <si>
    <t xml:space="preserve">Pas d'action d'export des soumissions (possible via plugin Filament Excel tiers).</t>
  </si>
  <si>
    <t xml:space="preserve">https://github.com/tallcms/tallcms/tree/main/packages/tallcms/cms/src/Filament/Resources/TallcmsContactSubmissions</t>
  </si>
  <si>
    <t xml:space="preserve">Bolt fournit un exporteur Filament des réponses.</t>
  </si>
  <si>
    <t xml:space="preserve">API add_role()/add_cap() en code, cinq rôles par défaut ; aucune interface d'édition (Members ou User Role Editor en tiers).</t>
  </si>
  <si>
    <t xml:space="preserve">https://developer.wordpress.org/plugins/users/roles-and-capabilities/</t>
  </si>
  <si>
    <t xml:space="preserve">Rôles illimités créés depuis Personnes &gt; Rôles.</t>
  </si>
  <si>
    <t xml:space="preserve">https://www.drupal.org/docs/user_guide/en/user-new-role.html</t>
  </si>
  <si>
    <t xml:space="preserve">Payant : groupes d'utilisateurs illimités avec permissions en Pro (Team limité à 1 groupe, Solo à 1 admin).</t>
  </si>
  <si>
    <t xml:space="preserve">https://craftcms.com/pricing</t>
  </si>
  <si>
    <t xml:space="preserve">Un blueprint par rôle dans site/blueprints/users avec champs et permissions propres.</t>
  </si>
  <si>
    <t xml:space="preserve">https://getkirby.com/docs/guide/users/permissions</t>
  </si>
  <si>
    <t xml:space="preserve">Payant : Pro – rôles et permissions ; Core limité à un seul super admin.</t>
  </si>
  <si>
    <t xml:space="preserve">https://statamic.dev/getting-started/licensing</t>
  </si>
  <si>
    <t xml:space="preserve">Rôles administrateurs avec hiérarchie et permissions, gérés dans Settings &gt; Team.</t>
  </si>
  <si>
    <t xml:space="preserve">https://docs.octobercms.com/4.x/extend/backend/permissions.html</t>
  </si>
  <si>
    <t xml:space="preserve">Groupes d'utilisateurs avec droits d'accès (ACL) définis en YAML ou dans Admin2.</t>
  </si>
  <si>
    <t xml:space="preserve">Pas de système de rôles : un champ roles et des fonctions d'accès codées les implémentent.</t>
  </si>
  <si>
    <t xml:space="preserve">https://payloadcms.com/docs/access-control/overview</t>
  </si>
  <si>
    <t xml:space="preserve">Rôles éditables dans l'admin via Filament Shield / Spatie Permission ; 5 rôles fournis.</t>
  </si>
  <si>
    <t xml:space="preserve">https://github.com/tallcms/tallcms/blob/main/docs/ref-roles-authorization.md</t>
  </si>
  <si>
    <t xml:space="preserve">Aucun rôle dans Sky ; via policies Laravel ou plugin Filament Shield (bezhansalleh).</t>
  </si>
  <si>
    <t xml:space="preserve">https://filamentphp.com/plugins/bezhansalleh-shield</t>
  </si>
  <si>
    <t xml:space="preserve">Capacités par action et par type de contenu via capability_type et map_meta_cap.</t>
  </si>
  <si>
    <t xml:space="preserve">Permissions par type et action (créer, modifier, supprimer, révisions) ; Access Policy API depuis 10.3.</t>
  </si>
  <si>
    <t xml:space="preserve">https://www.drupal.org/node/3385551</t>
  </si>
  <si>
    <t xml:space="preserve">Payant : permissions par section, volume, groupe de catégories, site et action (voir, créer, supprimer) en Pro.</t>
  </si>
  <si>
    <t xml:space="preserve">https://craftcms.com/docs/5.x/system/user-management.html</t>
  </si>
  <si>
    <t xml:space="preserve">Permissions par catégorie/action (pages, files, site, users, languages) et options par blueprint, variables par rôle.</t>
  </si>
  <si>
    <t xml:space="preserve">Payant : Pro – permissions par collection, taxonomie, conteneur, formulaire et action.</t>
  </si>
  <si>
    <t xml:space="preserve">https://statamic.dev/control-panel/permissions</t>
  </si>
  <si>
    <t xml:space="preserve">Permissions Tailor par blueprint : créer, publier, supprimer ; permissions par plugin et contrôleur.</t>
  </si>
  <si>
    <t xml:space="preserve">ACL par action (api.pages.read/write, media, config, users…) et par répertoire Flex.</t>
  </si>
  <si>
    <t xml:space="preserve">Fonctions d'accès create/read/update/delete/readVersions par collection et global.</t>
  </si>
  <si>
    <t xml:space="preserve">https://payloadcms.com/docs/access-control/collections</t>
  </si>
  <si>
    <t xml:space="preserve">Permissions {Action}:{Resource} dont Approve, SubmitForReview, ViewRevisions, GeneratePreviewLink.</t>
  </si>
  <si>
    <t xml:space="preserve">Ressources Filament respectant les policies Laravel ; génération possible avec Filament Shield.</t>
  </si>
  <si>
    <t xml:space="preserve">https://filamentphp.com/docs/5.x/resources/overview</t>
  </si>
  <si>
    <t xml:space="preserve">Aucune permission par champ native ; ACF Extended ajoute des permissions de champ par rôle.</t>
  </si>
  <si>
    <t xml:space="preserve">https://www.acf-extended.com/</t>
  </si>
  <si>
    <t xml:space="preserve">Module Field Permissions ; côté code, hook d'accès aux champs natif.</t>
  </si>
  <si>
    <t xml:space="preserve">https://www.drupal.org/project/field_permissions</t>
  </si>
  <si>
    <t xml:space="preserve">Payant : conditions de visibilité/éditabilité par groupe d'utilisateurs dans les layouts, utiles avec plusieurs groupes (Pro).</t>
  </si>
  <si>
    <t xml:space="preserve">Pas de permission de champ native ; blueprints PHP conditionnels selon le rôle ou plugin Policy.</t>
  </si>
  <si>
    <t xml:space="preserve">Aucune permission par champ ; seulement la visibilité (read-only, hidden) définie dans le blueprint.</t>
  </si>
  <si>
    <t xml:space="preserve">Propriété permissions sur les champs de formulaire pour masquer selon droits.</t>
  </si>
  <si>
    <t xml:space="preserve">restrict_page_frontmatter bloque certains champs d'en-tête aux non-super-admins ; pas d'ACL générique par champ.</t>
  </si>
  <si>
    <t xml:space="preserve">Access control au niveau du champ (create, read, update).</t>
  </si>
  <si>
    <t xml:space="preserve">https://payloadcms.com/docs/access-control/fields</t>
  </si>
  <si>
    <t xml:space="preserve">Aucune permission au niveau des champs (seul le widget HTML personnalisé est réservé aux admins).</t>
  </si>
  <si>
    <t xml:space="preserve">Rien de prévu ; possible seulement en réécrivant les ressources.</t>
  </si>
  <si>
    <t xml:space="preserve">Distinction edit_posts / edit_others_posts / edit_published_posts selon l'auteur.</t>
  </si>
  <si>
    <t xml:space="preserve">Permissions « modifier son propre contenu » et système node access (grants) ; ACL fines via Content Access ou Group.</t>
  </si>
  <si>
    <t xml:space="preserve">https://www.drupal.org/docs/administering-a-drupal-site/managing-access</t>
  </si>
  <si>
    <t xml:space="preserve">Payant : permissions distinctes pour les entrées et brouillons des autres auteurs (peer entries) en Pro.</t>
  </si>
  <si>
    <t xml:space="preserve">Options par blueprint et hooks before permettent des règles custom ; pas de notion de propriétaire native.</t>
  </si>
  <si>
    <t xml:space="preserve">Payant : Pro – permissions « edit/publish/delete other authors entries » basées sur le champ author.</t>
  </si>
  <si>
    <t xml:space="preserve">Permissions Tailor « Update/Publish/Delete Other Author Entry » limitant l'accès aux entrées d'autrui.</t>
  </si>
  <si>
    <t xml:space="preserve">https://github.com/octobercms/october/blob/develop/modules/tailor/classes/PermissionItem.php</t>
  </si>
  <si>
    <t xml:space="preserve">Règles permissions dans le frontmatter (auteurs, groupes, crudpl) héritées par les sous-pages.</t>
  </si>
  <si>
    <t xml:space="preserve">Les fonctions d'accès peuvent retourner une contrainte where (ex. auteur = utilisateur).</t>
  </si>
  <si>
    <t xml:space="preserve">Scoping par propriétaire de site (site_owner, trait ChecksSiteOwnership) ; pas d'ACL par entrée.</t>
  </si>
  <si>
    <t xml:space="preserve">Contenus privés visibles seulement par leur auteur en front ; aucune restriction en admin.</t>
  </si>
  <si>
    <t xml:space="preserve">https://github.com/lara-zeus/sky/blob/main/src/Livewire/Post.php</t>
  </si>
  <si>
    <t xml:space="preserve">Inscription ouverte et profils via wp-login/admin ; espace membre front via BuddyPress ou Ultimate Member.</t>
  </si>
  <si>
    <t xml:space="preserve">https://wordpress.org/documentation/article/settings-general-screen/</t>
  </si>
  <si>
    <t xml:space="preserve">Inscription, profils fieldables, récupération mot de passe et validation par admin dans le cœur.</t>
  </si>
  <si>
    <t xml:space="preserve">https://www.drupal.org/docs/user_guide/en/user-registration.html</t>
  </si>
  <si>
    <t xml:space="preserve">Payant : inscription publique, activation par e-mail, groupe par défaut et profils front en édition Pro.</t>
  </si>
  <si>
    <t xml:space="preserve">Rôles sans accès Panel et login front codable ; pas d'inscription prête (plugin Klub de bnomei).</t>
  </si>
  <si>
    <t xml:space="preserve">Tags user:register_form, login, profile, mot de passe oublié et protection de contenu par connexion.</t>
  </si>
  <si>
    <t xml:space="preserve">https://statamic.dev/control-panel/users</t>
  </si>
  <si>
    <t xml:space="preserve">Plugin RainLab.User (gratuit) : inscription, profils, groupes, sessions, 2FA.</t>
  </si>
  <si>
    <t xml:space="preserve">https://octobercms.com/plugin/rainlab-user</t>
  </si>
  <si>
    <t xml:space="preserve">Plugin Login : inscription, activation, profil, pages privées, invitations et lien magique.</t>
  </si>
  <si>
    <t xml:space="preserve">https://github.com/getgrav/grav-plugin-login</t>
  </si>
  <si>
    <t xml:space="preserve">Toute collection peut activer auth : inscription, vérification e-mail, reset, plusieurs collections d'utilisateurs.</t>
  </si>
  <si>
    <t xml:space="preserve">https://payloadcms.com/docs/authentication/overview</t>
  </si>
  <si>
    <t xml:space="preserve">Plugin Registration (MIT) pour l'inscription self-service ; pages auteurs publiques en core, pas d'espace membre.</t>
  </si>
  <si>
    <t xml:space="preserve">https://github.com/tallcms/tallcms/blob/main/docs/site-multisite.md</t>
  </si>
  <si>
    <t xml:space="preserve">Pas d'espace membre ; on peut restreindre le blog via le middleware auth.</t>
  </si>
  <si>
    <t xml:space="preserve">Plugin Two Factor (contributeurs WordPress.org, gratuit) : TOTP, e-mail, codes de secours ; pas dans le cœur.</t>
  </si>
  <si>
    <t xml:space="preserve">https://wordpress.org/plugins/two-factor/</t>
  </si>
  <si>
    <t xml:space="preserve">Module TFA (TOTP, codes de secours).</t>
  </si>
  <si>
    <t xml:space="preserve">https://www.drupal.org/project/tfa</t>
  </si>
  <si>
    <t xml:space="preserve">TOTP avec codes de récupération et passkeys (WebAuthn) dans toutes les éditions.</t>
  </si>
  <si>
    <t xml:space="preserve">2FA par code e-mail ou TOTP (4.0) ; passkeys et 2FA par utilisateur dans Kirby 6.</t>
  </si>
  <si>
    <t xml:space="preserve">https://getkirby.com/docs/guide/authentication/two-factor-auth</t>
  </si>
  <si>
    <t xml:space="preserve">2FA TOTP et passkeys WebAuthn depuis Statamic 6, imposables par rôle, aussi en front.</t>
  </si>
  <si>
    <t xml:space="preserve">2FA intégrée pour utilisateurs front via RainLab.User ; pour l'admin, uniquement plugins tiers (Renatio, VDLP).</t>
  </si>
  <si>
    <t xml:space="preserve">https://octobercms.com/plugin/vdlp-twofactorauthentication</t>
  </si>
  <si>
    <t xml:space="preserve">2FA TOTP du plugin Login, enrôlement depuis le profil Admin2.</t>
  </si>
  <si>
    <t xml:space="preserve">Pas de 2FA dans le cœur ; plugin communautaire payload-totp.</t>
  </si>
  <si>
    <t xml:space="preserve">https://app.unpkg.com/payload-totp@3.0.0-beta.3/files/README.md</t>
  </si>
  <si>
    <t xml:space="preserve">TOTP via la MFA native de Filament (AppAuthentication) activée en standalone.</t>
  </si>
  <si>
    <t xml:space="preserve">https://tallcms.com</t>
  </si>
  <si>
    <t xml:space="preserve">Authentification multifacteur native de Filament (v4+) activable sur le panneau.</t>
  </si>
  <si>
    <t xml:space="preserve">https://filamentphp.com/docs/5.x/users/multi-factor-authentication</t>
  </si>
  <si>
    <t xml:space="preserve">Connexion WordPress.com via Jetpack SSO ; SAML/LDAP/OIDC uniquement par extensions tierces (miniOrange, OpenID Connect Generic).</t>
  </si>
  <si>
    <t xml:space="preserve">https://jetpack.com/support/sso/</t>
  </si>
  <si>
    <t xml:space="preserve">OpenID Connect, SAML Authentication (samlauth), LDAP, Simple OAuth comme serveur.</t>
  </si>
  <si>
    <t xml:space="preserve">https://www.drupal.org/project/openid_connect</t>
  </si>
  <si>
    <t xml:space="preserve">Payant : SSO/SAML first-party réservé à l'offre Enterprise ; sinon plugins tiers (SAML SP, Social Login).</t>
  </si>
  <si>
    <t xml:space="preserve">Plugins OAuth 2.0 (thathoff), OAuth2 Email, CAS ; types d'auth extensibles par plugin.</t>
  </si>
  <si>
    <t xml:space="preserve">https://plugins.getkirby.com/topics/authentication</t>
  </si>
  <si>
    <t xml:space="preserve">Payant : Pro – OAuth via Laravel Socialite ; SAML via SocialiteProviders, SSO accompagné en Enterprise ; LDAP non documenté.</t>
  </si>
  <si>
    <t xml:space="preserve">https://statamic.dev/advanced-topics/oauth</t>
  </si>
  <si>
    <t xml:space="preserve">Socialite pour RainLab.User (connexion sociale, 15 $) ; pas de SAML/LDAP connu.</t>
  </si>
  <si>
    <t xml:space="preserve">https://octobercms.com/plugins?search=oauth</t>
  </si>
  <si>
    <t xml:space="preserve">Login OAuth2 (GitHub, Google, Facebook, extensible) et Login LDAP, gratuits ; pas de SAML officiel.</t>
  </si>
  <si>
    <t xml:space="preserve">https://github.com/trilbymedia/grav-plugin-login-oauth2</t>
  </si>
  <si>
    <t xml:space="preserve">Payant : SSO SAML/OAuth 2.0 en Enterprise ; sinon stratégies d'auth personnalisées ou plugins tiers (payload-oauth2).</t>
  </si>
  <si>
    <t xml:space="preserve">Non fourni ; la doc renvoie aux plugins Filament Socialite pour OAuth.</t>
  </si>
  <si>
    <t xml:space="preserve">https://github.com/tallcms/tallcms/blob/main/docs/ref-filament-ecosystem.md</t>
  </si>
  <si>
    <t xml:space="preserve">Doc évoquant LdapRecord pour le modèle auteur ; OAuth via plugins Filament Socialite.</t>
  </si>
  <si>
    <t xml:space="preserve">Extension User Switching.</t>
  </si>
  <si>
    <t xml:space="preserve">https://wordpress.org/plugins/user-switching/</t>
  </si>
  <si>
    <t xml:space="preserve">Module Masquerade.</t>
  </si>
  <si>
    <t xml:space="preserve">https://www.drupal.org/project/masquerade</t>
  </si>
  <si>
    <t xml:space="preserve">Payant : permission « Impersonate users » avec session élevée, utile seulement en Team/Pro multi-utilisateurs.</t>
  </si>
  <si>
    <t xml:space="preserve">$kirby-&gt;impersonate() côté code ; impersonation depuis le Panel via plugin Impersonate (nerdcel).</t>
  </si>
  <si>
    <t xml:space="preserve">Payant : Pro – permission impersonate users pour voir le CP et le front comme un autre utilisateur.</t>
  </si>
  <si>
    <t xml:space="preserve">Admin : « View as » un rôle ; usurpation d'utilisateurs front via RainLab.User.</t>
  </si>
  <si>
    <t xml:space="preserve">https://github.com/octobercms/october/blob/develop/modules/backend/controllers/UserRoles.php</t>
  </si>
  <si>
    <t xml:space="preserve">Aucune fonction pour se connecter en tant qu'un autre utilisateur.</t>
  </si>
  <si>
    <t xml:space="preserve">Aucune fonction native d'usurpation d'identité documentée.</t>
  </si>
  <si>
    <t xml:space="preserve">Non fourni ; via un plugin Filament Impersonate tiers.</t>
  </si>
  <si>
    <t xml:space="preserve">Via plugin tiers comme stechstudio/filament-impersonate.</t>
  </si>
  <si>
    <t xml:space="preserve">https://filamentphp.com/plugins/joseph-szobody-impersonate</t>
  </si>
  <si>
    <t xml:space="preserve">Pas de groupes natifs (rôles uniquement) ; extension Groups ou BuddyPress Groups.</t>
  </si>
  <si>
    <t xml:space="preserve">https://wordpress.org/plugins/groups/</t>
  </si>
  <si>
    <t xml:space="preserve">Module Group : groupes, rôles et permissions par groupe.</t>
  </si>
  <si>
    <t xml:space="preserve">https://www.drupal.org/project/group</t>
  </si>
  <si>
    <t xml:space="preserve">Payant : 1 groupe en Team, groupes illimités en Pro ; absents de Solo.</t>
  </si>
  <si>
    <t xml:space="preserve">Un seul rôle par utilisateur, pas de groupes.</t>
  </si>
  <si>
    <t xml:space="preserve">Payant : Pro – groupes d'utilisateurs auxquels on assigne des rôles.</t>
  </si>
  <si>
    <t xml:space="preserve">https://statamic.dev/control-panel/user-groups</t>
  </si>
  <si>
    <t xml:space="preserve">Groupes d'administrateurs (Team &gt; Manage Groups) en plus des rôles ; groupes front via RainLab.User.</t>
  </si>
  <si>
    <t xml:space="preserve">https://docs.octobercms.com/4.x/extend/backend/users.html</t>
  </si>
  <si>
    <t xml:space="preserve">Groupes avec permissions héritées par les comptes membres.</t>
  </si>
  <si>
    <t xml:space="preserve">Pas de groupes natifs ; modélisables par collection et relationship, ou tenants (plugin multi-tenant).</t>
  </si>
  <si>
    <t xml:space="preserve">https://payloadcms.com/docs/plugins/multi-tenant</t>
  </si>
  <si>
    <t xml:space="preserve">Seuls les rôles Spatie servent de regroupement ; aucun groupe d'utilisateurs.</t>
  </si>
  <si>
    <t xml:space="preserve">Aucun groupe.</t>
  </si>
  <si>
    <t xml:space="preserve">register_post_status() existe mais n'est pas intégré à l'éditeur ; UI via PublishPress Statuses.</t>
  </si>
  <si>
    <t xml:space="preserve">https://developer.wordpress.org/reference/functions/register_post_status/</t>
  </si>
  <si>
    <t xml:space="preserve">Module Workflows : états et transitions personnalisés appliqués via Content Moderation.</t>
  </si>
  <si>
    <t xml:space="preserve">https://www.drupal.org/docs/core-modules-and-themes/core-modules/workflows-module</t>
  </si>
  <si>
    <t xml:space="preserve">Statuts fixes (activé, désactivé, pending, expiré, brouillon) ; pas de statuts personnalisés.</t>
  </si>
  <si>
    <t xml:space="preserve">Trois statuts fixes (draft, unlisted, listed) renommables et restreignables par blueprint.</t>
  </si>
  <si>
    <t xml:space="preserve">Statuts fixes (published, draft, scheduled, expired), non extensibles.</t>
  </si>
  <si>
    <t xml:space="preserve">Statuts fixes (Published, Scheduled, Expired, Hidden, Draft) ; pas de statuts personnalisés.</t>
  </si>
  <si>
    <t xml:space="preserve">https://github.com/octobercms/october/blob/develop/modules/tailor/models/entryrecord/HasStatusScopes.php</t>
  </si>
  <si>
    <t xml:space="preserve">États fixes : publié, brouillon, programmé, expiré.</t>
  </si>
  <si>
    <t xml:space="preserve">Statut natif limité à draft/published ; statuts supplémentaires via champ select et hooks.</t>
  </si>
  <si>
    <t xml:space="preserve">Enum fixe draft / pending / published, non extensible depuis l'admin.</t>
  </si>
  <si>
    <t xml:space="preserve">https://github.com/tallcms/tallcms/tree/main/packages/tallcms/cms/src/Enums/ContentStatus.php</t>
  </si>
  <si>
    <t xml:space="preserve">Énum PostStatus remplaçable via la clé enums de la config ou -&gt;enums() du plugin.</t>
  </si>
  <si>
    <t xml:space="preserve">https://larazeus.com/docs/sky/v5/getting-started/upgrade</t>
  </si>
  <si>
    <t xml:space="preserve">Statut « En attente de relecture » pour contributeurs ; workflows multi-étapes via PublishPress.</t>
  </si>
  <si>
    <t xml:space="preserve">Transitions soumises à permissions (ex. brouillon → revue → publié) avec Content Moderation.</t>
  </si>
  <si>
    <t xml:space="preserve">Plugin Workflow (Verbb) : soumission, relecture, approbation ; le cœur ne propose que les permissions de publication.</t>
  </si>
  <si>
    <t xml:space="preserve">https://verbb.io/craft-plugins/workflow</t>
  </si>
  <si>
    <t xml:space="preserve">Pas d'approbation native ; modélisable avec statuts renommés et permission pages.changeStatus.</t>
  </si>
  <si>
    <t xml:space="preserve">Payant : Pro – séparation édition/publication via permission publish ; pas de workflow multi-étapes (prévu au roadmap).</t>
  </si>
  <si>
    <t xml:space="preserve">Séparation brouillon/publication via permission publish : un rédacteur crée des brouillons, un éditeur publie ; pas de circuit multi-étapes.</t>
  </si>
  <si>
    <t xml:space="preserve">Aucun circuit de validation ; seule la permission publish restreint la mise en ligne.</t>
  </si>
  <si>
    <t xml:space="preserve">Payant : Publishing Workflows Enterprise (approbations, notifications, feedback inline).</t>
  </si>
  <si>
    <t xml:space="preserve">Soumission pour relecture, approbation ou rejet motivé, activable par site.</t>
  </si>
  <si>
    <t xml:space="preserve">Statut Pending disponible sans circuit de validation ni contrôle d'accès.</t>
  </si>
  <si>
    <t xml:space="preserve">Pas d'assignation ; les @mentions des Notes (7.1) notifient seulement ; PublishPress Planner pour l'assignation.</t>
  </si>
  <si>
    <t xml:space="preserve">https://wordpress.org/plugins/publishpress/</t>
  </si>
  <si>
    <t xml:space="preserve">Assignation de notes via Moderation Note ; pas d'assignation native de relecteur.</t>
  </si>
  <si>
    <t xml:space="preserve">https://www.drupal.org/project/moderation_note</t>
  </si>
  <si>
    <t xml:space="preserve">Relecteurs multi-étapes configurables via le plugin Workflow de Verbb.</t>
  </si>
  <si>
    <t xml:space="preserve">https://verbb.io/craft-plugins/workflow/docs/feature-tour/reviewers</t>
  </si>
  <si>
    <t xml:space="preserve">Aucune assignation native ; seulement via champ users personnalisé.</t>
  </si>
  <si>
    <t xml:space="preserve">Aucune assignation native ; Workflows figure au roadmap « planned ».</t>
  </si>
  <si>
    <t xml:space="preserve">https://statamic.com/roadmap</t>
  </si>
  <si>
    <t xml:space="preserve">Aucune assignation de relecteurs.</t>
  </si>
  <si>
    <t xml:space="preserve">Pas d'assignation de relecteurs.</t>
  </si>
  <si>
    <t xml:space="preserve">Payant : inclus dans les Publishing Workflows Enterprise.</t>
  </si>
  <si>
    <t xml:space="preserve">Les approbateurs sont notifiés par permission, sans assignation nominative.</t>
  </si>
  <si>
    <t xml:space="preserve">Aucune assignation.</t>
  </si>
  <si>
    <t xml:space="preserve">Notes (6.9) sur blocs puis sélections de texte en 7.1, avec fils multiples, résolution et @mentions notifiées.</t>
  </si>
  <si>
    <t xml:space="preserve">Moderation Note : annotations sur le texte, réponses, résolution (bêta, maintenance minimale).</t>
  </si>
  <si>
    <t xml:space="preserve">Notes de brouillon et de révision natives ; commentaires de relecture via plugins (Workflow, Comments).</t>
  </si>
  <si>
    <t xml:space="preserve">Pas de commentaires internes ; champ textarea dédié ou plugin.</t>
  </si>
  <si>
    <t xml:space="preserve">Pas de commentaires éditoriaux natifs.</t>
  </si>
  <si>
    <t xml:space="preserve">Notes de brouillon (DraftNotes) attachées aux brouillons Tailor.</t>
  </si>
  <si>
    <t xml:space="preserve">https://github.com/octobercms/october/blob/develop/modules/tailor/vuecomponents/DraftNotes.php</t>
  </si>
  <si>
    <t xml:space="preserve">Pas de notes éditoriales ; Comments Pro (payant) vise les commentaires publics.</t>
  </si>
  <si>
    <t xml:space="preserve">https://learn.getgrav.org/20/grav-premium</t>
  </si>
  <si>
    <t xml:space="preserve">Payant : feedback inline des Publishing Workflows Enterprise.</t>
  </si>
  <si>
    <t xml:space="preserve">Motif de rejet et notes de snapshot uniquement ; pas de fil de commentaires éditoriaux.</t>
  </si>
  <si>
    <t xml:space="preserve">Aucun commentaire interne (commentaires annoncés « à venir »).</t>
  </si>
  <si>
    <t xml:space="preserve">Post locking via Heartbeat API avec possibilité de prendre le relais.</t>
  </si>
  <si>
    <t xml:space="preserve">https://developer.wordpress.org/plugins/javascript/heartbeat-api/</t>
  </si>
  <si>
    <t xml:space="preserve">Content Lock empêche l'édition concurrente ; le cœur détecte seulement les conflits à l'enregistrement.</t>
  </si>
  <si>
    <t xml:space="preserve">https://www.drupal.org/project/content_lock</t>
  </si>
  <si>
    <t xml:space="preserve">Indicateur d'activité montrant qui consulte ou édite l'élément ; verrou strict via plugin Locked Entries.</t>
  </si>
  <si>
    <t xml:space="preserve">Content locking : une page éditée par un autre est verrouillée, déverrouillage auto (5.5).</t>
  </si>
  <si>
    <t xml:space="preserve">Payant : Pro + addon gratuit Collaboration – verrouillage par champ pendant l'édition.</t>
  </si>
  <si>
    <t xml:space="preserve">https://statamic.dev/control-panel/multi-user-collaboration</t>
  </si>
  <si>
    <t xml:space="preserve">Pas de verrou concurrent ; l'éditeur CMS détecte les conflits de modification de fichiers.</t>
  </si>
  <si>
    <t xml:space="preserve">https://github.com/octobercms/october/blob/develop/modules/editor/vuecomponents/EditorConflictResolver.php</t>
  </si>
  <si>
    <t xml:space="preserve">Contrôle de concurrence optimiste par ETag/If-Match (409 en cas de conflit), pas de verrou.</t>
  </si>
  <si>
    <t xml:space="preserve">Locked Documents : verrouillage automatique pendant l'édition avec prise de contrôle possible.</t>
  </si>
  <si>
    <t xml:space="preserve">https://payloadcms.com/docs/admin/locked-documents</t>
  </si>
  <si>
    <t xml:space="preserve">Aucun verrouillage d'édition concurrente documenté.</t>
  </si>
  <si>
    <t xml:space="preserve">Aucun verrouillage.</t>
  </si>
  <si>
    <t xml:space="preserve">Expérimental via le plugin Gutenberg (Réglages &gt; Écriture) ; retiré de 7.0 et absent de 7.1.</t>
  </si>
  <si>
    <t xml:space="preserve">https://make.wordpress.org/core/tag/collaboration/</t>
  </si>
  <si>
    <t xml:space="preserve">Payant : CKEditor 5 Premium Features (CKSource) pour la co-édition temps réel des champs texte.</t>
  </si>
  <si>
    <t xml:space="preserve">https://www.drupal.org/project/ckeditor5_premium_features</t>
  </si>
  <si>
    <t xml:space="preserve">Pas de co-édition ; seulement indicateurs de présence et rechargement auto des slideouts (5.10).</t>
  </si>
  <si>
    <t xml:space="preserve">Pas de co-édition simultanée ; les changements des autres sont visibles et prévisualisables (5.0).</t>
  </si>
  <si>
    <t xml:space="preserve">Payant : Pro + addon gratuit Collaboration (broadcasting Reverb/Pusher) – présence et synchro temps réel.</t>
  </si>
  <si>
    <t xml:space="preserve">https://github.com/statamic/collaboration</t>
  </si>
  <si>
    <t xml:space="preserve">Aucune co-édition temps réel.</t>
  </si>
  <si>
    <t xml:space="preserve">Plugin Sync gratuit (CRDT Yjs, présence) ; édition riche collaborative avec Editor Pro (payant), Mercure optionnel.</t>
  </si>
  <si>
    <t xml:space="preserve">https://github.com/getgrav/grav-plugin-sync</t>
  </si>
  <si>
    <t xml:space="preserve">Payant : Multi-Player Editing Enterprise annoncé « coming soon ».</t>
  </si>
  <si>
    <t xml:space="preserve">Pas de co-édition temps réel.</t>
  </si>
  <si>
    <t xml:space="preserve">Aucune collaboration temps réel.</t>
  </si>
  <si>
    <t xml:space="preserve">Notices d'admin seulement, pas de centre de notifications ; les Notes notifient par e-mail.</t>
  </si>
  <si>
    <t xml:space="preserve">Aucun centre de notifications natif ; flux via Message/Message Notify ou automatisation ECA.</t>
  </si>
  <si>
    <t xml:space="preserve">https://www.drupal.org/project/message</t>
  </si>
  <si>
    <t xml:space="preserve">Pas de centre de notifications ; seuls les toasts d'interface et les e-mails système existent.</t>
  </si>
  <si>
    <t xml:space="preserve">Notifications toast du Panel et dialogue des changements ; pas de centre de notifications.</t>
  </si>
  <si>
    <t xml:space="preserve">Toasts et widget Updater uniquement ; pas de centre de notifications éditoriales.</t>
  </si>
  <si>
    <t xml:space="preserve">https://statamic.dev/control-panel/toast-notifications</t>
  </si>
  <si>
    <t xml:space="preserve">Plugin RainLab.Notify (gratuit) : moteur de notifications avec règles et actions.</t>
  </si>
  <si>
    <t xml:space="preserve">https://octobercms.com/author/RainLab</t>
  </si>
  <si>
    <t xml:space="preserve">Admin2 affiche les notifications du flux getgrav.org (mises à jour, annonces), pas d'alertes éditoriales.</t>
  </si>
  <si>
    <t xml:space="preserve">Payant : notifications des Publishing Workflows Enterprise ; rien en natif.</t>
  </si>
  <si>
    <t xml:space="preserve">Notifications base de données Filament : soumission, approbation, rejet, nouveaux commentaires.</t>
  </si>
  <si>
    <t xml:space="preserve">Notifications de base de données Filament disponibles nativement, non utilisées par Sky.</t>
  </si>
  <si>
    <t xml:space="preserve">https://filamentphp.com/docs/5.x/notifications/database-notifications</t>
  </si>
  <si>
    <t xml:space="preserve">E-mails système modifiables uniquement par filtres ; extension Better Notifications for WP.</t>
  </si>
  <si>
    <t xml:space="preserve">https://wordpress.org/plugins/bnfw/</t>
  </si>
  <si>
    <t xml:space="preserve">E-mails de compte éditables dans Paramètres des comptes ; modèles HTML complets via Easy Email (Drupal CMS).</t>
  </si>
  <si>
    <t xml:space="preserve">https://www.drupal.org/project/easy_email</t>
  </si>
  <si>
    <t xml:space="preserve">Payant : édition des messages système (Twig + Markdown) réservée à l'édition Pro, gabarit HTML configurable.</t>
  </si>
  <si>
    <t xml:space="preserve">https://craftcms.com/docs/5.x/system/mail.html</t>
  </si>
  <si>
    <t xml:space="preserve">Templates d'e-mail PHP (texte/HTML) dans site/templates/emails, éditables en code seulement.</t>
  </si>
  <si>
    <t xml:space="preserve">https://getkirby.com/docs/guide/emails</t>
  </si>
  <si>
    <t xml:space="preserve">Vues Blade/Antlers d'e-mail personnalisables en code ; addon officiel Mailables Viewer pour les prévisualiser.</t>
  </si>
  <si>
    <t xml:space="preserve">Modèles, layouts et partials mail éditables dans Settings &gt; Mail Templates, traduisibles depuis 4.4.</t>
  </si>
  <si>
    <t xml:space="preserve">https://docs.octobercms.com/4.x/extend/system/sending-mail.html</t>
  </si>
  <si>
    <t xml:space="preserve">Modèles d'e-mails en Twig surchargeables dans le thème (Login, Form), non éditables depuis l'admin.</t>
  </si>
  <si>
    <t xml:space="preserve">https://github.com/getgrav/grav-plugin-email</t>
  </si>
  <si>
    <t xml:space="preserve">Gabarits auth personnalisables en code (generateEmailHTML/Subject), pas éditables dans l'admin.</t>
  </si>
  <si>
    <t xml:space="preserve">https://payloadcms.com/docs/authentication/email</t>
  </si>
  <si>
    <t xml:space="preserve">Mailables Blade surchargeables en code ; seul le message d'auto-réponse est éditable dans le bloc.</t>
  </si>
  <si>
    <t xml:space="preserve">https://github.com/tallcms/tallcms/tree/main/packages/tallcms/cms/src/Mail</t>
  </si>
  <si>
    <t xml:space="preserve">Sky n'envoie aucun e-mail.</t>
  </si>
  <si>
    <t xml:space="preserve">wp_mail() via PHPMailer, SMTP configurable seulement en code (phpmailer_init) ; WP Mail SMTP en tiers.</t>
  </si>
  <si>
    <t xml:space="preserve">https://developer.wordpress.org/reference/hooks/phpmailer_init/</t>
  </si>
  <si>
    <t xml:space="preserve">Symfony Mailer dans le cœur, transport via le DSN mailer_dsn (settings.php) depuis 10.2 ; sans UI.</t>
  </si>
  <si>
    <t xml:space="preserve">https://www.drupal.org/node/3369935</t>
  </si>
  <si>
    <t xml:space="preserve">Adaptateurs SMTP, Sendmail, Gmail ; officiels Mailgun, Postmark, Microsoft Graph ; surcharges par site (5.6).</t>
  </si>
  <si>
    <t xml:space="preserve">Option email.transport (SMTP via PHPMailer), presets et callback beforeSend.</t>
  </si>
  <si>
    <t xml:space="preserve">Transports mail Laravel (.env) avec utilitaire d'envoi d'e-mail de test dans le CP.</t>
  </si>
  <si>
    <t xml:space="preserve">https://statamic.dev/advanced-topics/email</t>
  </si>
  <si>
    <t xml:space="preserve">Pilotes SMTP, Mailgun, Postmark, SES, SparkPost, sendmail configurables en backend ou config.</t>
  </si>
  <si>
    <t xml:space="preserve">https://docs.octobercms.com/4.x/setup/mail-config.html</t>
  </si>
  <si>
    <t xml:space="preserve">Plugin Email (Symfony Mailer : SMTP, sendmail…) ; Email Office365 en premium (25 $).</t>
  </si>
  <si>
    <t xml:space="preserve">Adaptateurs @payloadcms/email-nodemailer (SMTP) et @payloadcms/email-resend.</t>
  </si>
  <si>
    <t xml:space="preserve">https://payloadcms.com/docs/email/overview</t>
  </si>
  <si>
    <t xml:space="preserve">Transports Laravel Mail (SMTP, SES, Sendmail) configurés via .env.</t>
  </si>
  <si>
    <t xml:space="preserve">https://github.com/tallcms/tallcms/blob/main/docs/gs-installation.md</t>
  </si>
  <si>
    <t xml:space="preserve">Configuration mail Laravel via .env (SMTP, Mailgun, SES…).</t>
  </si>
  <si>
    <t xml:space="preserve">https://laravel.com/docs/mail</t>
  </si>
  <si>
    <t xml:space="preserve">Abonnements et newsletter Jetpack (gratuit, newsletters payantes possibles).</t>
  </si>
  <si>
    <t xml:space="preserve">https://jetpack.com/newsletter/</t>
  </si>
  <si>
    <t xml:space="preserve">Simplenews ; intégrations Mailchimp via recettes Drupal CMS.</t>
  </si>
  <si>
    <t xml:space="preserve">https://www.drupal.org/project/simplenews</t>
  </si>
  <si>
    <t xml:space="preserve">Plugin Campaign (PutYourLightsOn) ou intégrations Mailchimp/CleverReach.</t>
  </si>
  <si>
    <t xml:space="preserve">https://plugins.craftcms.com/campaign</t>
  </si>
  <si>
    <t xml:space="preserve">Aucune fonction native ; plugins communautaires (Mailjet de bnomei, kirby3-newsletter).</t>
  </si>
  <si>
    <t xml:space="preserve">https://github.com/bnomei/kirby-mailjet</t>
  </si>
  <si>
    <t xml:space="preserve">Addons tiers (Postmaster, intégrations Mailchimp/Campaign Monitor).</t>
  </si>
  <si>
    <t xml:space="preserve">https://statamic.com/newsletter/2026-08</t>
  </si>
  <si>
    <t xml:space="preserve">Payant : Responsiv Campaign Manager (100 $) ; RainLab.MailChimp gratuit.</t>
  </si>
  <si>
    <t xml:space="preserve">https://octobercms.com/author/Responsiv</t>
  </si>
  <si>
    <t xml:space="preserve">Payant : Mailroom (listes, double opt-in, campagnes, automatisations, rapports).</t>
  </si>
  <si>
    <t xml:space="preserve">https://learn.getgrav.org/20/grav-premium/mailroom</t>
  </si>
  <si>
    <t xml:space="preserve">Aucune gestion de newsletter ; intégration externe à coder.</t>
  </si>
  <si>
    <t xml:space="preserve">Payant : TallCMS Pro synchronise les formulaires avec Mailchimp, ConvertKit ou Brevo ; pas d'envoi natif.</t>
  </si>
  <si>
    <t xml:space="preserve">https://github.com/tallcms/tallcms/blob/main/docs/ref-pro-email-marketing.md</t>
  </si>
  <si>
    <t xml:space="preserve">Aucune fonction newsletter.</t>
  </si>
  <si>
    <t xml:space="preserve">Aucun webhook dans le cœur (WooCommerce en a pour le commerce) ; extension WP Webhooks.</t>
  </si>
  <si>
    <t xml:space="preserve">https://wordpress.org/plugins/wp-webhooks/</t>
  </si>
  <si>
    <t xml:space="preserve">Module Webhooks ou action HTTP d'ECA sur événements d'entité.</t>
  </si>
  <si>
    <t xml:space="preserve">https://www.drupal.org/project/eca</t>
  </si>
  <si>
    <t xml:space="preserve">Plugin gratuit Webhooks de Pixel &amp; Tonic : requêtes POST configurables sur événements.</t>
  </si>
  <si>
    <t xml:space="preserve">https://plugins.craftcms.com/webhooks</t>
  </si>
  <si>
    <t xml:space="preserve">Rien de natif mais hooks permettent d'en coder ; plugin Webhooks ou Discord (officiel).</t>
  </si>
  <si>
    <t xml:space="preserve">https://plugins.getkirby.com/topics/routing</t>
  </si>
  <si>
    <t xml:space="preserve">Pas de webhooks natifs ; addons Webhook Manager ou Hooker, ou listeners d'événements Laravel.</t>
  </si>
  <si>
    <t xml:space="preserve">https://statamic.com/addons/gydo-makkinga/hooker</t>
  </si>
  <si>
    <t xml:space="preserve">Aucun webhook sortant natif ni plugin marketplace ; à coder via événements.</t>
  </si>
  <si>
    <t xml:space="preserve">Plugin API : webhooks signés HMAC (pages, médias, users, config, GPM), retries, journal ; pas pour les éditions directes de fichiers.</t>
  </si>
  <si>
    <t xml:space="preserve">Pas d'UI de webhooks ; on les code dans les hooks afterChange/afterDelete.</t>
  </si>
  <si>
    <t xml:space="preserve">https://payloadcms.com/docs/hooks/collections</t>
  </si>
  <si>
    <t xml:space="preserve">Webhooks signés HMAC (page/post created, updated, published, deleted) avec retries et protection SSRF.</t>
  </si>
  <si>
    <t xml:space="preserve">Aucun webhook ; seulement les événements Eloquent à exploiter en code.</t>
  </si>
  <si>
    <t xml:space="preserve">Interface traduite mais contenu monolingue ; WPML (payant), Polylang ou TranslatePress. Prévu en phase 4 de Gutenberg.</t>
  </si>
  <si>
    <t xml:space="preserve">https://wordpress.org/about/roadmap/</t>
  </si>
  <si>
    <t xml:space="preserve">Modules Language, Content Translation, Interface Translation et Configuration Translation dans le cœur.</t>
  </si>
  <si>
    <t xml:space="preserve">https://www.drupal.org/docs/multilingual-guide</t>
  </si>
  <si>
    <t xml:space="preserve">Chaque site a une langue ; contenus localisés par site dans une même installation.</t>
  </si>
  <si>
    <t xml:space="preserve">https://craftcms.com/docs/5.x/system/sites.html</t>
  </si>
  <si>
    <t xml:space="preserve">Option languages: true, langues gérées dans le Panel, fichier de contenu par langue.</t>
  </si>
  <si>
    <t xml:space="preserve">https://getkirby.com/docs/guide/languages</t>
  </si>
  <si>
    <t xml:space="preserve">Payant : Pro – multi-site/multilingue avec locale, lang et sites.yaml.</t>
  </si>
  <si>
    <t xml:space="preserve">https://statamic.dev/control-panel/multi-site</t>
  </si>
  <si>
    <t xml:space="preserve">Multisite par définitions de sites/locales et trait Translatable du cœur depuis 4.2.</t>
  </si>
  <si>
    <t xml:space="preserve">https://docs.octobercms.com/4.x/cms/multisite/multisite.html</t>
  </si>
  <si>
    <t xml:space="preserve">Langues déclarées dans system.yaml, un fichier par langue (default.fr.md), chaînes traduites.</t>
  </si>
  <si>
    <t xml:space="preserve">Option localization dans la config avec locales et locale par défaut.</t>
  </si>
  <si>
    <t xml:space="preserve">https://payloadcms.com/docs/configuration/localization</t>
  </si>
  <si>
    <t xml:space="preserve">i18n activable (Spatie Translatable) pour pages, articles, catégories et éléments de menu.</t>
  </si>
  <si>
    <t xml:space="preserve">https://github.com/tallcms/tallcms/blob/main/docs/ref-i18n.md</t>
  </si>
  <si>
    <t xml:space="preserve">Modèles traduisibles via spatie/laravel-translatable et sélecteur de langue lara-zeus/spatie-translatable.</t>
  </si>
  <si>
    <t xml:space="preserve">https://larazeus.com/docs/sky/v5/getting-started/installation</t>
  </si>
  <si>
    <t xml:space="preserve">WPML ou Polylang Pro gèrent la traduction des champs personnalisés.</t>
  </si>
  <si>
    <t xml:space="preserve">https://wpml.org/</t>
  </si>
  <si>
    <t xml:space="preserve">Chaque champ est déclaré traduisible ou non, par bundle.</t>
  </si>
  <si>
    <t xml:space="preserve">Méthode de traduction par champ : aucune, par site, groupe de sites, langue ou personnalisée.</t>
  </si>
  <si>
    <t xml:space="preserve">Option translate: false par champ pour les valeurs communes à toutes les langues.</t>
  </si>
  <si>
    <t xml:space="preserve">https://getkirby.com/docs/guide/languages/translating-content</t>
  </si>
  <si>
    <t xml:space="preserve">Payant : Pro – champs marqués localizable (icône globe), sinon hérités de l'origine.</t>
  </si>
  <si>
    <t xml:space="preserve">translatable: true par champ, icône globe pour traduction rapide, repeaters translatable: sync.</t>
  </si>
  <si>
    <t xml:space="preserve">https://octobercms.com/support/article/rn-41</t>
  </si>
  <si>
    <t xml:space="preserve">Traduction par fichier de page entier ; pas de champs marqués traduisibles ou partagés.</t>
  </si>
  <si>
    <t xml:space="preserve">localized: true par champ, y compris blocks et arrays.</t>
  </si>
  <si>
    <t xml:space="preserve">Champs traduisibles stockés en JSON par locale, sélecteur de langue dans l'éditeur.</t>
  </si>
  <si>
    <t xml:space="preserve">Titre, contenu, description (et Q/R FAQ) stockés en JSON par langue.</t>
  </si>
  <si>
    <t xml:space="preserve">Gestion de traduction WPML (statuts, traducteurs).</t>
  </si>
  <si>
    <t xml:space="preserve">Statut de publication et modération par traduction, marqueur « traduction obsolète » ; TMGMT pour un workflow complet.</t>
  </si>
  <si>
    <t xml:space="preserve">https://www.drupal.org/project/tmgmt</t>
  </si>
  <si>
    <t xml:space="preserve">Activation par site et propagation configurables, sans statut de traduction ni workflow dédié.</t>
  </si>
  <si>
    <t xml:space="preserve">Pas de statut de traduction ; plugins Translation Progress, Translation Status, Language Selector.</t>
  </si>
  <si>
    <t xml:space="preserve">https://plugins.getkirby.com/topics/internationalisation</t>
  </si>
  <si>
    <t xml:space="preserve">Payant : Pro – statut de publication indépendant par site ; pas de workflow de traduction dédié.</t>
  </si>
  <si>
    <t xml:space="preserve">Enregistrement par site pouvant être activé/désactivé indépendamment ; pas de statut de traduction dédié.</t>
  </si>
  <si>
    <t xml:space="preserve">https://docs.octobercms.com/4.x/cms/multisite/tailor.html</t>
  </si>
  <si>
    <t xml:space="preserve">Admin2 affiche les traductions existantes ou manquantes par page ; pas de workflow.</t>
  </si>
  <si>
    <t xml:space="preserve">Statut de publication par locale expérimental (localizeStatus) ; pas de workflow de traduction.</t>
  </si>
  <si>
    <t xml:space="preserve">https://payloadcms.com/docs/configuration/localization#status-localization</t>
  </si>
  <si>
    <t xml:space="preserve">Indicateurs complet/partiel/manquant par locale, sans workflow de validation par langue.</t>
  </si>
  <si>
    <t xml:space="preserve">Statut et date communs à toutes les langues.</t>
  </si>
  <si>
    <t xml:space="preserve">Uniquement via extensions multilingues (WPML « afficher si traduit » ou langue par défaut).</t>
  </si>
  <si>
    <t xml:space="preserve">Affichage de la langue d'origine si traduction absente ; chaînes de repli configurables uniquement en code.</t>
  </si>
  <si>
    <t xml:space="preserve">Champs non traduisibles partagés et fallback de dossiers templates par site, pas de fallback de contenu champ par champ.</t>
  </si>
  <si>
    <t xml:space="preserve">La langue par défaut sert de repli champ par champ pour les traductions manquantes.</t>
  </si>
  <si>
    <t xml:space="preserve">Payant : Pro – les localisations héritent des valeurs de l'entrée d'origine via la cascade.</t>
  </si>
  <si>
    <t xml:space="preserve">https://statamic.dev/content-modeling/data-inheritance</t>
  </si>
  <si>
    <t xml:space="preserve">Repli locale régionale &gt; langue de base &gt; valeur par défaut, et site primaire par défaut.</t>
  </si>
  <si>
    <t xml:space="preserve">https://docs.octobercms.com/4.x/extend/multisite/translatable.html</t>
  </si>
  <si>
    <t xml:space="preserve">Repli de contenu et de traductions (content_fallback, translations_fallback) et négociation Accept-Language.</t>
  </si>
  <si>
    <t xml:space="preserve">fallback activé par défaut et paramètre fallback-locale dans les requêtes.</t>
  </si>
  <si>
    <t xml:space="preserve">Repli automatique sur la langue par défaut si la traduction manque.</t>
  </si>
  <si>
    <t xml:space="preserve">Repli de spatie/laravel-translatable sur la locale fallback de Laravel.</t>
  </si>
  <si>
    <t xml:space="preserve">https://spatie.be/docs/laravel-translatable/v6/basic-usage/handling-missing-translations</t>
  </si>
  <si>
    <t xml:space="preserve">WordPress Multisite : réseau de sites en sous-domaines, sous-répertoires ou domaines distincts.</t>
  </si>
  <si>
    <t xml:space="preserve">https://wordpress.org/documentation/article/create-a-network/</t>
  </si>
  <si>
    <t xml:space="preserve">Multisite via sites.php : un code partagé, bases et configs séparées.</t>
  </si>
  <si>
    <t xml:space="preserve">https://www.drupal.org/docs/getting-started/multisite-drupal</t>
  </si>
  <si>
    <t xml:space="preserve">Sites et groupes de sites illimités, domaines ou chemins distincts, dans toutes les éditions.</t>
  </si>
  <si>
    <t xml:space="preserve">Possible via racines personnalisées par domaine (index.php), mais une licence par site ; plugin Multidomain Router.</t>
  </si>
  <si>
    <t xml:space="preserve">https://getkirby.com/docs/guide/configuration</t>
  </si>
  <si>
    <t xml:space="preserve">Payant : Pro – sites multiples (domaines, sous-domaines, sous-dossiers), pas prévu pour du multi-tenant.</t>
  </si>
  <si>
    <t xml:space="preserve">Site definitions et site groups (domaines, préfixes, thèmes), restrictions par rôle.</t>
  </si>
  <si>
    <t xml:space="preserve">setup.php et dossiers user/env/&lt;hôte&gt; par sous-domaine ou sous-dossier ; support qualifié de préliminaire.</t>
  </si>
  <si>
    <t xml:space="preserve">https://learn.getgrav.org/20/advanced/multisite-setup</t>
  </si>
  <si>
    <t xml:space="preserve">@payloadcms/plugin-multi-tenant : champ tenant et sélecteur de tenant dans l'admin.</t>
  </si>
  <si>
    <t xml:space="preserve">Payant : plugin Multisite (199 $) avec domaines, thèmes, réglages et propriétaires par site.</t>
  </si>
  <si>
    <t xml:space="preserve">Modèles configurables par panneau Filament et domaine des routes ; pas de vrai multi-site.</t>
  </si>
  <si>
    <t xml:space="preserve">Pas de partage natif entre sites d'un réseau ; Broadcast ou MultilingualPress.</t>
  </si>
  <si>
    <t xml:space="preserve">https://wordpress.org/plugins/threewp-broadcast/</t>
  </si>
  <si>
    <t xml:space="preserve">Domain Access : plusieurs domaines sur une base avec contenu partagé ou affecté.</t>
  </si>
  <si>
    <t xml:space="preserve">https://www.drupal.org/project/domain</t>
  </si>
  <si>
    <t xml:space="preserve">Méthodes de propagation des entrées (tous les sites, groupe, langue, au choix) et champs non traduits partagés.</t>
  </si>
  <si>
    <t xml:space="preserve">Pas de partage natif entre sites distincts.</t>
  </si>
  <si>
    <t xml:space="preserve">Payant : Pro – collections, globals et assets partagés, localisations héritant de l'origine.</t>
  </si>
  <si>
    <t xml:space="preserve">Modes multisite sync/all/locale des blueprints pour synchroniser les enregistrements.</t>
  </si>
  <si>
    <t xml:space="preserve">Partage via streams et liens symboliques ; pas de mécanisme dédié.</t>
  </si>
  <si>
    <t xml:space="preserve">Collections non tenantisées partagées ; pas de partage fin d'une entrée entre tenants.</t>
  </si>
  <si>
    <t xml:space="preserve">Payant : avec Multisite, articles, catégories et médias forment une bibliothèque partagée par utilisateur.</t>
  </si>
  <si>
    <t xml:space="preserve">Aucune notion de site.</t>
  </si>
  <si>
    <t xml:space="preserve">Support RTL complet de l'admin et des thèmes (feuilles -rtl.css, is_rtl()).</t>
  </si>
  <si>
    <t xml:space="preserve">https://developer.wordpress.org/themes/advanced-topics/right-to-left-language-support/</t>
  </si>
  <si>
    <t xml:space="preserve">Support RTL natif des thèmes cœur (Claro, Olivero) et de l'interface.</t>
  </si>
  <si>
    <t xml:space="preserve">Panneau de contrôle adapté aux langues RTL ; le rendu front dépend des templates.</t>
  </si>
  <si>
    <t xml:space="preserve">Option direction: rtl par langue, prise en charge dans le Panel.</t>
  </si>
  <si>
    <t xml:space="preserve">Direction rtl déduite de la langue du site (site:direction) et formulaire de publication adapté.</t>
  </si>
  <si>
    <t xml:space="preserve">Aucune mention de prise en charge RTL dans la doc 4.x.</t>
  </si>
  <si>
    <t xml:space="preserve">Le cœur identifie les langues RTL et Admin2 bascule son interface en dir=rtl.</t>
  </si>
  <si>
    <t xml:space="preserve">Option rtl par locale pour les champs et direction de l'admin selon la langue.</t>
  </si>
  <si>
    <t xml:space="preserve">Drapeau rtl par locale et helper tallcms_is_rtl() ; le thème doit appliquer dir=rtl.</t>
  </si>
  <si>
    <t xml:space="preserve">Traduction arabe incluse et admin Filament RTL ; thème front non vérifié pour le RTL.</t>
  </si>
  <si>
    <t xml:space="preserve">https://github.com/lara-zeus/sky/blob/main/resources/lang/ar</t>
  </si>
  <si>
    <t xml:space="preserve">Réglages &gt; Permaliens avec balises de structure ; rewrite slug par type de contenu.</t>
  </si>
  <si>
    <t xml:space="preserve">https://wordpress.org/documentation/article/settings-permalinks-screen/</t>
  </si>
  <si>
    <t xml:space="preserve">Alias d'URL manuels natifs ; motifs automatiques via Pathauto (Drupal CMS).</t>
  </si>
  <si>
    <t xml:space="preserve">https://www.drupal.org/docs/user_guide/en/content-paths.html</t>
  </si>
  <si>
    <t xml:space="preserve">Format d'URI par section et par site, en mini-template Twig (ex. blog/{slug}).</t>
  </si>
  <si>
    <t xml:space="preserve">URL dérivées de l'arborescence des dossiers ; personnalisables via routes et page models. Permaliens UUID /@/page/.</t>
  </si>
  <si>
    <t xml:space="preserve">Route par collection/taxonomie avec variables, champs, computed et Antlers, par locale.</t>
  </si>
  <si>
    <t xml:space="preserve">https://statamic.dev/content-modeling/routing</t>
  </si>
  <si>
    <t xml:space="preserve">URL définie par page CMS avec paramètres, optionnels, regex et wildcards.</t>
  </si>
  <si>
    <t xml:space="preserve">https://docs.octobercms.com/4.x/cms/themes/pages.html</t>
  </si>
  <si>
    <t xml:space="preserve">Routes issues des dossiers, surcharge routes.default, extension d'URL et minuscules forcées.</t>
  </si>
  <si>
    <t xml:space="preserve">Headless : le routage front est géré par l'application Next.js, pas par Payload.</t>
  </si>
  <si>
    <t xml:space="preserve">Préfixes configurables (blog, archives, mode plugin) ; pas de motifs de permaliens personnalisés.</t>
  </si>
  <si>
    <t xml:space="preserve">https://github.com/tallcms/tallcms/blob/main/docs/site-seo.md</t>
  </si>
  <si>
    <t xml:space="preserve">Préfixe global et préfixe par type (post, page, library, faq) configurables ; structure /prefixe/type/slug fixe.</t>
  </si>
  <si>
    <t xml:space="preserve">Slug généré depuis le titre, modifiable dans l'éditeur.</t>
  </si>
  <si>
    <t xml:space="preserve">Pathauto génère les alias depuis des tokens, éditables par entrée.</t>
  </si>
  <si>
    <t xml:space="preserve">https://www.drupal.org/project/pathauto</t>
  </si>
  <si>
    <t xml:space="preserve">Slugs générés depuis le titre ou saisis, éditables en ligne depuis l'index.</t>
  </si>
  <si>
    <t xml:space="preserve">Slug généré depuis le titre, éditable, règles de translittération par langue.</t>
  </si>
  <si>
    <t xml:space="preserve">Slug généré depuis le titre jusqu'à édition manuelle, fieldtype Slug.</t>
  </si>
  <si>
    <t xml:space="preserve">Slug Tailor généré depuis le titre (preset) et éditable ; trait Sluggable.</t>
  </si>
  <si>
    <t xml:space="preserve">Slug dérivé du nom de dossier, surchargeable par l'en-tête slug.</t>
  </si>
  <si>
    <t xml:space="preserve">slugField() génère un slug depuis un champ, verrouillable/éditable.</t>
  </si>
  <si>
    <t xml:space="preserve">https://payloadcms.com/docs/fields/text#slug-field</t>
  </si>
  <si>
    <t xml:space="preserve">Slug généré depuis le titre puis éditable, traduisible et validé unique.</t>
  </si>
  <si>
    <t xml:space="preserve">Slug généré depuis le titre à la création, éditable dans l'onglet SEO.</t>
  </si>
  <si>
    <t xml:space="preserve">Les pages et types hiérarchiques reflètent l'arborescence dans l'URL.</t>
  </si>
  <si>
    <t xml:space="preserve">Pathauto avec tokens de menu parent ([node:menu-link:parents]).</t>
  </si>
  <si>
    <t xml:space="preserve">Formats {parent.uri}/{slug} dans les sections Structure.</t>
  </si>
  <si>
    <t xml:space="preserve">L'URL reflète l'arborescence des pages.</t>
  </si>
  <si>
    <t xml:space="preserve">https://getkirby.com/docs/guide/content/creating-pages</t>
  </si>
  <si>
    <t xml:space="preserve">Variable {parent_uri} dans les routes de collections structurées et montage de collections.</t>
  </si>
  <si>
    <t xml:space="preserve">fullslug des entrées structure pour URL imbriquées ; Static Pages hiérarchiques.</t>
  </si>
  <si>
    <t xml:space="preserve">Les URL suivent l'arborescence des pages.</t>
  </si>
  <si>
    <t xml:space="preserve">plugin-nested-docs fournit les breadcrumbs avec URL complètes.</t>
  </si>
  <si>
    <t xml:space="preserve">Option TALLCMS_HIERARCHICAL_URLS pour des URL /parent/enfant, propagée au sitemap et aux menus.</t>
  </si>
  <si>
    <t xml:space="preserve">Les pages enfants gardent l'URL /page/{slug}.</t>
  </si>
  <si>
    <t xml:space="preserve">https://github.com/lara-zeus/sky/blob/main/routes/web.php</t>
  </si>
  <si>
    <t xml:space="preserve">Rewrite API (add_rewrite_rule, query vars) impérative et basée sur regex, pas de routeur déclaratif.</t>
  </si>
  <si>
    <t xml:space="preserve">https://developer.wordpress.org/reference/functions/add_rewrite_rule/</t>
  </si>
  <si>
    <t xml:space="preserve">Fichiers .routing.yml et, depuis 11.4, attributs PHP Route sur les contrôleurs.</t>
  </si>
  <si>
    <t xml:space="preserve">https://www.drupal.org/blog/drupal-11-4-0</t>
  </si>
  <si>
    <t xml:space="preserve">Règles d'URL dans config/routes.php (template ou action) et routes dynamiques gérées dans l'admin.</t>
  </si>
  <si>
    <t xml:space="preserve">https://craftcms.com/docs/5.x/system/routing.html</t>
  </si>
  <si>
    <t xml:space="preserve">Option routes (config/plugin) avec patterns, méthodes HTTP, langue et pages virtuelles.</t>
  </si>
  <si>
    <t xml:space="preserve">https://getkirby.com/docs/guide/routing</t>
  </si>
  <si>
    <t xml:space="preserve">Route::statamic() dans routes/web.php avec template, layout, données et content_type.</t>
  </si>
  <si>
    <t xml:space="preserve">Routes Laravel dans les plugins (routes.php) et URL de pages CMS.</t>
  </si>
  <si>
    <t xml:space="preserve">https://docs.octobercms.com/4.x/extend/system/routing.html</t>
  </si>
  <si>
    <t xml:space="preserve">Routes et alias (avec regex) dans site.yaml, plus routes.aliases par page.</t>
  </si>
  <si>
    <t xml:space="preserve">Endpoints REST personnalisés et vues admin ; routes front via Next.js App Router.</t>
  </si>
  <si>
    <t xml:space="preserve">https://payloadcms.com/docs/rest-api/overview#custom-endpoints</t>
  </si>
  <si>
    <t xml:space="preserve">Routes Laravel classiques ou fichiers de routes de plugins TallCMS ; pas de routage déclaratif CMS.</t>
  </si>
  <si>
    <t xml:space="preserve">https://github.com/tallcms/tallcms/blob/main/docs/dev-plugins.md</t>
  </si>
  <si>
    <t xml:space="preserve">Routes Laravel standards ; mode headless désactivant les routes de Sky.</t>
  </si>
  <si>
    <t xml:space="preserve">Pas de gestionnaire dans le cœur ; extension Redirection.</t>
  </si>
  <si>
    <t xml:space="preserve">https://wordpress.org/plugins/redirection/</t>
  </si>
  <si>
    <t xml:space="preserve">Module Redirect (inclus dans Drupal CMS).</t>
  </si>
  <si>
    <t xml:space="preserve">https://www.drupal.org/project/redirect</t>
  </si>
  <si>
    <t xml:space="preserve">Fichier config/redirects.php natif depuis 5.6, sans interface ; gestion admin via Retour (tiers).</t>
  </si>
  <si>
    <t xml:space="preserve">go() en code ; gestion dans le Panel via plugins Retour (Nico Hoffmann) ou Redirects (bnomei).</t>
  </si>
  <si>
    <t xml:space="preserve">Payant : SEO Pro (75 $) – gestionnaire de redirections 301/302 avec wildcards ; sinon addon Redirect (Rias).</t>
  </si>
  <si>
    <t xml:space="preserve">https://statamic.com/addons/statamic/seo-pro</t>
  </si>
  <si>
    <t xml:space="preserve">Plugin Vdlp.Redirect (gratuit) : gestion des redirections en backend.</t>
  </si>
  <si>
    <t xml:space="preserve">https://octobercms.com/plugin/vdlp-redirect</t>
  </si>
  <si>
    <t xml:space="preserve">Redirections déclarées dans site.yaml et en-tête redirect avec code HTTP ; pas d'interface dédiée.</t>
  </si>
  <si>
    <t xml:space="preserve">@payloadcms/plugin-redirects : collection from/to avec type de redirection, appliquée par le front.</t>
  </si>
  <si>
    <t xml:space="preserve">https://payloadcms.com/docs/plugins/redirects</t>
  </si>
  <si>
    <t xml:space="preserve">Plugin gratuit Redirect Manager : 301/302, compteur de hits, prévention des boucles.</t>
  </si>
  <si>
    <t xml:space="preserve">https://github.com/tallcms/tallcms/blob/main/docs/ref-redirects.md</t>
  </si>
  <si>
    <t xml:space="preserve">Aucun gestionnaire de redirections.</t>
  </si>
  <si>
    <t xml:space="preserve">wp_old_slug_redirect redirige automatiquement les anciens slugs d'articles.</t>
  </si>
  <si>
    <t xml:space="preserve">https://developer.wordpress.org/reference/functions/wp_old_slug_redirect/</t>
  </si>
  <si>
    <t xml:space="preserve">Redirect crée une redirection quand l'alias change.</t>
  </si>
  <si>
    <t xml:space="preserve">Plugin Retour (nystudio107) crée des redirections lors des changements de slug ou de structure.</t>
  </si>
  <si>
    <t xml:space="preserve">https://plugins.craftcms.com/retour</t>
  </si>
  <si>
    <t xml:space="preserve">Non native (les permaliens UUID restent stables) ; Retour peut journaliser les 404.</t>
  </si>
  <si>
    <t xml:space="preserve">Payant : SEO Pro – redirection automatique lors du changement de slug.</t>
  </si>
  <si>
    <t xml:space="preserve">Seules les URL traduites redirigent en 301 depuis l'URL par défaut ; pas de suivi des changements de slug.</t>
  </si>
  <si>
    <t xml:space="preserve">Aucune redirection créée automatiquement au renommage.</t>
  </si>
  <si>
    <t xml:space="preserve">plugin-redirects ne crée pas de redirection automatiquement au changement de slug.</t>
  </si>
  <si>
    <t xml:space="preserve">Aucune redirection créée automatiquement au changement de slug.</t>
  </si>
  <si>
    <t xml:space="preserve">Aucune redirection automatique.</t>
  </si>
  <si>
    <t xml:space="preserve">Template 404 éditable dans le Site Editor ; journal des 404 via Redirection.</t>
  </si>
  <si>
    <t xml:space="preserve">https://developer.wordpress.org/themes/basics/template-hierarchy/</t>
  </si>
  <si>
    <t xml:space="preserve">Page 404 configurable dans les paramètres de base ; rapport « Principales erreurs page non trouvée » (dblog).</t>
  </si>
  <si>
    <t xml:space="preserve">https://www.drupal.org/docs/user_guide/en/config-basic.html</t>
  </si>
  <si>
    <t xml:space="preserve">Templates 404.twig/error.twig natifs ; journal des 404 uniquement via Retour.</t>
  </si>
  <si>
    <t xml:space="preserve">Page error personnalisable nativement ; journal des 404 via plugin Retour.</t>
  </si>
  <si>
    <t xml:space="preserve">Vues errors/404 personnalisables en natif ; journal des 404 via SEO Pro (payant).</t>
  </si>
  <si>
    <t xml:space="preserve">Page CMS /404 personnalisable et journal des requêtes 404 (Request Logs).</t>
  </si>
  <si>
    <t xml:space="preserve">Plugin Error (gratuit) pour une page 404 personnalisée ; pas de journal des 404.</t>
  </si>
  <si>
    <t xml:space="preserve">https://github.com/getgrav/grav-plugin-error</t>
  </si>
  <si>
    <t xml:space="preserve">404 gérée par Next.js (not-found) ; aucun journal des 404.</t>
  </si>
  <si>
    <t xml:space="preserve">Vue 404 Laravel surchargeable ; aucun journal des 404.</t>
  </si>
  <si>
    <t xml:space="preserve">Vue d'erreur 404 Laravel personnalisable ; pas de journal.</t>
  </si>
  <si>
    <t xml:space="preserve">https://laravel.com/docs/errors#custom-http-error-pages</t>
  </si>
  <si>
    <t xml:space="preserve">Préfixe, sous-domaine ou domaine par langue via WPML ou Polylang.</t>
  </si>
  <si>
    <t xml:space="preserve">https://polylang.pro/doc/url-modifications/</t>
  </si>
  <si>
    <t xml:space="preserve">Négociation de langue par préfixe de chemin ou par domaine/sous-domaine.</t>
  </si>
  <si>
    <t xml:space="preserve">URL de base par site : sous-dossier (/fr/), sous-domaine ou domaine distinct.</t>
  </si>
  <si>
    <t xml:space="preserve">Option url par langue : préfixe, racine ou domaine dédié ; slugs traduits.</t>
  </si>
  <si>
    <t xml:space="preserve">Payant : Pro – url par site en domaine, sous-domaine ou sous-dossier, routes par locale.</t>
  </si>
  <si>
    <t xml:space="preserve">Sites par préfixe, domaine ou sous-domaine ; URL de page traduites via composant translatable.</t>
  </si>
  <si>
    <t xml:space="preserve">Préfixe de langue natif (/fr/…) ; domaine par langue seulement via multisite.</t>
  </si>
  <si>
    <t xml:space="preserve">Aucune gestion d'URL ; à réaliser dans le front (i18n Next.js).</t>
  </si>
  <si>
    <t xml:space="preserve">Préfixe de locale ou paramètre ?lang ; pas de sous-domaine ou domaine par langue.</t>
  </si>
  <si>
    <t xml:space="preserve">Aucun préfixe de langue dans les routes Sky.</t>
  </si>
  <si>
    <t xml:space="preserve">rel=canonical automatique sur les contenus singuliers (rel_canonical).</t>
  </si>
  <si>
    <t xml:space="preserve">https://developer.wordpress.org/reference/functions/rel_canonical/</t>
  </si>
  <si>
    <t xml:space="preserve">Lien rel=canonical sur les pages d'entité ; personnalisable via Metatag.</t>
  </si>
  <si>
    <t xml:space="preserve">https://www.drupal.org/project/metatag</t>
  </si>
  <si>
    <t xml:space="preserve">Pas de gestion native ; balises canoniques via SEOmatic ou en Twig manuellement.</t>
  </si>
  <si>
    <t xml:space="preserve">https://plugins.craftcms.com/seomatic</t>
  </si>
  <si>
    <t xml:space="preserve">Pas de balise canonique automatique ; plugins SEO/Meta (tobimori, fabianmichael).</t>
  </si>
  <si>
    <t xml:space="preserve">https://plugins.getkirby.com/topics/seo</t>
  </si>
  <si>
    <t xml:space="preserve">Payant : SEO Pro – canonical automatique avec gestion de la pagination.</t>
  </si>
  <si>
    <t xml:space="preserve">À coder dans le layout Twig ; pas de champ canonical natif.</t>
  </si>
  <si>
    <t xml:space="preserve">En-tête routes.canonical utilisé pour la balise canonical.</t>
  </si>
  <si>
    <t xml:space="preserve">Pas de champ canonique natif ; ajoutable dans le groupe meta du plugin SEO.</t>
  </si>
  <si>
    <t xml:space="preserve">https://payloadcms.com/docs/plugins/seo</t>
  </si>
  <si>
    <t xml:space="preserve">Balise canonical générée par le composant meta-tags du thème.</t>
  </si>
  <si>
    <t xml:space="preserve">https://github.com/tallcms/tallcms/tree/main/packages/tallcms/cms/resources/views/components/seo/meta-tags.blade.php</t>
  </si>
  <si>
    <t xml:space="preserve">laravel-seo émet l'URL courante (withUrl) ; pas de canonique éditable.</t>
  </si>
  <si>
    <t xml:space="preserve">Templates PHP natifs (thèmes classiques) et templates HTML de blocs avec theme.json (thèmes de blocs) ; pas de Twig/Blade natif.</t>
  </si>
  <si>
    <t xml:space="preserve">https://developer.wordpress.org/themes/</t>
  </si>
  <si>
    <t xml:space="preserve">Twig (3.x), avec autoescape, mode debug et suggestions de templates.</t>
  </si>
  <si>
    <t xml:space="preserve">https://www.drupal.org/docs/develop/theming-drupal/twig-in-drupal</t>
  </si>
  <si>
    <t xml:space="preserve">Twig 3 (3.28 en 5.11), étendu de tags et fonctions Craft ; bac à sable Twig optionnel.</t>
  </si>
  <si>
    <t xml:space="preserve">PHP natif avec snippets à slots et contrôleurs ; Twig et Blade via plugins (core component).</t>
  </si>
  <si>
    <t xml:space="preserve">https://getkirby.com/docs/guide/templates/basics</t>
  </si>
  <si>
    <t xml:space="preserve">Antlers (moteur propre) et Blade au choix, avec composants Antlers en Blade (&lt;s:collection&gt;).</t>
  </si>
  <si>
    <t xml:space="preserve">https://statamic.dev/frontend/antlers</t>
  </si>
  <si>
    <t xml:space="preserve">Twig 3 avec extensions October (tags component, partial, put, cache, props).</t>
  </si>
  <si>
    <t xml:space="preserve">https://docs.octobercms.com/4.x/markup/templating.html</t>
  </si>
  <si>
    <t xml:space="preserve">Twig 3 (fork synchronisé, 3.30), avec bac à sable pour le Twig des contenus.</t>
  </si>
  <si>
    <t xml:space="preserve">https://github.com/getgrav/grav/blob/develop/composer.json</t>
  </si>
  <si>
    <t xml:space="preserve">Aucun moteur côté CMS : headless, rendu par React/Next.js (Server Components) dans l'application.</t>
  </si>
  <si>
    <t xml:space="preserve">https://payloadcms.com/docs/getting-started/what-is-payload</t>
  </si>
  <si>
    <t xml:space="preserve">Blade (Laravel) avec Livewire et Alpine.js, styles Tailwind v4 + daisyUI.</t>
  </si>
  <si>
    <t xml:space="preserve">https://github.com/tallcms/tallcms/blob/main/docs/dev-themes.md</t>
  </si>
  <si>
    <t xml:space="preserve">Blade avec composants Livewire 3/4 et Tailwind (stack TALL).</t>
  </si>
  <si>
    <t xml:space="preserve">Template hierarchy : single-{type}-{slug} &gt; single &gt; singular &gt; index, idem pour les templates de blocs.</t>
  </si>
  <si>
    <t xml:space="preserve">Suggestions de templates (node--type--view-mode.html.twig…) et héritage depuis le thème de base.</t>
  </si>
  <si>
    <t xml:space="preserve">https://www.drupal.org/docs/develop/theming-drupal/twig-in-drupal/working-with-twig-templates</t>
  </si>
  <si>
    <t xml:space="preserve">Template désigné par section ; fallback limité au dossier spécifique au site puis templates/ global.</t>
  </si>
  <si>
    <t xml:space="preserve">Template nommé selon le blueprint, repli sur default.php ; représentations (.json.php) avec fallback.</t>
  </si>
  <si>
    <t xml:space="preserve">https://getkirby.com/docs/guide/templates/content-representations</t>
  </si>
  <si>
    <t xml:space="preserve">Template par défaut de collection, mappage @blueprint et vues par site ; pas de hiérarchie à la WordPress.</t>
  </si>
  <si>
    <t xml:space="preserve">https://statamic.dev/frontend/views</t>
  </si>
  <si>
    <t xml:space="preserve">Pas de hiérarchie WordPress ; thème parent/enfant et thème de repli configurable.</t>
  </si>
  <si>
    <t xml:space="preserve">https://docs.octobercms.com/4.x/cms/themes/child-themes.html</t>
  </si>
  <si>
    <t xml:space="preserve">Template choisi par nom de fichier de page, repli sur default.html.twig, thème parent puis plugins.</t>
  </si>
  <si>
    <t xml:space="preserve">Pas de hiérarchie de templates ; logique de routage Next.js.</t>
  </si>
  <si>
    <t xml:space="preserve">Résolution thème actif puis vues de l'application puis vues du package.</t>
  </si>
  <si>
    <t xml:space="preserve">Vues résolues par thème (zeus.theme) avec vues publiables ; pas de hiérarchie à la WordPress.</t>
  </si>
  <si>
    <t xml:space="preserve">https://larazeus.com/docs/sky/v5/advanced/customization</t>
  </si>
  <si>
    <t xml:space="preserve">get_template_part() et parties de template (header, footer) dans les thèmes de blocs.</t>
  </si>
  <si>
    <t xml:space="preserve">https://developer.wordpress.org/themes/templates/template-parts/</t>
  </si>
  <si>
    <t xml:space="preserve">extends/include/embed Twig, Layout API et layouts de régions.</t>
  </si>
  <si>
    <t xml:space="preserve">Héritage Twig extends/block, include et embed.</t>
  </si>
  <si>
    <t xml:space="preserve">https://craftcms.com/docs/5.x/reference/twig/tags.html</t>
  </si>
  <si>
    <t xml:space="preserve">Snippets avec slots, utilisables comme layouts (fermeture auto en fin de template).</t>
  </si>
  <si>
    <t xml:space="preserve">https://getkirby.com/docs/guide/templates/snippets</t>
  </si>
  <si>
    <t xml:space="preserve">Layouts, partials avec slots nommés, sections/yield en Antlers ; layouts Blade.</t>
  </si>
  <si>
    <t xml:space="preserve">Layouts, partials, placeholders et content blocks au cœur du système de thèmes.</t>
  </si>
  <si>
    <t xml:space="preserve">https://docs.octobercms.com/4.x/cms/themes/layouts.html</t>
  </si>
  <si>
    <t xml:space="preserve">Héritage Twig (extends/blocks) et partials ; namespace @grav pour étendre les templates du cœur.</t>
  </si>
  <si>
    <t xml:space="preserve">Fournis par Next.js (layout.tsx) et non par Payload.</t>
  </si>
  <si>
    <t xml:space="preserve">Layouts et partials Blade surchargeables par thème (natif Laravel).</t>
  </si>
  <si>
    <t xml:space="preserve">Layout configurable (zeus.layout) et partials Blade (sidebar, post, related…).</t>
  </si>
  <si>
    <t xml:space="preserve">Blocs, compositions (patterns) et parties de template comme composants de rendu.</t>
  </si>
  <si>
    <t xml:space="preserve">https://developer.wordpress.org/themes/patterns/</t>
  </si>
  <si>
    <t xml:space="preserve">Single Directory Components (Twig + CSS + JS + schéma de props), variantes depuis 11.2.</t>
  </si>
  <si>
    <t xml:space="preserve">Macros et embed Twig ; fonctions elementCard/elementChip pour l'admin.</t>
  </si>
  <si>
    <t xml:space="preserve">Snippets avec données et slots nommés imbriquables, à la manière de composants.</t>
  </si>
  <si>
    <t xml:space="preserve">Partials avec slots, syntaxe composants Antlers (v6) et composants Blade Laravel.</t>
  </si>
  <si>
    <t xml:space="preserve">Composants CMS PHP + partials, partials avec {% props %} (4.3) et composants Vue (4.4).</t>
  </si>
  <si>
    <t xml:space="preserve">https://docs.octobercms.com/4.x/cms/themes/components.html</t>
  </si>
  <si>
    <t xml:space="preserve">Macros, include/embed Twig et shortcodes réutilisables.</t>
  </si>
  <si>
    <t xml:space="preserve">Composants React côté front ; @payloadcms/ui pour l'admin uniquement.</t>
  </si>
  <si>
    <t xml:space="preserve">https://payloadcms.com/docs/custom-components/overview</t>
  </si>
  <si>
    <t xml:space="preserve">Composants Blade x-tallcms:: (search-input, language-switcher, hreflang, responsive-image…).</t>
  </si>
  <si>
    <t xml:space="preserve">Composants Blade et Livewire Laravel ; composant nav-item fourni.</t>
  </si>
  <si>
    <t xml:space="preserve">https://github.com/lara-zeus/sky/blob/main/resources/views/components/nav-item.blade.php</t>
  </si>
  <si>
    <t xml:space="preserve">Sélection d'un template personnalisé par contenu dans l'éditeur ; plusieurs templates par type depuis 6.9.</t>
  </si>
  <si>
    <t xml:space="preserve">https://developer.wordpress.org/themes/templates/custom-templates/</t>
  </si>
  <si>
    <t xml:space="preserve">Pas de sélecteur de template ; modes d'affichage, override Layout Builder par entité ou templates de contenu Canvas.</t>
  </si>
  <si>
    <t xml:space="preserve">Template fixé par section/site ; choix par entrée seulement via un champ et logique Twig.</t>
  </si>
  <si>
    <t xml:space="preserve">Le template d'une page se change dans le Panel parmi ceux autorisés par le parent.</t>
  </si>
  <si>
    <t xml:space="preserve">https://getkirby.com/docs/reference/api/pages</t>
  </si>
  <si>
    <t xml:space="preserve">Variable système template éditable via le fieldtype Template.</t>
  </si>
  <si>
    <t xml:space="preserve">Layout choisi par page CMS ; pour Tailor via groupes ou logique Twig.</t>
  </si>
  <si>
    <t xml:space="preserve">En-tête template (et template_format) par page.</t>
  </si>
  <si>
    <t xml:space="preserve">Possible via un champ select interprété par le front, rien de natif.</t>
  </si>
  <si>
    <t xml:space="preserve">Templates de page sélectionnables (Default, Full Width, Sidebar, Documentation, Landing) et extensibles par theme.json.</t>
  </si>
  <si>
    <t xml:space="preserve">https://github.com/tallcms/tallcms/blob/main/docs/site-templates.md</t>
  </si>
  <si>
    <t xml:space="preserve">Pas de sélection de template par article ou page.</t>
  </si>
  <si>
    <t xml:space="preserve">Template tags (the_title, get_field…), boucle et variables globales comme $post.</t>
  </si>
  <si>
    <t xml:space="preserve">https://developer.wordpress.org/themes/basics/template-tags/</t>
  </si>
  <si>
    <t xml:space="preserve">Fonctions preprocess, extensions Twig et filtres Drupal (t, url, path, render).</t>
  </si>
  <si>
    <t xml:space="preserve">https://www.drupal.org/docs/develop/theming-drupal/twig-in-drupal/functions-in-twig-templates</t>
  </si>
  <si>
    <t xml:space="preserve">Variable craft, Global Sets, currentSite/currentUser et extensions Twig enregistrables par modules.</t>
  </si>
  <si>
    <t xml:space="preserve">https://craftcms.com/docs/5.x/reference/twig/global-variables.html</t>
  </si>
  <si>
    <t xml:space="preserve">$kirby, $site, $page injectés ; 46 helpers ; contrôleur site global (5.0).</t>
  </si>
  <si>
    <t xml:space="preserve">https://getkirby.com/docs/reference/templates/helpers</t>
  </si>
  <si>
    <t xml:space="preserve">Cascade de variables (globals, système, site), 150+ modifiers et tags.</t>
  </si>
  <si>
    <t xml:space="preserve">https://statamic.dev/modifiers/all-modifiers</t>
  </si>
  <si>
    <t xml:space="preserve">Variables this.page, this.site, this.theme, globals Tailor, fonctions Twig et filtres.</t>
  </si>
  <si>
    <t xml:space="preserve">https://docs.octobercms.com/4.x/markup/property/this-page.html</t>
  </si>
  <si>
    <t xml:space="preserve">Objets grav, config, page, pages, theme et nombreux filtres/fonctions Twig propres à Grav.</t>
  </si>
  <si>
    <t xml:space="preserve">Globals récupérables via la Local API dans les composants serveur.</t>
  </si>
  <si>
    <t xml:space="preserve">https://payloadcms.com/docs/local-api/overview</t>
  </si>
  <si>
    <t xml:space="preserve">Helpers globaux (active_theme, tallcms_locales…) et merge tags {{contact_email}} dans le contenu.</t>
  </si>
  <si>
    <t xml:space="preserve">Helpers Laravel (View::share, config) ; helper RenderNavItem pour les menus.</t>
  </si>
  <si>
    <t xml:space="preserve">Site Editor : édition visuelle des templates et parties, brouillons de templates depuis 6.9.</t>
  </si>
  <si>
    <t xml:space="preserve">Canvas : éditeur de code navigateur pour composants JS/CSS ; les templates Twig restent en fichiers.</t>
  </si>
  <si>
    <t xml:space="preserve">https://project.pages.drupalcode.org/canvas/code-components/</t>
  </si>
  <si>
    <t xml:space="preserve">Les templates sont des fichiers ; aucun éditeur dans le panneau.</t>
  </si>
  <si>
    <t xml:space="preserve">Les templates sont des fichiers PHP, non éditables depuis le Panel.</t>
  </si>
  <si>
    <t xml:space="preserve">Les vues sont des fichiers ; aucun éditeur de templates dans le CP.</t>
  </si>
  <si>
    <t xml:space="preserve">Éditeur CMS backend pour pages, layouts, partials, contenus, assets et blueprints.</t>
  </si>
  <si>
    <t xml:space="preserve">https://docs.octobercms.com/4.x/cms/themes/themes.html</t>
  </si>
  <si>
    <t xml:space="preserve">Les templates Twig s'éditent uniquement dans les fichiers du thème.</t>
  </si>
  <si>
    <t xml:space="preserve">Les vues front sont du code React non éditable depuis l'admin.</t>
  </si>
  <si>
    <t xml:space="preserve">Les templates sont des fichiers Blade ; seul un widget HTML personnalisé est éditable.</t>
  </si>
  <si>
    <t xml:space="preserve">Vues éditées dans les fichiers uniquement.</t>
  </si>
  <si>
    <t xml:space="preserve">Thèmes classiques, hybrides et de blocs, avec theme.json pour design tokens.</t>
  </si>
  <si>
    <t xml:space="preserve">Thèmes installables (Olivero, Claro), régions, librairies, paramètres de thème.</t>
  </si>
  <si>
    <t xml:space="preserve">https://www.drupal.org/docs/develop/theming-drupal</t>
  </si>
  <si>
    <t xml:space="preserve">Pas de système de thèmes : le front est entièrement codé en Twig par le développeur.</t>
  </si>
  <si>
    <t xml:space="preserve">Pas de mécanisme de thèmes interchangeables : un site = ses templates ; les « thèmes » sont des kits complets.</t>
  </si>
  <si>
    <t xml:space="preserve">https://getkirby.com/themes</t>
  </si>
  <si>
    <t xml:space="preserve">Pas de système de thèmes ; front construit dans resources/views de l'app Laravel.</t>
  </si>
  <si>
    <t xml:space="preserve">Thèmes en fichiers (pages, layouts, partials) avec theme.yaml et personnalisation via form.</t>
  </si>
  <si>
    <t xml:space="preserve">Thèmes dans user/themes avec blueprint de configuration et assets.</t>
  </si>
  <si>
    <t xml:space="preserve">https://github.com/getgrav/grav-theme-quark2</t>
  </si>
  <si>
    <t xml:space="preserve">Headless : pas de système de thèmes front.</t>
  </si>
  <si>
    <t xml:space="preserve">Thèmes fichiers dans themes/{slug} avec theme.json, build Vite propre et activation depuis l'admin.</t>
  </si>
  <si>
    <t xml:space="preserve">Thèmes sélectionnés via la clé theme de zeus.php, chemin de vues par thème.</t>
  </si>
  <si>
    <t xml:space="preserve">https://github.com/lara-zeus/sky/blob/main/src/SkyServiceProvider.php</t>
  </si>
  <si>
    <t xml:space="preserve">Thèmes enfants surchargant templates, styles et theme.json du parent ; variations de style.</t>
  </si>
  <si>
    <t xml:space="preserve">https://developer.wordpress.org/themes/advanced-topics/child-themes/</t>
  </si>
  <si>
    <t xml:space="preserve">Sous-thèmes via base theme ; générateur Starterkit pour cloner un thème.</t>
  </si>
  <si>
    <t xml:space="preserve">https://www.drupal.org/docs/develop/theming-drupal/creating-sub-themes</t>
  </si>
  <si>
    <t xml:space="preserve">Sans objet faute de thèmes ; héritage seulement au niveau des templates Twig.</t>
  </si>
  <si>
    <t xml:space="preserve">Pas d'héritage de thème ; seuls les plugins peuvent fournir templates/snippets surchargeables.</t>
  </si>
  <si>
    <t xml:space="preserve">https://getkirby.com/docs/guide/plugins/plugin-basics</t>
  </si>
  <si>
    <t xml:space="preserve">Sans objet faute de système de thèmes.</t>
  </si>
  <si>
    <t xml:space="preserve">Child themes héritant du parent, y compris blueprints et seeds.</t>
  </si>
  <si>
    <t xml:space="preserve">Héritage de thème via streams : un thème enfant surcharge templates et assets du parent.</t>
  </si>
  <si>
    <t xml:space="preserve">Sans objet en headless.</t>
  </si>
  <si>
    <t xml:space="preserve">Pas d'héritage entre thèmes ; seul le fallback vers les vues de l'application existe.</t>
  </si>
  <si>
    <t xml:space="preserve">Pas d'héritage ; on publie et surcharge les vues.</t>
  </si>
  <si>
    <t xml:space="preserve">Répertoire wordpress.org/themes (environ 8 700 thèmes gratuits) intégré à l'admin.</t>
  </si>
  <si>
    <t xml:space="preserve">https://wordpress.org/themes/</t>
  </si>
  <si>
    <t xml:space="preserve">Annuaire gratuit de thèmes sur drupal.org et marketplace de site templates (depuis Drupal CMS 2.1), quelques-uns payants.</t>
  </si>
  <si>
    <t xml:space="preserve">https://www.acquia.com/blog/pick-your-starting-point-complete-guide-drupal-site-templates-marketplace</t>
  </si>
  <si>
    <t xml:space="preserve">Le Plugin Store ne propose pas de thèmes.</t>
  </si>
  <si>
    <t xml:space="preserve">https://plugins.craftcms.com/</t>
  </si>
  <si>
    <t xml:space="preserve">Vitrine getkirby.com/themes (environ 14 thèmes, la plupart payants, vendus par des tiers).</t>
  </si>
  <si>
    <t xml:space="preserve">Pas de thèmes, mais marketplace de starter kits (gratuits et payants).</t>
  </si>
  <si>
    <t xml:space="preserve">https://statamic.com/starter-kits</t>
  </si>
  <si>
    <t xml:space="preserve">Marketplace officiel de thèmes gratuits et payants installables depuis l'admin.</t>
  </si>
  <si>
    <t xml:space="preserve">https://octobercms.com/themes</t>
  </si>
  <si>
    <t xml:space="preserve">Répertoire GPM de thèmes gratuits et thèmes premium (Typhoon, Helios).</t>
  </si>
  <si>
    <t xml:space="preserve">https://www.getgrav.org/downloads/plugins</t>
  </si>
  <si>
    <t xml:space="preserve">Pas de marketplace ; seulement des templates officiels.</t>
  </si>
  <si>
    <t xml:space="preserve">Marketplace tallcms.com avec thèmes officiels, payants gérés via Anystack.</t>
  </si>
  <si>
    <t xml:space="preserve">https://github.com/tallcms/tallcms/blob/main/docs/ref-plugin-licensing.md</t>
  </si>
  <si>
    <t xml:space="preserve">Pas de marketplace ; seul Artemis propose quelques thèmes.</t>
  </si>
  <si>
    <t xml:space="preserve">https://github.com/lara-zeus/artemis</t>
  </si>
  <si>
    <t xml:space="preserve">Starter content des thèmes et blueprints WordPress Playground ; import de démo complet via One Click Demo Import.</t>
  </si>
  <si>
    <t xml:space="preserve">https://developer.wordpress.org/playground/blueprints/tutorial/what-are-blueprints/</t>
  </si>
  <si>
    <t xml:space="preserve">Drupal CMS et ses site templates (ex. Byte) avec modèle de contenu et contenus d'exemple ; profil Demo Umami.</t>
  </si>
  <si>
    <t xml:space="preserve">https://www.thedroptimes.com/66243/drupal-cms-20-introduces-canvas-and-site-templates-in-shift-proof-concept</t>
  </si>
  <si>
    <t xml:space="preserve">Projet de départ craftcms/craft et démos officielles (Europa Museum, Spoke &amp; Chain) par Pixel &amp; Tonic.</t>
  </si>
  <si>
    <t xml:space="preserve">https://github.com/craftcms/craft</t>
  </si>
  <si>
    <t xml:space="preserve">Starterkit, Plainkit, Composerkit, Eleventykit officiels et démo en ligne trykirby.com.</t>
  </si>
  <si>
    <t xml:space="preserve">https://getkirby.com/docs/guide/quickstart</t>
  </si>
  <si>
    <t xml:space="preserve">Starter kits modulaires et actualisables, installables via starter-kit:install (Cool Writings, Podcaster…).</t>
  </si>
  <si>
    <t xml:space="preserve">https://statamic.dev/starter-kits/overview</t>
  </si>
  <si>
    <t xml:space="preserve">Thème démo fourni et seeding de thèmes (contenus, médias, blueprints).</t>
  </si>
  <si>
    <t xml:space="preserve">https://docs.octobercms.com/4.x/cms/themes/seeding-themes.html</t>
  </si>
  <si>
    <t xml:space="preserve">Skeletons téléchargeables (blog, docs, portfolio…) incluant thème, plugins et contenu.</t>
  </si>
  <si>
    <t xml:space="preserve">https://github.com/getgrav/grav-skeleton-blog-site</t>
  </si>
  <si>
    <t xml:space="preserve">create-payload-app : templates blank, website, ecommerce, plugin, Cloudflare D1, Vercel…</t>
  </si>
  <si>
    <t xml:space="preserve">https://github.com/payloadcms/payload/tree/main/templates</t>
  </si>
  <si>
    <t xml:space="preserve">8 thèmes fournis et commandes de templates de site (Counsel, Ink, Keystone, Launchpad, Spotlight).</t>
  </si>
  <si>
    <t xml:space="preserve">https://github.com/tallcms/tallcms/tree/main/packages/tallcms/cms/src/Console/Commands</t>
  </si>
  <si>
    <t xml:space="preserve">Starter kit lara-zeus/zeus et démo publique demo.larazeus.com.</t>
  </si>
  <si>
    <t xml:space="preserve">API REST complète utilisable avec un front découplé (Next.js, Faust.js).</t>
  </si>
  <si>
    <t xml:space="preserve">https://developer.wordpress.org/rest-api/</t>
  </si>
  <si>
    <t xml:space="preserve">JSON:API et REST dans le cœur ; SDK Canvas Headless pour front découplé.</t>
  </si>
  <si>
    <t xml:space="preserve">https://www.drupal.org/docs/core-modules-and-themes/core-modules/jsonapi-module</t>
  </si>
  <si>
    <t xml:space="preserve">Réglage headlessMode, API GraphQL native et preview tokens pour fronts découplés.</t>
  </si>
  <si>
    <t xml:space="preserve">https://craftcms.com/docs/5.x/reference/config/general.html</t>
  </si>
  <si>
    <t xml:space="preserve">API REST, représentations JSON et plugin officiel KQL ; CORS natif depuis 5.2.</t>
  </si>
  <si>
    <t xml:space="preserve">https://github.com/getkirby/kirby/releases/tag/5.2.0</t>
  </si>
  <si>
    <t xml:space="preserve">Payant : Pro – mode headless via REST API et GraphQL, preview par token.</t>
  </si>
  <si>
    <t xml:space="preserve">Tailor se dit headless mais sans API automatique ; endpoints via pages CMS response() ou routes.</t>
  </si>
  <si>
    <t xml:space="preserve">https://docs.octobercms.com/4.x/cms/resources/building-apis.html</t>
  </si>
  <si>
    <t xml:space="preserve">Plugin API (REST, JWT/clés) qui fait de Grav 2 un CMS headless complet.</t>
  </si>
  <si>
    <t xml:space="preserve">Headless par nature (REST, GraphQL, Local API), ou intégré dans une app Next.js.</t>
  </si>
  <si>
    <t xml:space="preserve">API REST complète activable (TALLCMS_API_ENABLED) pour un usage headless.</t>
  </si>
  <si>
    <t xml:space="preserve">Option headless coupant les routes front, mais aucune API fournie.</t>
  </si>
  <si>
    <t xml:space="preserve">Extensions Simply Static ou WP2Static exportent le site en HTML.</t>
  </si>
  <si>
    <t xml:space="preserve">https://wordpress.org/plugins/simply-static/</t>
  </si>
  <si>
    <t xml:space="preserve">Module Tome (export HTML statique).</t>
  </si>
  <si>
    <t xml:space="preserve">https://www.drupal.org/project/tome</t>
  </si>
  <si>
    <t xml:space="preserve">Blitz (PutYourLightsOn) : pré-génération, warmers et déployeurs (Git, Netlify).</t>
  </si>
  <si>
    <t xml:space="preserve">https://plugins.craftcms.com/blitz</t>
  </si>
  <si>
    <t xml:space="preserve">Plugin Static Site Generator (communauté) ; Staticache officiel ne fait que du cache HTML.</t>
  </si>
  <si>
    <t xml:space="preserve">https://plugins.getkirby.com/jonathan-reisdorf/static-site-generator</t>
  </si>
  <si>
    <t xml:space="preserve">Addon officiel gratuit Static Site Generator (php please ssg:generate), workers parallèles.</t>
  </si>
  <si>
    <t xml:space="preserve">https://github.com/statamic/ssg</t>
  </si>
  <si>
    <t xml:space="preserve">Pas de SSG ; Quicksilver (gratuit) sert un cache de fichiers statiques.</t>
  </si>
  <si>
    <t xml:space="preserve">https://octobercms.com/plugins?search=static</t>
  </si>
  <si>
    <t xml:space="preserve">Plugin Static Generator (OleVik) pour exporter le site en HTML statique.</t>
  </si>
  <si>
    <t xml:space="preserve">https://github.com/OleVik/grav-plugin-static-generator</t>
  </si>
  <si>
    <t xml:space="preserve">Via Next.js (generateStaticParams) dans le front ; non géré par Payload.</t>
  </si>
  <si>
    <t xml:space="preserve">Aucune génération statique.</t>
  </si>
  <si>
    <t xml:space="preserve">Aucun export statique.</t>
  </si>
  <si>
    <t xml:space="preserve">Paquet npm @wordpress/scripts (webpack, Babel, lint) ; rien d'intégré au runtime, Vite seulement en tiers.</t>
  </si>
  <si>
    <t xml:space="preserve">https://developer.wordpress.org/block-editor/reference-guides/packages/packages-scripts/</t>
  </si>
  <si>
    <t xml:space="preserve">Librairies d'assets avec agrégation/minification et Brotli (11.4) ; pas de bundler, Vite via module tiers.</t>
  </si>
  <si>
    <t xml:space="preserve">Pas de pipeline natif ; plugin Vite de nystudio107 très utilisé.</t>
  </si>
  <si>
    <t xml:space="preserve">https://plugins.craftcms.com/vite</t>
  </si>
  <si>
    <t xml:space="preserve">Aucun pipeline intégré ; plugins Vite (arnoson) ou Helpers (Johann Schopplich).</t>
  </si>
  <si>
    <t xml:space="preserve">https://plugins.getkirby.com/topics/assets</t>
  </si>
  <si>
    <t xml:space="preserve">Vite de Laravel (tag vite), Tailwind dans les starter kits, outillage Vite pour addons.</t>
  </si>
  <si>
    <t xml:space="preserve">https://statamic.dev/addons/vite-tooling</t>
  </si>
  <si>
    <t xml:space="preserve">Combinateur d'assets intégré (LESS/SCSS, minification) ; Vite non intégré.</t>
  </si>
  <si>
    <t xml:space="preserve">https://docs.octobercms.com/4.x/markup/filter/theme.html</t>
  </si>
  <si>
    <t xml:space="preserve">Asset Manager : regroupement, minification CSS/JS, SRI et horodatage ; pas de bundler type Vite.</t>
  </si>
  <si>
    <t xml:space="preserve">S'appuie sur le bundler Next.js (Turbopack/Webpack) ; pas de pipeline propre.</t>
  </si>
  <si>
    <t xml:space="preserve">https://payloadcms.com/docs/performance/overview</t>
  </si>
  <si>
    <t xml:space="preserve">Vite par thème, directives @themeVite et @tallcmsCoreJs.</t>
  </si>
  <si>
    <t xml:space="preserve">Vite et Tailwind de Laravel ; chemins de vues Sky à ajouter à la config Tailwind.</t>
  </si>
  <si>
    <t xml:space="preserve">https://larazeus.com/docs/sky/v5/getting-started/assets</t>
  </si>
  <si>
    <t xml:space="preserve">Titre via title-tag natif ; description par entrée avec Jetpack SEO (payant), ou Yoast/Rank Math en tiers.</t>
  </si>
  <si>
    <t xml:space="preserve">https://jetpack.com/support/seo-tools/</t>
  </si>
  <si>
    <t xml:space="preserve">Metatag (inclus dans Drupal CMS) avec valeurs par défaut par type et surcharge par entrée.</t>
  </si>
  <si>
    <t xml:space="preserve">SEOmatic (nystudio107) ou SEO Fields ; sinon champs personnalisés et Twig.</t>
  </si>
  <si>
    <t xml:space="preserve">Champs à définir soi-même dans les blueprints (onglet SEO réutilisable) ; plugins SEO pour du clé en main.</t>
  </si>
  <si>
    <t xml:space="preserve">Payant : SEO Pro – meta en cascade (site, collection, entrée) ; sinon champs manuels.</t>
  </si>
  <si>
    <t xml:space="preserve">Champs meta_title/description sur pages CMS ; pour Tailor à modéliser soi-même.</t>
  </si>
  <si>
    <t xml:space="preserve">En-têtes title et metadata (description, keywords, robots) par page.</t>
  </si>
  <si>
    <t xml:space="preserve">@payloadcms/plugin-seo : groupe meta avec génération automatique personnalisable.</t>
  </si>
  <si>
    <t xml:space="preserve">Champs Meta Title et Meta Description traduisibles dans l'onglet SEO.</t>
  </si>
  <si>
    <t xml:space="preserve">Description par entrée (onglet SEO) ; titre dérivé du titre de l'article, pas de meta title distinct.</t>
  </si>
  <si>
    <t xml:space="preserve">Balises Open Graph ajoutées gratuitement par Jetpack ; Yoast en tiers ; rien dans le cœur.</t>
  </si>
  <si>
    <t xml:space="preserve">Sous-modules Open Graph et Twitter Cards de Metatag.</t>
  </si>
  <si>
    <t xml:space="preserve">Générés par SEOmatic.</t>
  </si>
  <si>
    <t xml:space="preserve">Plugins SEO (tobimori), Meta (fabianmichael), Meta Tags.</t>
  </si>
  <si>
    <t xml:space="preserve">Payant : SEO Pro – balises OG et Twitter/X cards générées automatiquement.</t>
  </si>
  <si>
    <t xml:space="preserve">Pages CMS : meta_image et meta_type ; balises à écrire dans le layout.</t>
  </si>
  <si>
    <t xml:space="preserve">https://github.com/octobercms/october/blob/develop/modules/cms/classes/Page.php</t>
  </si>
  <si>
    <t xml:space="preserve">Balises OpenGraph, Facebook et Twitter via metadata ; génération automatique avec SEO Magic (payant).</t>
  </si>
  <si>
    <t xml:space="preserve">plugin-seo gère l'image meta ; champs og:* supplémentaires ajoutables.</t>
  </si>
  <si>
    <t xml:space="preserve">Balises OG (dont article:*) et Twitter summary_large_image générées automatiquement.</t>
  </si>
  <si>
    <t xml:space="preserve">Paquet lara-zeus/laravel-seo : balises OG et Twitter avec image mise en avant.</t>
  </si>
  <si>
    <t xml:space="preserve">Sitemaps XML natifs (wp-sitemap.xml) depuis 5.5, extensibles par API.</t>
  </si>
  <si>
    <t xml:space="preserve">https://make.wordpress.org/core/2020/07/22/new-xml-sitemaps-functionality-in-wordpress-5-5/</t>
  </si>
  <si>
    <t xml:space="preserve">Simple XML Sitemap (inclus dans Drupal CMS), multilingue avec hreflang.</t>
  </si>
  <si>
    <t xml:space="preserve">https://www.drupal.org/project/simple_sitemap</t>
  </si>
  <si>
    <t xml:space="preserve">Sitemaps XML multisites via SEOmatic.</t>
  </si>
  <si>
    <t xml:space="preserve">Pas de sitemap natif (recette cookbook) ; plugins Multilanguage XML Sitemap, Meta, SEO.</t>
  </si>
  <si>
    <t xml:space="preserve">Payant : SEO Pro – sitemap.xml en cache avec priorités et exclusions.</t>
  </si>
  <si>
    <t xml:space="preserve">Plugin RainLab.Sitemap (gratuit), non testé officiellement sur v4.</t>
  </si>
  <si>
    <t xml:space="preserve">https://octobercms.com/plugin/rainlab-sitemap</t>
  </si>
  <si>
    <t xml:space="preserve">Plugin Sitemap (gratuit), avec sitemap news et entrées multilingues.</t>
  </si>
  <si>
    <t xml:space="preserve">https://github.com/getgrav/grav-plugin-sitemap</t>
  </si>
  <si>
    <t xml:space="preserve">Absent du cœur ; le template website utilise next-sitemap.</t>
  </si>
  <si>
    <t xml:space="preserve">https://github.com/payloadcms/payload/tree/main/templates/website</t>
  </si>
  <si>
    <t xml:space="preserve">Index de sitemaps (pages, articles paginés, catégories, auteurs) avec alternates xhtml:link.</t>
  </si>
  <si>
    <t xml:space="preserve">Aucun sitemap ; spatie/laravel-sitemap à intégrer soi-même.</t>
  </si>
  <si>
    <t xml:space="preserve">Graphe JSON-LD de Yoast SEO ou Rank Math ; aucune donnée structurée dans le cœur.</t>
  </si>
  <si>
    <t xml:space="preserve">https://wordpress.org/plugins/wordpress-seo/</t>
  </si>
  <si>
    <t xml:space="preserve">Schema.org Metatag (JSON-LD) ; RDF natif retiré.</t>
  </si>
  <si>
    <t xml:space="preserve">https://www.drupal.org/project/schema_metatag</t>
  </si>
  <si>
    <t xml:space="preserve">JSON-LD complet via SEOmatic.</t>
  </si>
  <si>
    <t xml:space="preserve">Plugins SEO (tobimori), Meta, Schema (hashandsalt).</t>
  </si>
  <si>
    <t xml:space="preserve">Payant : SEO Pro – JSON-LD Organization, Person, breadcrumbs et types personnalisés.</t>
  </si>
  <si>
    <t xml:space="preserve">POWER SEO Toolkit &amp; Redirect (9 $) propose JSON-LD.</t>
  </si>
  <si>
    <t xml:space="preserve">https://octobercms.com/plugins?search=seo</t>
  </si>
  <si>
    <t xml:space="preserve">Plugin Schema (tranduyhung) ; pas de JSON-LD officiel.</t>
  </si>
  <si>
    <t xml:space="preserve">https://github.com/tranduyhung/grav-plugin-schema</t>
  </si>
  <si>
    <t xml:space="preserve">Pas natif ; champ json-ld ajoutable au groupe meta du plugin SEO.</t>
  </si>
  <si>
    <t xml:space="preserve">JSON-LD Article, WebPage, BreadcrumbList, plus FAQ et HowTo via les blocs dédiés.</t>
  </si>
  <si>
    <t xml:space="preserve">Aucun JSON-LD généré.</t>
  </si>
  <si>
    <t xml:space="preserve">robots.txt virtuel et noindex global (visibilité moteurs), API wp_robots ; pas de noindex par entrée sans extension.</t>
  </si>
  <si>
    <t xml:space="preserve">https://developer.wordpress.org/reference/functions/wp_robots/</t>
  </si>
  <si>
    <t xml:space="preserve">robots.txt statique fourni ; édition admin via RobotsTxt, noindex via Metatag.</t>
  </si>
  <si>
    <t xml:space="preserve">https://www.drupal.org/project/robotstxt</t>
  </si>
  <si>
    <t xml:space="preserve">robots.txt et directives robots par entrée via SEOmatic.</t>
  </si>
  <si>
    <t xml:space="preserve">Plugins Robots.txt (bnomei) ou SEO ; le Panel lui-même envoie X-Robots-Tag noindex (5.6).</t>
  </si>
  <si>
    <t xml:space="preserve">Payant : SEO Pro – directives robots (noindex, nofollow) par entrée.</t>
  </si>
  <si>
    <t xml:space="preserve">meta_robots (noindex) par page CMS ; robots.txt via plugins tiers.</t>
  </si>
  <si>
    <t xml:space="preserve">https://github.com/octobercms/october/blob/develop/modules/cms/classes/page/Fields.php</t>
  </si>
  <si>
    <t xml:space="preserve">robots.txt servi à la racine et meta robots par page.</t>
  </si>
  <si>
    <t xml:space="preserve">Gérés côté Next.js ; pas d'option noindex native dans plugin-seo.</t>
  </si>
  <si>
    <t xml:space="preserve">robots.txt dynamique éditable dans l'admin ; pas d'option noindex par entrée.</t>
  </si>
  <si>
    <t xml:space="preserve">Aucune gestion robots ni noindex.</t>
  </si>
  <si>
    <t xml:space="preserve">Analyse de contenu Yoast SEO ou Rank Math.</t>
  </si>
  <si>
    <t xml:space="preserve">Real-time SEO for Drupal (yoast_seo) et SEO Checklist, inclus dans Drupal CMS.</t>
  </si>
  <si>
    <t xml:space="preserve">https://project.pages.drupalcode.org/drupal_cms/promote/install/</t>
  </si>
  <si>
    <t xml:space="preserve">Analyse de contenu SEOmetrics de SEOmatic ou plugin Textmetrics.</t>
  </si>
  <si>
    <t xml:space="preserve">https://github.com/nystudio107/seomatic/wiki/06.-SEOmetrics-Content-Analysis</t>
  </si>
  <si>
    <t xml:space="preserve">Plugin SEO Audit (Johann Schopplich, payant) façon Yoast.</t>
  </si>
  <si>
    <t xml:space="preserve">Payant : SEO Pro – rapports de site avec notes et correctifs, comparables dans le temps.</t>
  </si>
  <si>
    <t xml:space="preserve">Plugins SEO tiers (POWER SEO Toolkit, Mighty SEO) avec aperçu social.</t>
  </si>
  <si>
    <t xml:space="preserve">Payant : SEO Magic (75 $) donne un score et un rapport SEO par page et pour le site.</t>
  </si>
  <si>
    <t xml:space="preserve">https://learn.getgrav.org/20/grav-premium/seo-magic</t>
  </si>
  <si>
    <t xml:space="preserve">plugin-seo : compteurs de caractères, indicateurs et aperçu SERP, sans score global.</t>
  </si>
  <si>
    <t xml:space="preserve">Widget Content Health signalant les métadonnées manquantes ; pas de score SEO.</t>
  </si>
  <si>
    <t xml:space="preserve">https://github.com/tallcms/tallcms/tree/main/packages/tallcms/cms/src/Filament/Widgets/ContentHealthWidget.php</t>
  </si>
  <si>
    <t xml:space="preserve">Aucune analyse SEO.</t>
  </si>
  <si>
    <t xml:space="preserve">Balises hreflang générées par WPML ou Polylang.</t>
  </si>
  <si>
    <t xml:space="preserve">https://polylang.pro/</t>
  </si>
  <si>
    <t xml:space="preserve">Content Translation ajoute hreflang sur les pages d'entité seulement ; module Hreflang pour tout le site.</t>
  </si>
  <si>
    <t xml:space="preserve">https://www.drupal.org/project/hreflang</t>
  </si>
  <si>
    <t xml:space="preserve">Balises hreflang générées par SEOmatic à partir des sites.</t>
  </si>
  <si>
    <t xml:space="preserve">Plugins SEO/Meta ; en natif à coder avec $page-&gt;url($lang).</t>
  </si>
  <si>
    <t xml:space="preserve">Non mentionné pour SEO Pro ; addon tiers Advanced SEO (Aerni) ou boucle sur locales en template.</t>
  </si>
  <si>
    <t xml:space="preserve">https://statamic.com/addons/aerni/advanced-seo</t>
  </si>
  <si>
    <t xml:space="preserve">Composant sitePicker fournit les URL alternatives ; balises hreflang à écrire dans le layout.</t>
  </si>
  <si>
    <t xml:space="preserve">https://docs.octobercms.com/4.x/cms/components/sitepicker.html</t>
  </si>
  <si>
    <t xml:space="preserve">Plugin Sitemap : entrées hreflang bidirectionnelles par langue.</t>
  </si>
  <si>
    <t xml:space="preserve">Aucune génération hreflang ; à faire dans le front.</t>
  </si>
  <si>
    <t xml:space="preserve">Composant seo.hreflang avec x-default et alternates dans le sitemap.</t>
  </si>
  <si>
    <t xml:space="preserve">Aucune balise hreflang.</t>
  </si>
  <si>
    <t xml:space="preserve">WP REST API (wp-json) couvrant contenus, médias, utilisateurs, réglages, blocs, templates.</t>
  </si>
  <si>
    <t xml:space="preserve">Modules JSON:API (sans configuration) et RESTful Web Services dans le cœur.</t>
  </si>
  <si>
    <t xml:space="preserve">Plugin gratuit Element API (Pixel &amp; Tonic) pour définir des endpoints JSON en lecture.</t>
  </si>
  <si>
    <t xml:space="preserve">https://plugins.craftcms.com/element-api</t>
  </si>
  <si>
    <t xml:space="preserve">API REST complète (pages, fichiers, utilisateurs, site, langues…) utilisée par le Panel.</t>
  </si>
  <si>
    <t xml:space="preserve">https://getkirby.com/docs/guide/api/introduction</t>
  </si>
  <si>
    <t xml:space="preserve">Payant : Pro – API REST en lecture (entries, terms, globals, navs, assets, users, forms).</t>
  </si>
  <si>
    <t xml:space="preserve">https://statamic.dev/frontend/rest-api</t>
  </si>
  <si>
    <t xml:space="preserve">Pas d'API auto ; endpoints à construire via pages CMS (response()) ou routes Laravel.</t>
  </si>
  <si>
    <t xml:space="preserve">Plugin API gratuit : endpoints /api/v1 pour pages, médias, config, users, GPM, scheduler.</t>
  </si>
  <si>
    <t xml:space="preserve">API REST générée automatiquement pour collections et globals.</t>
  </si>
  <si>
    <t xml:space="preserve">https://payloadcms.com/docs/rest-api/overview</t>
  </si>
  <si>
    <t xml:space="preserve">API REST JSON:API-like sous /api/v1/tallcms pour pages, articles, catégories, médias, webhooks.</t>
  </si>
  <si>
    <t xml:space="preserve">Aucune API fournie ; le mode headless suppose de coder sa propre API.</t>
  </si>
  <si>
    <t xml:space="preserve">WPGraphQL, en cours d'adoption comme plugin canonique WordPress.org (gratuit).</t>
  </si>
  <si>
    <t xml:space="preserve">https://wordpress.org/plugins/wp-graphql/</t>
  </si>
  <si>
    <t xml:space="preserve">Module GraphQL (4.x) ou GraphQL Compose.</t>
  </si>
  <si>
    <t xml:space="preserve">https://www.drupal.org/project/graphql</t>
  </si>
  <si>
    <t xml:space="preserve">API GraphQL intégrée, schémas multiples, GraphiQL, directives @transform et @parseRefs.</t>
  </si>
  <si>
    <t xml:space="preserve">https://craftcms.com/docs/5.x/development/graphql.html</t>
  </si>
  <si>
    <t xml:space="preserve">Pas de GraphQL ; plugin officiel KQL propose des requêtes JSON de style GraphQL.</t>
  </si>
  <si>
    <t xml:space="preserve">https://github.com/getkirby/kql</t>
  </si>
  <si>
    <t xml:space="preserve">Payant : Pro – API GraphQL avec GraphiQL dans le CP, extensible (types, champs, requêtes).</t>
  </si>
  <si>
    <t xml:space="preserve">https://statamic.dev/frontend/graphql</t>
  </si>
  <si>
    <t xml:space="preserve">Aucun plugin GraphQL maintenu sur le marketplace.</t>
  </si>
  <si>
    <t xml:space="preserve">https://octobercms.com/plugins?search=graphql</t>
  </si>
  <si>
    <t xml:space="preserve">Aucune API GraphQL officielle.</t>
  </si>
  <si>
    <t xml:space="preserve">API GraphQL générée avec playground et limites de complexité.</t>
  </si>
  <si>
    <t xml:space="preserve">https://payloadcms.com/docs/graphql/overview</t>
  </si>
  <si>
    <t xml:space="preserve">Aucune API GraphQL.</t>
  </si>
  <si>
    <t xml:space="preserve">Endpoints REST CRUD complets selon les capacités de l'utilisateur.</t>
  </si>
  <si>
    <t xml:space="preserve">https://developer.wordpress.org/rest-api/reference/</t>
  </si>
  <si>
    <t xml:space="preserve">JSON:API gère GET, POST, PATCH, DELETE selon les permissions ; mode lecture seule par défaut.</t>
  </si>
  <si>
    <t xml:space="preserve">Mutations GraphQL de création, mise à jour et suppression (hardDelete en 5.10).</t>
  </si>
  <si>
    <t xml:space="preserve">Endpoints GET/POST/PATCH/DELETE pour créer, modifier, publier et supprimer.</t>
  </si>
  <si>
    <t xml:space="preserve">REST et GraphQL en lecture seule ; écriture uniquement via formulaires ou code PHP.</t>
  </si>
  <si>
    <t xml:space="preserve">Possible en codant les routes et modèles Tailor ; rien de généré.</t>
  </si>
  <si>
    <t xml:space="preserve">CRUD complet, déplacement, copie, réordonnancement et opérations groupées.</t>
  </si>
  <si>
    <t xml:space="preserve">CRUD complet via REST, GraphQL et Local API.</t>
  </si>
  <si>
    <t xml:space="preserve">CRUD complet, publication, workflow, restauration de révisions et upload média via l'API.</t>
  </si>
  <si>
    <t xml:space="preserve">https://github.com/tallcms/tallcms/blob/main/docs/ref-api-permissions.md</t>
  </si>
  <si>
    <t xml:space="preserve">Pas d'API.</t>
  </si>
  <si>
    <t xml:space="preserve">Cookies + nonce et Application Passwords natifs ; OAuth ou JWT via extensions.</t>
  </si>
  <si>
    <t xml:space="preserve">https://developer.wordpress.org/rest-api/using-the-rest-api/authentication/</t>
  </si>
  <si>
    <t xml:space="preserve">Cookie et Basic Auth natifs ; OAuth2/jetons via Simple OAuth (tiers).</t>
  </si>
  <si>
    <t xml:space="preserve">https://www.drupal.org/project/simple_oauth</t>
  </si>
  <si>
    <t xml:space="preserve">Jetons Bearer liés à un schéma de permissions, schéma public optionnel ; pas d'OAuth natif.</t>
  </si>
  <si>
    <t xml:space="preserve">Session ou HTTP Basic uniquement ; jetons bearer via plugin Headless (Johann Schopplich).</t>
  </si>
  <si>
    <t xml:space="preserve">Payant : Pro – bearer token global ou Laravel Sanctum par utilisateur.</t>
  </si>
  <si>
    <t xml:space="preserve">Via paquets Laravel (Sanctum) ou plugins JWT tiers ; non intégré.</t>
  </si>
  <si>
    <t xml:space="preserve">Clés API avec portée et expiration, JWT avec refresh, ou session ; quotas configurables.</t>
  </si>
  <si>
    <t xml:space="preserve">Cookies HTTP-only, JWT, clés API par utilisateur et stratégies personnalisées.</t>
  </si>
  <si>
    <t xml:space="preserve">Jetons Sanctum avec abilities, expiration et double contrôle permissions Shield.</t>
  </si>
  <si>
    <t xml:space="preserve">Pas d'API ; Sanctum à ajouter soi-même.</t>
  </si>
  <si>
    <t xml:space="preserve">Paramètres per_page, page, orderby, search, filtres de taxonomie, _fields et _embed.</t>
  </si>
  <si>
    <t xml:space="preserve">https://developer.wordpress.org/rest-api/using-the-rest-api/pagination/</t>
  </si>
  <si>
    <t xml:space="preserve">JSON:API : filter, sort, page, include et sparse fieldsets.</t>
  </si>
  <si>
    <t xml:space="preserve">Arguments de requête d'éléments (relatedTo, search, orderBy, limit, offset) exposés en GraphQL.</t>
  </si>
  <si>
    <t xml:space="preserve">Recherche et pagination basiques dans l'API REST ; pagination et sélection avancées avec KQL.</t>
  </si>
  <si>
    <t xml:space="preserve">Payant : Pro – filtres autorisés par ressource, sort, limit/page.</t>
  </si>
  <si>
    <t xml:space="preserve">Pagination et requêtes Eloquent disponibles pour endpoints maison.</t>
  </si>
  <si>
    <t xml:space="preserve">Paramètres published, template, parent, children_of, sort/order, page/per_page.</t>
  </si>
  <si>
    <t xml:space="preserve">Paramètres where, limit/page, sort, select, depth et populate.</t>
  </si>
  <si>
    <t xml:space="preserve">Paramètres filter[], sort, include, with_counts et pagination (max 100).</t>
  </si>
  <si>
    <t xml:space="preserve">Paquets JS @wordpress/api-fetch et @wordpress/core-data ; pas de SDK multi-langages.</t>
  </si>
  <si>
    <t xml:space="preserve">https://developer.wordpress.org/block-editor/reference-guides/packages/packages-api-fetch/</t>
  </si>
  <si>
    <t xml:space="preserve">SDK @drupal-canvas/headless avec adaptateurs Next.js, Astro, Nuxt, Angular ; next-drupal reste tiers.</t>
  </si>
  <si>
    <t xml:space="preserve">https://project.pages.drupalcode.org/canvas/headless</t>
  </si>
  <si>
    <t xml:space="preserve">Aucun SDK client officiel ; utiliser un client GraphQL générique.</t>
  </si>
  <si>
    <t xml:space="preserve">Aucun SDK client officiel (projets communautaires comme Kirby Headless/Nuxt KQL).</t>
  </si>
  <si>
    <t xml:space="preserve">Aucun SDK JavaScript officiel documenté.</t>
  </si>
  <si>
    <t xml:space="preserve">Aucun SDK client.</t>
  </si>
  <si>
    <t xml:space="preserve">Pas de SDK JS/PHP ; seul le serveur MCP grav-mcp (npm) consomme l'API.</t>
  </si>
  <si>
    <t xml:space="preserve">@payloadcms/sdk (bêta), client REST typé proche de la Local API.</t>
  </si>
  <si>
    <t xml:space="preserve">https://payloadcms.com/docs/rest-api/overview#payload-rest-api-sdk</t>
  </si>
  <si>
    <t xml:space="preserve">Pas de SDK ; documentation OpenAPI générable via Scribe.</t>
  </si>
  <si>
    <t xml:space="preserve">Aucun SDK.</t>
  </si>
  <si>
    <t xml:space="preserve">Aucun webhook de contenu natif ; WP Webhooks ou code sur transition_post_status.</t>
  </si>
  <si>
    <t xml:space="preserve">Module Webhooks ou actions HTTP ECA.</t>
  </si>
  <si>
    <t xml:space="preserve">Plugin Webhooks de Pixel &amp; Tonic pour déclencher des builds à la sauvegarde.</t>
  </si>
  <si>
    <t xml:space="preserve">Via hooks codés ou plugins Webhooks/Webhook Field.</t>
  </si>
  <si>
    <t xml:space="preserve">Via addons webhooks tiers (Hooker, Webhook Manager) ou événements Laravel.</t>
  </si>
  <si>
    <t xml:space="preserve">Aucun webhook ; événements PHP model.afterSave à exploiter.</t>
  </si>
  <si>
    <t xml:space="preserve">Événements page.created/updated/deleted/moved/translated et media.*, signés HMAC.</t>
  </si>
  <si>
    <t xml:space="preserve">Pas de webhooks configurables ; implémentés dans les hooks de collection.</t>
  </si>
  <si>
    <t xml:space="preserve">Événements page.* et post.* signés avec retries exponentiels.</t>
  </si>
  <si>
    <t xml:space="preserve">Aucun webhook.</t>
  </si>
  <si>
    <t xml:space="preserve">Brouillons et autosaves lisibles via REST authentifiée (context=edit) ; flux d'aperçu front à construire.</t>
  </si>
  <si>
    <t xml:space="preserve">https://developer.wordpress.org/rest-api/reference/post-revisions/</t>
  </si>
  <si>
    <t xml:space="preserve">canvas_headless rend les brouillons dans le front découplé ; Next.js preview via next-drupal (tiers).</t>
  </si>
  <si>
    <t xml:space="preserve">En-tête X-Craft-Preview-Token ou paramètre token pour récupérer brouillons et révisions en GraphQL.</t>
  </si>
  <si>
    <t xml:space="preserve">Option preview du blueprint vers URL externe et versions changes accessibles en PHP ; pas de flux headless dédié.</t>
  </si>
  <si>
    <t xml:space="preserve">https://getkirby.com/docs/reference/objects/cms/page-blueprint/preview</t>
  </si>
  <si>
    <t xml:space="preserve">Payant : Pro – Live Preview passe un token au front qui interroge GraphQL pour les brouillons.</t>
  </si>
  <si>
    <t xml:space="preserve">Preview limité aux pages CMS du thème.</t>
  </si>
  <si>
    <t xml:space="preserve">Pages non publiées lisibles avec authentification et rendu HTML via ?render=true ; pas de jeton de preview.</t>
  </si>
  <si>
    <t xml:space="preserve">Paramètre draft=true pour lire les brouillons via l'API.</t>
  </si>
  <si>
    <t xml:space="preserve">https://payloadcms.com/docs/versions/drafts#draft-api</t>
  </si>
  <si>
    <t xml:space="preserve">Brouillons lisibles via l'API avec un jeton autorisé ; jetons de preview liés au rendu Blade.</t>
  </si>
  <si>
    <t xml:space="preserve">Aucun mécanisme.</t>
  </si>
  <si>
    <t xml:space="preserve">Aucun commerce dans le cœur, hormis les blocs Paiement de Jetpack.</t>
  </si>
  <si>
    <t xml:space="preserve">https://wordpress.org/plugins/woocommerce/</t>
  </si>
  <si>
    <t xml:space="preserve">Aucune fonctionnalité e-commerce dans le cœur.</t>
  </si>
  <si>
    <t xml:space="preserve">Le cœur n'inclut pas de boutique ; Commerce est un plugin séparé.</t>
  </si>
  <si>
    <t xml:space="preserve">Aucun e-commerce dans le cœur.</t>
  </si>
  <si>
    <t xml:space="preserve">Pas de boutique dans le cœur.</t>
  </si>
  <si>
    <t xml:space="preserve">Aucune fonction e-commerce dans le cœur.</t>
  </si>
  <si>
    <t xml:space="preserve">Pas d'e-commerce dans le cœur.</t>
  </si>
  <si>
    <t xml:space="preserve">Aucune fonctionnalité e-commerce.</t>
  </si>
  <si>
    <t xml:space="preserve">Aucune fonction e-commerce.</t>
  </si>
  <si>
    <t xml:space="preserve">WooCommerce (Automattic), gratuit, avec extensions payantes.</t>
  </si>
  <si>
    <t xml:space="preserve">Pas d'extension maintenue par le core ; Drupal Commerce (Centarro) est la solution de référence.</t>
  </si>
  <si>
    <t xml:space="preserve">https://www.drupal.org/project/commerce</t>
  </si>
  <si>
    <t xml:space="preserve">Payant : Craft Commerce Pro (1 199 $ + Craft Pro), multi-boutiques, inventaire, promotions.</t>
  </si>
  <si>
    <t xml:space="preserve">https://craftcms.com/commerce</t>
  </si>
  <si>
    <t xml:space="preserve">Pas d'extension commerce officielle ; Merx, Kart, Snipcart sont tiers.</t>
  </si>
  <si>
    <t xml:space="preserve">https://plugins.getkirby.com/topics/e-commerce</t>
  </si>
  <si>
    <t xml:space="preserve">Pas d'addon e-commerce first-party ; Cargo (Duncan McClean) est l'option tierce de référence.</t>
  </si>
  <si>
    <t xml:space="preserve">https://statamic.com/addons/duncanmcclean/cargo</t>
  </si>
  <si>
    <t xml:space="preserve">Payant : Meloncart Shop (199 $), lancé par l'équipe October en mars 2026.</t>
  </si>
  <si>
    <t xml:space="preserve">https://octobercms.com/blog/post/ecommerce-for-october-cms-here</t>
  </si>
  <si>
    <t xml:space="preserve">Payant : KahunaCart (achat unique, sans commission), sorti en septembre 2026.</t>
  </si>
  <si>
    <t xml:space="preserve">https://getgrav.org/blog/kahunacart-coming-soon</t>
  </si>
  <si>
    <t xml:space="preserve">@payloadcms/plugin-ecommerce : produits, variantes, paniers, commandes, multi-devises.</t>
  </si>
  <si>
    <t xml:space="preserve">https://payloadcms.com/docs/ecommerce/overview</t>
  </si>
  <si>
    <t xml:space="preserve">Aucun plugin boutique officiel ; le plugin Billing sert à facturer les sites SaaS.</t>
  </si>
  <si>
    <t xml:space="preserve">Aucun paquet e-commerce dans l'écosystème Lara Zeus.</t>
  </si>
  <si>
    <t xml:space="preserve">https://larazeus.com</t>
  </si>
  <si>
    <t xml:space="preserve">WooPayments et WooCommerce Stripe Gateway (Automattic) ; PayPal Payments officiel côté WooCommerce.</t>
  </si>
  <si>
    <t xml:space="preserve">https://woocommerce.com/documentation/woocommerce/</t>
  </si>
  <si>
    <t xml:space="preserve">Passerelles Commerce Stripe, Commerce PayPal, etc.</t>
  </si>
  <si>
    <t xml:space="preserve">https://www.drupal.org/project/commerce_stripe</t>
  </si>
  <si>
    <t xml:space="preserve">Passerelles first-party Stripe, PayPal Checkout, Mollie, plus Omnipay et autres.</t>
  </si>
  <si>
    <t xml:space="preserve">Merx (Stripe/PayPal), kirby-stripe, passerelles Mollie/Mercado Pago pour Merx.</t>
  </si>
  <si>
    <t xml:space="preserve">Via Cargo (Stripe, Mollie) ou Butik/autres addons.</t>
  </si>
  <si>
    <t xml:space="preserve">https://builtwithcargo.dev</t>
  </si>
  <si>
    <t xml:space="preserve">Responsiv.Pay (gratuit) et Meloncart : Stripe, PayPal, RazorPay, hors-ligne.</t>
  </si>
  <si>
    <t xml:space="preserve">https://octobercms.com/plugin/responsiv-pay</t>
  </si>
  <si>
    <t xml:space="preserve">Payant : fournisseurs de paiement de KahunaCart ajoutés par add-ons ; liste précise non confirmée.</t>
  </si>
  <si>
    <t xml:space="preserve">Adaptateur Stripe du plugin ecommerce et @payloadcms/plugin-stripe ; autres via adaptateur maison.</t>
  </si>
  <si>
    <t xml:space="preserve">https://payloadcms.com/docs/ecommerce/payments</t>
  </si>
  <si>
    <t xml:space="preserve">Payant : plugin Billing (Cashier/Stripe) limité aux abonnements des sites Multisite.</t>
  </si>
  <si>
    <t xml:space="preserve">https://github.com/tallcms/tallcms/blob/main/docs/dev-billing.md</t>
  </si>
  <si>
    <t xml:space="preserve">Aucun paiement.</t>
  </si>
  <si>
    <t xml:space="preserve">Produits téléchargeables dans WooCommerce ; abonnements via Woo Subscriptions (payant).</t>
  </si>
  <si>
    <t xml:space="preserve">https://woocommerce.com/products/woocommerce-subscriptions/</t>
  </si>
  <si>
    <t xml:space="preserve">Commerce Recurring et Commerce License.</t>
  </si>
  <si>
    <t xml:space="preserve">https://www.drupal.org/project/commerce_recurring</t>
  </si>
  <si>
    <t xml:space="preserve">Plugin Digital Products (Pixel &amp; Tonic) et abonnements Commerce via la passerelle Stripe.</t>
  </si>
  <si>
    <t xml:space="preserve">https://craftcms.com/docs/commerce/5.x/system/subscriptions.html</t>
  </si>
  <si>
    <t xml:space="preserve">Klub (bnomei) pour contenus membres ; Merx/Kart pour produits.</t>
  </si>
  <si>
    <t xml:space="preserve">Produits numériques via Cargo ; abonnements non couverts nativement.</t>
  </si>
  <si>
    <t xml:space="preserve">Meloncart gère les téléchargements numériques ; abonnements non mentionnés.</t>
  </si>
  <si>
    <t xml:space="preserve">https://octobercms.com/plugin/meloncart-shop</t>
  </si>
  <si>
    <t xml:space="preserve">Payant : KahunaCart livre fichiers et clés de licence ; abonnements non mentionnés.</t>
  </si>
  <si>
    <t xml:space="preserve">Abonnements non gérés par le plugin ecommerce ; synchronisation Stripe via plugin-stripe.</t>
  </si>
  <si>
    <t xml:space="preserve">Abonnements Stripe uniquement pour les plans de sites SaaS (Billing), pas pour vendre du contenu.</t>
  </si>
  <si>
    <t xml:space="preserve">Aucun.</t>
  </si>
  <si>
    <t xml:space="preserve">Taux de taxes WooCommerce intégrés, calcul automatisé via WooCommerce Tax.</t>
  </si>
  <si>
    <t xml:space="preserve">https://woocommerce.com/document/setting-up-taxes-in-woocommerce/</t>
  </si>
  <si>
    <t xml:space="preserve">Sous-module Tax de Commerce : TVA UE/Suisse, taux par zone.</t>
  </si>
  <si>
    <t xml:space="preserve">Commerce : zones, catégories et taux de taxe, TVA incluse, validation de numéro de TVA ; TaxJar officiel.</t>
  </si>
  <si>
    <t xml:space="preserve">https://craftcms.com/docs/commerce/5.x/system/taxes.html</t>
  </si>
  <si>
    <t xml:space="preserve">Gérée par Merx ou les services externes (Snipcart, Shopify).</t>
  </si>
  <si>
    <t xml:space="preserve">Taxes par pays/région/code postal dans Cargo.</t>
  </si>
  <si>
    <t xml:space="preserve">Responsiv.Pay : classes et règles de taxes, numéro de TVA client.</t>
  </si>
  <si>
    <t xml:space="preserve">Payant : KahunaCart gère des taxes forfaitaires ou par zones.</t>
  </si>
  <si>
    <t xml:space="preserve">Le plugin ecommerce ne gère pas les taxes ni la livraison.</t>
  </si>
  <si>
    <t xml:space="preserve">Non documenté ; dépendrait de Stripe Tax via Cashier.</t>
  </si>
  <si>
    <t xml:space="preserve">Aucune.</t>
  </si>
  <si>
    <t xml:space="preserve">Normes d'accessibilité du cœur visant WCAG 2.2 AA, équipe accessibilité dédiée.</t>
  </si>
  <si>
    <t xml:space="preserve">https://make.wordpress.org/core/handbook/best-practices/coding-standards/accessibility-coding-standards/</t>
  </si>
  <si>
    <t xml:space="preserve">Engagement WCAG 2.2 AA et ATAG 2.0 pour le cœur ; Claro accessible.</t>
  </si>
  <si>
    <t xml:space="preserve">https://www.drupal.org/about/features/accessibility</t>
  </si>
  <si>
    <t xml:space="preserve">Panneau visant WCAG 2.2 AA : skip links, landmarks, préférences d'accessibilité par utilisateur.</t>
  </si>
  <si>
    <t xml:space="preserve">Améliorations d'accessibilité continues (4.0) mais l'équipe reconnaît ne pas viser de conformité certifiée.</t>
  </si>
  <si>
    <t xml:space="preserve">https://forum.getkirby.com/t/a11y-kirby-panel-wcag-2-1-compatible/30523</t>
  </si>
  <si>
    <t xml:space="preserve">Effort d'accessibilité du nouveau CP v6 non documenté par une déclaration de conformité WCAG.</t>
  </si>
  <si>
    <t xml:space="preserve">Aucune déclaration de conformité WCAG trouvée.</t>
  </si>
  <si>
    <t xml:space="preserve">Admin2 : focus visible, taille de police réglable, états lisibles sans couleur ; pas de conformité WCAG déclarée.</t>
  </si>
  <si>
    <t xml:space="preserve">Conformité WCAG 2.2 AA en cours, tests Axe automatisés.</t>
  </si>
  <si>
    <t xml:space="preserve">https://payloadcms.com/docs/admin/accessibility</t>
  </si>
  <si>
    <t xml:space="preserve">Hérite de Filament ; aucune déclaration de conformité WCAG.</t>
  </si>
  <si>
    <t xml:space="preserve">Repose sur Filament ; aucune déclaration de conformité WCAG trouvée.</t>
  </si>
  <si>
    <t xml:space="preserve">Pas de vérification native ; Accessibility Checker (Equalize Digital).</t>
  </si>
  <si>
    <t xml:space="preserve">https://wordpress.org/plugins/accessibility-checker/</t>
  </si>
  <si>
    <t xml:space="preserve">Editoria11y (inclus dans Drupal CMS) signale les problèmes à l'éditeur.</t>
  </si>
  <si>
    <t xml:space="preserve">https://project.pages.drupalcode.org/drupal_cms/manage/a11y/editoria11y/</t>
  </si>
  <si>
    <t xml:space="preserve">Plugin Editoria11y pour vérifier le contenu publié.</t>
  </si>
  <si>
    <t xml:space="preserve">https://plugins.craftcms.com/editoria11y</t>
  </si>
  <si>
    <t xml:space="preserve">Plugins kirby-editoria11y (medienbaecker) ou Staying Accessible.</t>
  </si>
  <si>
    <t xml:space="preserve">https://packagist.org/packages/medienbaecker/kirby-editoria11y</t>
  </si>
  <si>
    <t xml:space="preserve">Addons tiers d'accessibilité (SkynetAccessibility…) uniquement.</t>
  </si>
  <si>
    <t xml:space="preserve">https://statamic.com/addons</t>
  </si>
  <si>
    <t xml:space="preserve">Aucun contrôle d'accessibilité.</t>
  </si>
  <si>
    <t xml:space="preserve">Aucun contrôle d'accessibilité du contenu.</t>
  </si>
  <si>
    <t xml:space="preserve">Filtre des images sans texte alternatif ; aucun autre contrôle.</t>
  </si>
  <si>
    <t xml:space="preserve">Thèmes par défaut (Twenty Twenty-Five) étiquetés accessibility-ready.</t>
  </si>
  <si>
    <t xml:space="preserve">https://make.wordpress.org/themes/handbook/review/accessibility/</t>
  </si>
  <si>
    <t xml:space="preserve">Olivero conçu pour WCAG AA.</t>
  </si>
  <si>
    <t xml:space="preserve">https://www.drupal.org/docs/core-modules-and-themes/core-themes/olivero-theme</t>
  </si>
  <si>
    <t xml:space="preserve">Pas de thème front fourni ; accessibilité à la charge du développeur.</t>
  </si>
  <si>
    <t xml:space="preserve">Le front est entièrement codé par le développeur ; le Starterkit est sobre mais sans garantie.</t>
  </si>
  <si>
    <t xml:space="preserve">Pas de thème front fourni ; dépend des starter kits.</t>
  </si>
  <si>
    <t xml:space="preserve">Aucune garantie d'accessibilité documentée pour le thème démo.</t>
  </si>
  <si>
    <t xml:space="preserve">Quark 2 repose sur Pico CSS sémantique, mais aucune conformité n'est revendiquée.</t>
  </si>
  <si>
    <t xml:space="preserve">Pas de thèmes front (headless).</t>
  </si>
  <si>
    <t xml:space="preserve">daisyUI sémantique, mais aucune conformité annoncée.</t>
  </si>
  <si>
    <t xml:space="preserve">Aucune information sur l'accessibilité du thème zeus par défaut.</t>
  </si>
  <si>
    <t xml:space="preserve">Champ alt non obligatoire ; 7.0 importe l'alt depuis IPTC, génération via plugin AI.</t>
  </si>
  <si>
    <t xml:space="preserve">Champ alt requis par défaut sur les champs image, désactivable par champ.</t>
  </si>
  <si>
    <t xml:space="preserve">Champ Texte alternatif natif pouvant être rendu obligatoire ; pré-rempli depuis les métadonnées du fichier (5.10).</t>
  </si>
  <si>
    <t xml:space="preserve">Champ alt à définir en blueprint de fichier, rendu obligatoire via required ; IA alt text via plugin Alter.</t>
  </si>
  <si>
    <t xml:space="preserve">Champ alt dans le blueprint d'asset, rendable obligatoire via validation ; pas de rappel dédié.</t>
  </si>
  <si>
    <t xml:space="preserve">Pas d'alt obligatoire ; seulement titre/description optionnels.</t>
  </si>
  <si>
    <t xml:space="preserve">Champs de métadonnées médias marquables obligatoires, sans exigence d'alt par défaut.</t>
  </si>
  <si>
    <t xml:space="preserve">Rendre alt required sur la collection media en code ; aucun rappel natif.</t>
  </si>
  <si>
    <t xml:space="preserve">Filtre alt manquant, génération depuis le nom de fichier, mise à jour en masse ; non obligatoire.</t>
  </si>
  <si>
    <t xml:space="preserve">Pas de champ alt sur l'image mise en avant.</t>
  </si>
  <si>
    <t xml:space="preserve">MySQL ou MariaDB obligatoire, schéma fixe (wp_posts, wp_postmeta…).</t>
  </si>
  <si>
    <t xml:space="preserve">https://developer.wordpress.org/advanced-administration/before-install/howto-install/</t>
  </si>
  <si>
    <t xml:space="preserve">Database API (PDO) avec abstraction, Entity API et schéma géré par le cœur.</t>
  </si>
  <si>
    <t xml:space="preserve">https://www.drupal.org/docs/drupal-apis/database-api</t>
  </si>
  <si>
    <t xml:space="preserve">Contenu et réglages en base relationnelle ; contenu des champs en JSON depuis Craft 5.</t>
  </si>
  <si>
    <t xml:space="preserve">https://craftcms.com/docs/5.x/requirements.html</t>
  </si>
  <si>
    <t xml:space="preserve">Contenu en fichiers ; classe Db (MySQL/SQLite) pour données annexes et pages virtuelles.</t>
  </si>
  <si>
    <t xml:space="preserve">https://getkirby.com/docs/guide/database</t>
  </si>
  <si>
    <t xml:space="preserve">Addon officiel gratuit Eloquent Driver pour stocker entrées, assets, blueprints, révisions… en DB.</t>
  </si>
  <si>
    <t xml:space="preserve">https://github.com/statamic/eloquent-driver</t>
  </si>
  <si>
    <t xml:space="preserve">Eloquent / Laravel, base relationnelle requise.</t>
  </si>
  <si>
    <t xml:space="preserve">https://docs.octobercms.com/4.x/setup/installation.html</t>
  </si>
  <si>
    <t xml:space="preserve">Le cœur n'utilise pas de base relationnelle ; seuls des plugins premium (Mailroom, KahunaCart) en emploient une.</t>
  </si>
  <si>
    <t xml:space="preserve">https://getgrav.org/blog/grav-2-rc-released</t>
  </si>
  <si>
    <t xml:space="preserve">Adaptateurs Postgres et SQLite via Drizzle, en plus de MongoDB.</t>
  </si>
  <si>
    <t xml:space="preserve">https://payloadcms.com/docs/database/overview</t>
  </si>
  <si>
    <t xml:space="preserve">Stockage Eloquent en base relationnelle, champs traduisibles en JSON.</t>
  </si>
  <si>
    <t xml:space="preserve">Eloquent sur base relationnelle (tables posts, faqs, library, navigations, tags, media).</t>
  </si>
  <si>
    <t xml:space="preserve">MySQL 5.5.5+ / MariaDB 5.5.5+ (recommandé MySQL 8.4, MariaDB 10.11+) ; SQLite via plugin de fonctionnalité officiel ; PostgreSQL non supporté.</t>
  </si>
  <si>
    <t xml:space="preserve">https://make.wordpress.org/hosting/handbook/compatibility/version/7-0/</t>
  </si>
  <si>
    <t xml:space="preserve">MySQL 8.0, MariaDB 10.6+, PostgreSQL 16+, SQLite 3.45 ; pilotes contrib SQL Server, MongoDB.</t>
  </si>
  <si>
    <t xml:space="preserve">https://www.drupal.org/docs/getting-started/system-requirements/database-server-requirements</t>
  </si>
  <si>
    <t xml:space="preserve">MySQL 8.0.17+, MariaDB 10.4.6+ (déconseillé à grande échelle), PostgreSQL 13+ ; pas de SQLite.</t>
  </si>
  <si>
    <t xml:space="preserve">Flat-file par défaut ; classe Db : MySQL et SQLite ; cache Redis/Memcached/APCu.</t>
  </si>
  <si>
    <t xml:space="preserve">Flat-file par défaut ; en DB, tous les moteurs Laravel (MySQL, MariaDB, PostgreSQL, SQLite, SQL Server).</t>
  </si>
  <si>
    <t xml:space="preserve">MySQL 5.7+, MariaDB 10.2+, PostgreSQL 9.6+, SQLite 3.8.8+ ; lectures/écritures séparables.</t>
  </si>
  <si>
    <t xml:space="preserve">https://docs.octobercms.com/4.x/setup/database-config.html</t>
  </si>
  <si>
    <t xml:space="preserve">Aucun pour le contenu (YAML/Markdown) ; cache fichier/APCu/Redis/Memcache ; SQLite/MySQL/PostgreSQL pour certains plugins premium.</t>
  </si>
  <si>
    <t xml:space="preserve">MongoDB, PostgreSQL (dont Vercel Postgres), SQLite, Cloudflare D1 ; pas de MySQL.</t>
  </si>
  <si>
    <t xml:space="preserve">Officiellement MySQL 8, MariaDB 10.3+ et SQLite ; PostgreSQL non listé malgré des correctifs.</t>
  </si>
  <si>
    <t xml:space="preserve">Moteurs Laravel (MySQL/MariaDB, PostgreSQL, SQLite, SQL Server) ; colonnes JSON requises pour les traductions.</t>
  </si>
  <si>
    <t xml:space="preserve">Aucun mode sans base de données.</t>
  </si>
  <si>
    <t xml:space="preserve">Contenu toujours stocké en base de données.</t>
  </si>
  <si>
    <t xml:space="preserve">Base de données obligatoire.</t>
  </si>
  <si>
    <t xml:space="preserve">Contenu en fichiers texte (.txt ou .md) dans des dossiers, sans base de données.</t>
  </si>
  <si>
    <t xml:space="preserve">Contenu en YAML/Markdown indexé par le Stache dans le cache Laravel, sans base de données.</t>
  </si>
  <si>
    <t xml:space="preserve">https://statamic.dev/advanced-topics/stache</t>
  </si>
  <si>
    <t xml:space="preserve">Thèmes (pages, layouts, contenus) en fichiers via Halcyon, mais la base reste obligatoire.</t>
  </si>
  <si>
    <t xml:space="preserve">Tout le contenu, la config et les comptes sont des fichiers Markdown/YAML dans user/.</t>
  </si>
  <si>
    <t xml:space="preserve">Une base de données est obligatoire.</t>
  </si>
  <si>
    <t xml:space="preserve">Aucun mode fichiers plats.</t>
  </si>
  <si>
    <t xml:space="preserve">Templates et theme.json en fichiers, personnalisations du Site Editor surchargées en base.</t>
  </si>
  <si>
    <t xml:space="preserve">https://developer.wordpress.org/themes/global-settings-and-styles/</t>
  </si>
  <si>
    <t xml:space="preserve">Configuration exportée en YAML versionnable, contenu en base ; pas de contenu en fichiers.</t>
  </si>
  <si>
    <t xml:space="preserve">Schéma et réglages en YAML (project config), contenu en base de données.</t>
  </si>
  <si>
    <t xml:space="preserve">Pages virtuelles depuis une DB ; plugin officiel database-storage (alpha) pour stocker des pages en base.</t>
  </si>
  <si>
    <t xml:space="preserve">https://github.com/getkirby/database-storage</t>
  </si>
  <si>
    <t xml:space="preserve">Eloquent Driver configurable par dépôt (ex. entrées en DB, blueprints en fichiers) ; users en DB natif.</t>
  </si>
  <si>
    <t xml:space="preserve">Templates en fichiers, contenus Tailor en DB ; option database_templates et assets en DB (4.4).</t>
  </si>
  <si>
    <t xml:space="preserve">https://docs.octobercms.com/4.x/cms/themes/database-themes.html</t>
  </si>
  <si>
    <t xml:space="preserve">Flex Objects offre plusieurs stratégies de stockage fichiers ; base de données seulement dans des plugins premium.</t>
  </si>
  <si>
    <t xml:space="preserve">Pas de mode hybride.</t>
  </si>
  <si>
    <t xml:space="preserve">Thèmes et plugins en fichiers, contenu et réglages en base.</t>
  </si>
  <si>
    <t xml:space="preserve">Seule la config est en fichiers.</t>
  </si>
  <si>
    <t xml:space="preserve">Code, thèmes et schémas en fichiers ; le contenu reste en base, non versionnable.</t>
  </si>
  <si>
    <t xml:space="preserve">Export de contenu YAML en CLI (content:export, 11.3) et contenu par défaut dans les recettes.</t>
  </si>
  <si>
    <t xml:space="preserve">https://www.drupal.org/blog/drupal-11-3-0</t>
  </si>
  <si>
    <t xml:space="preserve">Seul le schéma est versionné ; le contenu reste en base.</t>
  </si>
  <si>
    <t xml:space="preserve">Contenu, médias et configuration étant des fichiers, tout le site est versionnable dans Git.</t>
  </si>
  <si>
    <t xml:space="preserve">Contenu, blueprints et config en fichiers versionnables ; automatisation Git du CP en Pro.</t>
  </si>
  <si>
    <t xml:space="preserve">https://statamic.dev/control-panel/git-automation</t>
  </si>
  <si>
    <t xml:space="preserve">Thèmes et blueprints en fichiers versionnables ; contenus Tailor en base.</t>
  </si>
  <si>
    <t xml:space="preserve">https://docs.octobercms.com/4.x/resources/development-workflow.html</t>
  </si>
  <si>
    <t xml:space="preserve">Le dossier user/ est versionnable tel quel ; Git Sync automatise commits et pulls.</t>
  </si>
  <si>
    <t xml:space="preserve">https://github.com/trilbymedia/grav-plugin-git-sync</t>
  </si>
  <si>
    <t xml:space="preserve">Seul le schéma est en code ; le contenu reste en base.</t>
  </si>
  <si>
    <t xml:space="preserve">Contenu en base ; seuls thèmes, plugins et config se versionnent.</t>
  </si>
  <si>
    <t xml:space="preserve">Contenu en base de données.</t>
  </si>
  <si>
    <t xml:space="preserve">Types de contenu en PHP, block.json, theme.json ; JSON local de Secure Custom Fields pour les groupes de champs.</t>
  </si>
  <si>
    <t xml:space="preserve">https://developer.wordpress.org/block-editor/reference-guides/block-api/block-metadata/</t>
  </si>
  <si>
    <t xml:space="preserve">Types, champs, vues, rôles exportés en YAML ; schéma de config typé.</t>
  </si>
  <si>
    <t xml:space="preserve">Champs, sections, types d'entrées et layouts stockés dans config/project/*.yaml.</t>
  </si>
  <si>
    <t xml:space="preserve">Blueprints YAML/PHP dans site/blueprints ou fournis par plugins.</t>
  </si>
  <si>
    <t xml:space="preserve">Blueprints et fieldsets YAML dans resources/, éditables en CP ou à la main.</t>
  </si>
  <si>
    <t xml:space="preserve">Blueprints YAML dans app/, thèmes ou plugins.</t>
  </si>
  <si>
    <t xml:space="preserve">Blueprints YAML dans thèmes, plugins et user/blueprints.</t>
  </si>
  <si>
    <t xml:space="preserve">Toute la config (collections, champs, accès, hooks) en fichiers TypeScript.</t>
  </si>
  <si>
    <t xml:space="preserve">https://payloadcms.com/docs/configuration/overview</t>
  </si>
  <si>
    <t xml:space="preserve">Pas de blueprints ; migrations, theme.json et plugin.json sont en fichiers.</t>
  </si>
  <si>
    <t xml:space="preserve">Schéma défini par migrations publiées et classes de ressources PHP.</t>
  </si>
  <si>
    <t xml:space="preserve">Export WXR du contenu, pas des réglages ; options manipulables via WP-CLI (wp option).</t>
  </si>
  <si>
    <t xml:space="preserve">https://developer.wordpress.org/cli/commands/option/</t>
  </si>
  <si>
    <t xml:space="preserve">Export/import de configuration complet ou unitaire (UI et CLI).</t>
  </si>
  <si>
    <t xml:space="preserve">https://www.drupal.org/docs/core-modules-and-themes/core-modules/config-module</t>
  </si>
  <si>
    <t xml:space="preserve">Project config appliquée via project-config/apply ou craft up ; rebuild depuis la base.</t>
  </si>
  <si>
    <t xml:space="preserve">Toute la configuration est en fichiers PHP (config.php), copiable entre installations.</t>
  </si>
  <si>
    <t xml:space="preserve">Toute la config est en fichiers PHP/YAML versionnés ; commandes eloquent:import/export entre fichiers et DB.</t>
  </si>
  <si>
    <t xml:space="preserve">Import/export de thèmes et des enregistrements ; réglages système non exportables.</t>
  </si>
  <si>
    <t xml:space="preserve">Toute la configuration est en YAML dans user/config, copiable entre installations.</t>
  </si>
  <si>
    <t xml:space="preserve">Les réglages sont du code ; les données des globals passent par import-export.</t>
  </si>
  <si>
    <t xml:space="preserve">Aucun export/import des réglages du site.</t>
  </si>
  <si>
    <t xml:space="preserve">Réglages entièrement en fichiers PHP (zeus-sky.php, zeus.php, panel provider) donc versionnables.</t>
  </si>
  <si>
    <t xml:space="preserve">Constantes wp-config.php et WP_ENVIRONMENT_TYPE ; .env via Bedrock (tiers).</t>
  </si>
  <si>
    <t xml:space="preserve">https://developer.wordpress.org/reference/functions/wp_get_environment_type/</t>
  </si>
  <si>
    <t xml:space="preserve">Overrides dans settings.php ; .env via le template drupal-composer, splits via Config Split (tiers).</t>
  </si>
  <si>
    <t xml:space="preserve">https://www.drupal.org/project/config_split</t>
  </si>
  <si>
    <t xml:space="preserve">Variables d'environnement utilisables dans la plupart des réglages, surcharges CRAFT_* de toute la config.</t>
  </si>
  <si>
    <t xml:space="preserve">config.{host}.php et env.php par environnement ; pas de lecteur .env natif (plugin Helpers).</t>
  </si>
  <si>
    <t xml:space="preserve">Fichiers config/statamic/*.php pilotés par variables .env (STATAMIC_*).</t>
  </si>
  <si>
    <t xml:space="preserve">https://statamic.dev/getting-started/configuration</t>
  </si>
  <si>
    <t xml:space="preserve">Variables .env et fichiers de config par environnement (Laravel).</t>
  </si>
  <si>
    <t xml:space="preserve">https://docs.octobercms.com/4.x/setup/configuration.html</t>
  </si>
  <si>
    <t xml:space="preserve">Lecture native de .env, .env.local et .env.&lt;env&gt; depuis 2.0, chemin externe via GRAV_ENV_PATH.</t>
  </si>
  <si>
    <t xml:space="preserve">Variables d'environnement chargées et exposables à l'admin via préfixe NEXT_PUBLIC_.</t>
  </si>
  <si>
    <t xml:space="preserve">https://payloadcms.com/docs/configuration/environment-vars</t>
  </si>
  <si>
    <t xml:space="preserve">Nombreuses variables TALLCMS_* dans .env et config/tallcms.php.</t>
  </si>
  <si>
    <t xml:space="preserve">Mécanisme .env de Laravel utilisable dans les fichiers de config.</t>
  </si>
  <si>
    <t xml:space="preserve">https://laravel.com/docs/configuration</t>
  </si>
  <si>
    <t xml:space="preserve">Create Block Theme (WordPress.org) exporte les changements du Site Editor vers les fichiers du thème ; pas de config sync globale.</t>
  </si>
  <si>
    <t xml:space="preserve">https://wordpress.org/plugins/create-block-theme/</t>
  </si>
  <si>
    <t xml:space="preserve">Configuration Manager : synchronisation par répertoire config/sync et UUID de site.</t>
  </si>
  <si>
    <t xml:space="preserve">https://www.drupal.org/docs/configuration-management/managing-your-sites-configuration</t>
  </si>
  <si>
    <t xml:space="preserve">Project Config avec allowAdminChanges pour verrouiller la prod et utilitaire de diff.</t>
  </si>
  <si>
    <t xml:space="preserve">Config et blueprints sont du code : la synchro passe par Git/déploiement, sans base à synchroniser.</t>
  </si>
  <si>
    <t xml:space="preserve">Config en fichiers synchronisés par Git, sans étape de sync dédiée.</t>
  </si>
  <si>
    <t xml:space="preserve">project:sync installe les plugins déclarés ; config Laravel en fichiers.</t>
  </si>
  <si>
    <t xml:space="preserve">Surcharges par environnement dans user/env/&lt;nom&gt;/ avec sauvegardes différentielles depuis Admin2.</t>
  </si>
  <si>
    <t xml:space="preserve">Pas de sync nécessaire : la config déployée avec le code est la source de vérité.</t>
  </si>
  <si>
    <t xml:space="preserve">Pas de mécanisme de synchronisation de configuration.</t>
  </si>
  <si>
    <t xml:space="preserve">Pas de config stockée en base à synchroniser.</t>
  </si>
  <si>
    <t xml:space="preserve">Aucun outil natif ; WP Migrate (WP Engine) ou outils d'hébergeur.</t>
  </si>
  <si>
    <t xml:space="preserve">https://deliciousbrains.com/wp-migrate/</t>
  </si>
  <si>
    <t xml:space="preserve">Export/import de config entre environnements ; variantes par environnement via Config Split.</t>
  </si>
  <si>
    <t xml:space="preserve">Commit des YAML puis project-config/apply au déploiement.</t>
  </si>
  <si>
    <t xml:space="preserve">Déploiement des fichiers de config/blueprints via Git ; surcharges par hôte.</t>
  </si>
  <si>
    <t xml:space="preserve">Via Git : blueprints, collections et config sont des fichiers déployés.</t>
  </si>
  <si>
    <t xml:space="preserve">https://statamic.dev/getting-started/deploying</t>
  </si>
  <si>
    <t xml:space="preserve">Via Git/Composer et fichiers de config ; pas d'outil de synchro dédié.</t>
  </si>
  <si>
    <t xml:space="preserve">Config en fichiers par environnement, synchronisable par Git ou Git Sync.</t>
  </si>
  <si>
    <t xml:space="preserve">Config dans le code et migrations de schéma appliquées par environnement.</t>
  </si>
  <si>
    <t xml:space="preserve">https://payloadcms.com/docs/database/migrations</t>
  </si>
  <si>
    <t xml:space="preserve">Uniquement via config/.env versionnés et shield:seeder pour les rôles.</t>
  </si>
  <si>
    <t xml:space="preserve">Config en fichiers PHP déployés via Git ; pas d'outil dédié.</t>
  </si>
  <si>
    <t xml:space="preserve">Export/import WXR natif ; migrations complètes via WP Migrate ou WP-CLI search-replace.</t>
  </si>
  <si>
    <t xml:space="preserve">https://wordpress.org/documentation/article/tools-export-screen/</t>
  </si>
  <si>
    <t xml:space="preserve">Migrate API et export de contenu CLI ; pas de synchronisation de contenu entre instances.</t>
  </si>
  <si>
    <t xml:space="preserve">https://www.drupal.org/docs/drupal-apis/migrate-api</t>
  </si>
  <si>
    <t xml:space="preserve">Migrations de contenu en PHP et import Feed Me ; pas d'outil de synchronisation de contenu.</t>
  </si>
  <si>
    <t xml:space="preserve">https://craftcms.com/docs/5.x/extend/migrations.html</t>
  </si>
  <si>
    <t xml:space="preserve">Copie de dossiers content (rsync/Git) ; plugins Contentsync (zephir) et Git Content.</t>
  </si>
  <si>
    <t xml:space="preserve">Payant : Pro – Git Automation commit/push du contenu édité en prod pour le récupérer ailleurs.</t>
  </si>
  <si>
    <t xml:space="preserve">Export/import Tailor (JSON/CSV/ZIP) et seeding de thèmes.</t>
  </si>
  <si>
    <t xml:space="preserve">Git Sync (gratuit) : synchronisation bidirectionnelle du dossier user avec GitHub/GitLab/Bitbucket.</t>
  </si>
  <si>
    <t xml:space="preserve">Migrations de données en code et import-export ; pas d'outil de sync de contenu.</t>
  </si>
  <si>
    <t xml:space="preserve">Aucun outil de migration de contenu entre environnements.</t>
  </si>
  <si>
    <t xml:space="preserve">Pas de staging dans le cœur ; WP Staging ou fonctions des hébergeurs.</t>
  </si>
  <si>
    <t xml:space="preserve">https://wordpress.org/plugins/wp-staging/</t>
  </si>
  <si>
    <t xml:space="preserve">Workspaces (stable depuis 10.3) : préparer et publier un lot de contenus sur le site live.</t>
  </si>
  <si>
    <t xml:space="preserve">https://www.drupal.org/docs/core-modules-and-themes/core-modules/workspaces-module</t>
  </si>
  <si>
    <t xml:space="preserve">Pas d'outil dans le CMS ; environnements multiples fournis par l'hébergement Craft Cloud (payant).</t>
  </si>
  <si>
    <t xml:space="preserve">https://craftcms.com/cloud</t>
  </si>
  <si>
    <t xml:space="preserve">Pas d'outil de staging ; licence de développement gratuite pour staging depuis 5.5.</t>
  </si>
  <si>
    <t xml:space="preserve">Aucun environnement de staging géré ; trial Pro gratuit sur domaines staging.* .</t>
  </si>
  <si>
    <t xml:space="preserve">Pas d'outil de staging ; une licence couvre dev/staging/prod.</t>
  </si>
  <si>
    <t xml:space="preserve">Sélecteur d'environnement dans Admin2 et installation 2.0 en parallèle via Migrate ; pas de staging de contenu.</t>
  </si>
  <si>
    <t xml:space="preserve">Aucun environnement de staging intégré.</t>
  </si>
  <si>
    <t xml:space="preserve">Pas d'environnement de staging intégré.</t>
  </si>
  <si>
    <t xml:space="preserve">Code déployable séparément de la base, mais templates modifiés dans le Site Editor vivent en base.</t>
  </si>
  <si>
    <t xml:space="preserve">Séparation stricte config (fichiers) / contenu (base) ; les imports de config ne touchent pas le contenu.</t>
  </si>
  <si>
    <t xml:space="preserve">Séparation schéma (fichiers) / contenu (base) : le déploiement n'écrase pas le contenu.</t>
  </si>
  <si>
    <t xml:space="preserve">Possible en excluant content/ du déploiement ou avec Git Content, mais à organiser soi-même.</t>
  </si>
  <si>
    <t xml:space="preserve">Payant : Pro – Git Automation pousse le contenu prod ([BOT]) avant déploiement ; en DB, contenu hors Git.</t>
  </si>
  <si>
    <t xml:space="preserve">Contenu en DB séparé du code ; workflow Composer documenté ; plugin RainLab.Deploy.</t>
  </si>
  <si>
    <t xml:space="preserve">https://docs.octobercms.com/4.x/setup/deployment.html</t>
  </si>
  <si>
    <t xml:space="preserve">Possible avec Git Sync, mais contenu et code partagent le même dossier user/.</t>
  </si>
  <si>
    <t xml:space="preserve">Migrations versionnées (migrate, migrate:status, down) préservant les données.</t>
  </si>
  <si>
    <t xml:space="preserve">Contenu en base ; l'updater préserve .env, storage, themes et plugins ; script Git deploy documenté.</t>
  </si>
  <si>
    <t xml:space="preserve">https://github.com/tallcms/tallcms/blob/main/docs/ref-updating.md</t>
  </si>
  <si>
    <t xml:space="preserve">Contenu en base séparé du code ; migrations Laravel classiques.</t>
  </si>
  <si>
    <t xml:space="preserve">Plugins, must-use plugins, drop-ins et dépendances entre plugins (Requires Plugins, 6.5).</t>
  </si>
  <si>
    <t xml:space="preserve">https://developer.wordpress.org/plugins/</t>
  </si>
  <si>
    <t xml:space="preserve">Modules, Plugin API à attributs, services Symfony, recettes.</t>
  </si>
  <si>
    <t xml:space="preserve">https://www.drupal.org/docs/develop/creating-modules</t>
  </si>
  <si>
    <t xml:space="preserve">Plugins Composer installables depuis l'admin et modules Yii propres au projet.</t>
  </si>
  <si>
    <t xml:space="preserve">https://craftcms.com/docs/5.x/extend/</t>
  </si>
  <si>
    <t xml:space="preserve">Kirby::plugin() avec 56 types d'extensions (champs, sections, routes, hooks, zones Panel…).</t>
  </si>
  <si>
    <t xml:space="preserve">https://getkirby.com/docs/reference/plugins/extensions</t>
  </si>
  <si>
    <t xml:space="preserve">Addons = packages Composer Laravel (make:addon), avec réglages d'addon dans le CP (v6).</t>
  </si>
  <si>
    <t xml:space="preserve">https://statamic.dev/addons/building-an-addon</t>
  </si>
  <si>
    <t xml:space="preserve">Plugins avec Plugin.php, migrations, composants, permissions, navigation.</t>
  </si>
  <si>
    <t xml:space="preserve">https://docs.octobercms.com/4.x/extend/system/plugins.html</t>
  </si>
  <si>
    <t xml:space="preserve">Plugins PHP installés via GPM, avec blueprint de configuration et dépendances.</t>
  </si>
  <si>
    <t xml:space="preserve">Un plugin est une fonction qui transforme la config Payload.</t>
  </si>
  <si>
    <t xml:space="preserve">https://payloadcms.com/docs/plugins/overview</t>
  </si>
  <si>
    <t xml:space="preserve">Plugins TallCMS (plugin.json, ZIP, migrations, routes) plus tous les plugins Filament.</t>
  </si>
  <si>
    <t xml:space="preserve">Sky est lui-même un plugin Filament ; extension via plugins Filament et paquets Laravel.</t>
  </si>
  <si>
    <t xml:space="preserve">https://filamentphp.com/docs/5.x/plugins/getting-started</t>
  </si>
  <si>
    <t xml:space="preserve">Répertoire wordpress.org/plugins (plus de 76 000 plugins gratuits) installable depuis l'admin.</t>
  </si>
  <si>
    <t xml:space="preserve">https://wordpress.org/plugins/</t>
  </si>
  <si>
    <t xml:space="preserve">Plus de 56 000 modules sur drupal.org ; installation depuis l'admin via Project Browser (Drupal CMS).</t>
  </si>
  <si>
    <t xml:space="preserve">https://www.drupal.org/project/project_browser</t>
  </si>
  <si>
    <t xml:space="preserve">Plugin Store intégré au panneau, achats et essais, licences gérées via Craft Console.</t>
  </si>
  <si>
    <t xml:space="preserve">Répertoire officiel plugins.getkirby.com (gratuits et payants, gestion des licences de plugins en 5.0).</t>
  </si>
  <si>
    <t xml:space="preserve">https://plugins.getkirby.com/</t>
  </si>
  <si>
    <t xml:space="preserve">Marketplace officielle statamic.com (~500 addons, gratuits et payants, licence par site).</t>
  </si>
  <si>
    <t xml:space="preserve">Marketplace officiel intégré à l'admin, plugins gratuits et payants.</t>
  </si>
  <si>
    <t xml:space="preserve">https://octobercms.com/plugins</t>
  </si>
  <si>
    <t xml:space="preserve">Répertoire GPM intégré (gratuits) et boutique Grav Premium (License Manager).</t>
  </si>
  <si>
    <t xml:space="preserve">Pas de marketplace officiel ; plugins distribués via npm.</t>
  </si>
  <si>
    <t xml:space="preserve">Marketplace tallcms.com (gratuits et payants, licences via Anystack) intégré au Plugin Manager.</t>
  </si>
  <si>
    <t xml:space="preserve">Répertoire de plugins Filament (filamentphp.com/plugins) utilisable, ex. éditeurs.</t>
  </si>
  <si>
    <t xml:space="preserve">Plugin API d'actions et filtres omniprésente, côté PHP et JS (@wordpress/hooks).</t>
  </si>
  <si>
    <t xml:space="preserve">https://developer.wordpress.org/plugins/hooks/</t>
  </si>
  <si>
    <t xml:space="preserve">Hooks orientés objet par attribut #[Hook] (11.1+) et événements Symfony.</t>
  </si>
  <si>
    <t xml:space="preserve">https://www.drupal.org/blog/drupal-11-1-0</t>
  </si>
  <si>
    <t xml:space="preserve">Événements Yii sur services et éléments, hooks de templates ({% hook %}).</t>
  </si>
  <si>
    <t xml:space="preserve">https://craftcms.com/docs/5.x/extend/events.html</t>
  </si>
  <si>
    <t xml:space="preserve">Hooks :before/:after sur pages, fichiers, utilisateurs, routes ; retour d'objet modifié en 5.0.</t>
  </si>
  <si>
    <t xml:space="preserve">https://getkirby.com/docs/reference/plugins/hooks</t>
  </si>
  <si>
    <t xml:space="preserve">Événements Laravel (EntrySaving, FormSubmitted…), hooks PHP et JS.</t>
  </si>
  <si>
    <t xml:space="preserve">https://statamic.dev/backend-apis/events</t>
  </si>
  <si>
    <t xml:space="preserve">Événements globaux et locaux (bindEvent), extension de modèles et contrôleurs.</t>
  </si>
  <si>
    <t xml:space="preserve">https://docs.octobercms.com/4.x/extend/extending.html</t>
  </si>
  <si>
    <t xml:space="preserve">Événements Symfony EventDispatcher (onPageInitialized, onTwigSiteVariables…) et événements API.</t>
  </si>
  <si>
    <t xml:space="preserve">Hooks au niveau config, collection, global et champ (beforeChange, afterRead…).</t>
  </si>
  <si>
    <t xml:space="preserve">https://payloadcms.com/docs/hooks/overview</t>
  </si>
  <si>
    <t xml:space="preserve">Événements Laravel (Plugin/Theme Installing, Activated…) et observers ; pas de système de filtres.</t>
  </si>
  <si>
    <t xml:space="preserve">https://github.com/tallcms/tallcms/tree/main/packages/tallcms/cms/src/Events</t>
  </si>
  <si>
    <t xml:space="preserve">Événements Eloquent/Laravel et render hooks Filament ; parseurs de contenu configurables, pas d'événements propres à Sky.</t>
  </si>
  <si>
    <t xml:space="preserve">register_meta() et register_post_meta() avec schéma REST ; types de champs SCF enregistrables en PHP.</t>
  </si>
  <si>
    <t xml:space="preserve">https://developer.wordpress.org/reference/functions/register_meta/</t>
  </si>
  <si>
    <t xml:space="preserve">Plugins FieldType, FieldWidget, FieldFormatter.</t>
  </si>
  <si>
    <t xml:space="preserve">https://www.drupal.org/docs/drupal-apis/entity-api/fieldtypes-fieldwidgets-and-fieldformatters</t>
  </si>
  <si>
    <t xml:space="preserve">Création de types de champs PHP étendant craft\base\Field.</t>
  </si>
  <si>
    <t xml:space="preserve">https://craftcms.com/docs/5.x/extend/field-types.html</t>
  </si>
  <si>
    <t xml:space="preserve">Extension fields (PHP + composant Vue) pour créer des types de champs.</t>
  </si>
  <si>
    <t xml:space="preserve">make:fieldtype (PHP + composant Vue 3, Composition API supportée).</t>
  </si>
  <si>
    <t xml:space="preserve">https://statamic.dev/fieldtypes/build-a-fieldtype</t>
  </si>
  <si>
    <t xml:space="preserve">Form widgets et content fields Tailor (create:formwidget, create:contentfield).</t>
  </si>
  <si>
    <t xml:space="preserve">https://docs.octobercms.com/4.x/extend/tailor-fields.html</t>
  </si>
  <si>
    <t xml:space="preserve">Types de champs blueprint ajoutés par plugin, avec composants personnalisés pour Admin2.</t>
  </si>
  <si>
    <t xml:space="preserve">Composants Field/Cell personnalisés et champs ui purement visuels.</t>
  </si>
  <si>
    <t xml:space="preserve">https://payloadcms.com/docs/fields/ui</t>
  </si>
  <si>
    <t xml:space="preserve">Composants de formulaire Filament personnalisés utilisables dans les blocs (natif Filament).</t>
  </si>
  <si>
    <t xml:space="preserve">Champs Filament personnalisés possibles en réécrivant les ressources ; champs supplémentaires de menu via withExtraFields().</t>
  </si>
  <si>
    <t xml:space="preserve">https://github.com/lara-zeus/sky/blob/main/src/Configuration.php</t>
  </si>
  <si>
    <t xml:space="preserve">Hooks admin, SlotFill de l'éditeur, DataViews/DataForm et @wordpress/boot pour écrans Site Editor.</t>
  </si>
  <si>
    <t xml:space="preserve">Form alter, thème admin personnalisable, routes et menus admin.</t>
  </si>
  <si>
    <t xml:space="preserve">https://www.drupal.org/docs/drupal-apis/form-api</t>
  </si>
  <si>
    <t xml:space="preserve">Asset bundles, hooks de templates CP, cpHeadTags, éléments de layout UI personnalisés.</t>
  </si>
  <si>
    <t xml:space="preserve">panel.css/js, view buttons, file previews, extension de vues core, plugins Vue.</t>
  </si>
  <si>
    <t xml:space="preserve">https://getkirby.com/docs/reference/system/options/panel</t>
  </si>
  <si>
    <t xml:space="preserve">Navigation CP, CSS/JS, actions, filtres, scopes, field actions, bibliothèque UI Vue.</t>
  </si>
  <si>
    <t xml:space="preserve">https://statamic.dev/control-panel/customizing-the-cp-nav</t>
  </si>
  <si>
    <t xml:space="preserve">Behaviors (FormController, ListController…), extension de formulaires et listes.</t>
  </si>
  <si>
    <t xml:space="preserve">https://docs.octobercms.com/4.x/extend/forms/form-controller.html</t>
  </si>
  <si>
    <t xml:space="preserve">Points d'extension Admin2 : champs, pages, panneaux, éléments de menu et raccourcis de barre latérale.</t>
  </si>
  <si>
    <t xml:space="preserve">Remplacement de presque tous les composants admin par des composants React.</t>
  </si>
  <si>
    <t xml:space="preserve">Panel provider Filament, labels surchargeables via TallCmsPlugin::make() (natif Filament).</t>
  </si>
  <si>
    <t xml:space="preserve">Ressources activables/désactivables, masquables, remplaçables ; icônes, ordre et groupe de navigation.</t>
  </si>
  <si>
    <t xml:space="preserve">wp_add_dashboard_widget() pour widgets du tableau de bord.</t>
  </si>
  <si>
    <t xml:space="preserve">https://developer.wordpress.org/apis/dashboard-widgets/</t>
  </si>
  <si>
    <t xml:space="preserve">Module Dashboard (initiative Drupal CMS) : tableaux de bord par rôle composés de blocs.</t>
  </si>
  <si>
    <t xml:space="preserve">https://www.drupal.org/project/dashboard</t>
  </si>
  <si>
    <t xml:space="preserve">Tableau de bord par utilisateur et types de widgets personnalisés en plugin.</t>
  </si>
  <si>
    <t xml:space="preserve">Section/champ stats et sections custom dans le blueprint du site ; pas de dashboard à widgets dédié.</t>
  </si>
  <si>
    <t xml:space="preserve">https://getkirby.com/docs/reference/panel/sections/stats</t>
  </si>
  <si>
    <t xml:space="preserve">Widgets de dashboard configurables (largeurs) et make:widget.</t>
  </si>
  <si>
    <t xml:space="preserve">https://statamic.dev/widgets/building-a-widget</t>
  </si>
  <si>
    <t xml:space="preserve">Report widgets, Vue report widgets et data sources pour le module Dashboard.</t>
  </si>
  <si>
    <t xml:space="preserve">https://docs.octobercms.com/4.x/extend/dashboards/report-widgets.html</t>
  </si>
  <si>
    <t xml:space="preserve">Widgets ajoutés par plugins via l'événement onApiDashboardWidgets ; tableau de bord réorganisable.</t>
  </si>
  <si>
    <t xml:space="preserve">Dashboard modulaire (expérimental) avec widgets définis en code et disposition éditable par l'utilisateur.</t>
  </si>
  <si>
    <t xml:space="preserve">https://payloadcms.com/docs/custom-components/dashboard</t>
  </si>
  <si>
    <t xml:space="preserve">Widgets Filament natifs ; TallCMS ajoute Content Health, Menu Overview, Plugin Updates.</t>
  </si>
  <si>
    <t xml:space="preserve">https://github.com/tallcms/tallcms/tree/main/packages/tallcms/cms/src/Filament/Widgets</t>
  </si>
  <si>
    <t xml:space="preserve">Widgets de tableau de bord Filament ; Sky n'en fournit aucun.</t>
  </si>
  <si>
    <t xml:space="preserve">https://filamentphp.com/docs/5.x/widgets/overview</t>
  </si>
  <si>
    <t xml:space="preserve">add_menu_page()/add_submenu_page() et Settings API.</t>
  </si>
  <si>
    <t xml:space="preserve">https://developer.wordpress.org/plugins/administration-menus/</t>
  </si>
  <si>
    <t xml:space="preserve">Routes, contrôleurs et formulaires de config sous /admin, entrées de menu admin.</t>
  </si>
  <si>
    <t xml:space="preserve">https://www.drupal.org/docs/drupal-apis/routing-system</t>
  </si>
  <si>
    <t xml:space="preserve">Sections CP, utilitaires et pages de réglages ajoutés par plugins ou modules.</t>
  </si>
  <si>
    <t xml:space="preserve">https://craftcms.com/docs/5.x/extend/cp-section.html</t>
  </si>
  <si>
    <t xml:space="preserve">Panel areas : vues, menus, dialogues, drawers et recherches personnalisés.</t>
  </si>
  <si>
    <t xml:space="preserve">https://getkirby.com/docs/reference/plugins/extensions/panel-areas</t>
  </si>
  <si>
    <t xml:space="preserve">Routes CP, utilitaires personnalisés et pages Inertia/Vue dans les addons.</t>
  </si>
  <si>
    <t xml:space="preserve">https://statamic.dev/control-panel/utilities</t>
  </si>
  <si>
    <t xml:space="preserve">Contrôleurs backend de plugins avec navigation, et entrées extraNavigation Tailor.</t>
  </si>
  <si>
    <t xml:space="preserve">https://docs.octobercms.com/4.x/extend/system/controllers.html</t>
  </si>
  <si>
    <t xml:space="preserve">Pages admin de plugin dans Admin2, formulaire de réglages réutilisable en custom element.</t>
  </si>
  <si>
    <t xml:space="preserve">Custom Views : ajout ou remplacement de vues de l'admin.</t>
  </si>
  <si>
    <t xml:space="preserve">https://payloadcms.com/docs/custom-components/custom-views</t>
  </si>
  <si>
    <t xml:space="preserve">Pages Filament personnalisées, aussi depuis les plugins (natif Filament).</t>
  </si>
  <si>
    <t xml:space="preserve">Pages personnalisées Filament.</t>
  </si>
  <si>
    <t xml:space="preserve">https://filamentphp.com/docs/5.x/navigation/custom-pages</t>
  </si>
  <si>
    <t xml:space="preserve">WP Super Cache ou Jetpack Boost (Automattic, gratuits) ; le cœur n'a pas de cache de page.</t>
  </si>
  <si>
    <t xml:space="preserve">https://wordpress.org/plugins/wp-super-cache/</t>
  </si>
  <si>
    <t xml:space="preserve">Internal Page Cache (anonymes) et Dynamic Page Cache (authentifiés).</t>
  </si>
  <si>
    <t xml:space="preserve">https://www.drupal.org/docs/core-modules-and-themes/core-modules/internal-page-cache-module</t>
  </si>
  <si>
    <t xml:space="preserve">Blitz pour le cache de pages ; cache statique Cloudflare inclus avec Craft Cloud.</t>
  </si>
  <si>
    <t xml:space="preserve">cache.pages avec règles ignore, détection auto des réponses non cachables.</t>
  </si>
  <si>
    <t xml:space="preserve">https://getkirby.com/docs/guide/cache</t>
  </si>
  <si>
    <t xml:space="preserve">Static caching half measure (cache applicatif) ou full measure (fichiers HTML).</t>
  </si>
  <si>
    <t xml:space="preserve">https://statamic.dev/advanced-topics/static-caching</t>
  </si>
  <si>
    <t xml:space="preserve">Pas de full page cache natif ; Quicksilver (gratuit) pour cache statique.</t>
  </si>
  <si>
    <t xml:space="preserve">Le contenu compilé des pages est mis en cache, mais Twig s'exécute à chaque requête ; session.lazy permet un cache CDN.</t>
  </si>
  <si>
    <t xml:space="preserve">Délégué à Next.js (cache, ISR) ; Payload n'a pas de cache de pages.</t>
  </si>
  <si>
    <t xml:space="preserve">Aucun cache de page complète documenté.</t>
  </si>
  <si>
    <t xml:space="preserve">Aucun cache de page fourni.</t>
  </si>
  <si>
    <t xml:space="preserve">Object Cache API, Transients API et cache des WP_Query ; persistance via drop-in Redis/Memcached.</t>
  </si>
  <si>
    <t xml:space="preserve">https://developer.wordpress.org/reference/classes/wp_object_cache/</t>
  </si>
  <si>
    <t xml:space="preserve">Render cache avec contexts et max-age, BigPipe, Cache API backends (Redis/Memcache en tiers).</t>
  </si>
  <si>
    <t xml:space="preserve">https://www.drupal.org/docs/drupal-apis/cache-api</t>
  </si>
  <si>
    <t xml:space="preserve">Tag Twig {% cache %}, cache de données Yii et cache des requêtes GraphQL.</t>
  </si>
  <si>
    <t xml:space="preserve">Caches personnalisés $kirby-&gt;cache() avec expiration ; pilotes fichier, APCu, Memcached, Redis (5.0).</t>
  </si>
  <si>
    <t xml:space="preserve">Tag cache pour fragments, Blink cache et cache des réponses API.</t>
  </si>
  <si>
    <t xml:space="preserve">https://statamic.dev/advanced-topics/caching</t>
  </si>
  <si>
    <t xml:space="preserve">Tag Twig {% cache %} (4.1), cache Laravel, cache de templates et routes.</t>
  </si>
  <si>
    <t xml:space="preserve">https://docs.octobercms.com/4.x/markup/tag/cache.html</t>
  </si>
  <si>
    <t xml:space="preserve">Balise Twig {% cache %}, cache des index et rendus Flex, cache par module (2.2).</t>
  </si>
  <si>
    <t xml:space="preserve">https://github.com/getgrav/grav/releases</t>
  </si>
  <si>
    <t xml:space="preserve">Pas de cache de requêtes intégré ; unstable_cache Next.js ou adaptateur KV Redis.</t>
  </si>
  <si>
    <t xml:space="preserve">Caches ciblés : menus versionnés, réglages, sitemap 1 h, redirections ; pas de cache de fragments générique.</t>
  </si>
  <si>
    <t xml:space="preserve">https://github.com/tallcms/tallcms/tree/main/packages/tallcms/cms/src/Support/MenuCache.php</t>
  </si>
  <si>
    <t xml:space="preserve">Cache Laravel disponible, non utilisé par Sky.</t>
  </si>
  <si>
    <t xml:space="preserve">https://laravel.com/docs/cache</t>
  </si>
  <si>
    <t xml:space="preserve">WP Super Cache génère des fichiers HTML statiques servis sans PHP.</t>
  </si>
  <si>
    <t xml:space="preserve">Tome ou Boost pour du HTML pré-généré.</t>
  </si>
  <si>
    <t xml:space="preserve">Fichiers HTML statiques servis par le serveur web via Blitz.</t>
  </si>
  <si>
    <t xml:space="preserve">Plugin officiel Staticache : HTML servi directement par le serveur web sans PHP.</t>
  </si>
  <si>
    <t xml:space="preserve">https://github.com/getkirby/staticache</t>
  </si>
  <si>
    <t xml:space="preserve">Full measure écrit des .html servis par Nginx/Apache, warm via static:warm.</t>
  </si>
  <si>
    <t xml:space="preserve">Quicksilver génère des fichiers HTML servis par le serveur.</t>
  </si>
  <si>
    <t xml:space="preserve">Export HTML via le plugin Static Generator (OleVik).</t>
  </si>
  <si>
    <t xml:space="preserve">Via SSG/ISR de Next.js côté front.</t>
  </si>
  <si>
    <t xml:space="preserve">Pas de génération HTML statique.</t>
  </si>
  <si>
    <t xml:space="preserve">WP Super Cache purge les pages à l'édition ou au commentaire ; le cache objet natif s'invalide par clé.</t>
  </si>
  <si>
    <t xml:space="preserve">Cache tags invalidés automatiquement à la sauvegarde ; purge reverse proxy via Purge.</t>
  </si>
  <si>
    <t xml:space="preserve">https://www.drupal.org/docs/drupal-apis/cache-api/cache-tags</t>
  </si>
  <si>
    <t xml:space="preserve">Caches de templates et GraphQL invalidés par tags lors de la sauvegarde des éléments concernés.</t>
  </si>
  <si>
    <t xml:space="preserve">Cache de pages vidé entièrement à chaque modification dans le Panel ; pas d'invalidation ciblée.</t>
  </si>
  <si>
    <t xml:space="preserve">Règles d'invalidation par collection/global/nav, invalidators custom, re-cache en arrière-plan.</t>
  </si>
  <si>
    <t xml:space="preserve">Clés de cache basées sur timestamps et événement cms.asset.invalidate ; pas d'invalidation par tags de contenu.</t>
  </si>
  <si>
    <t xml:space="preserve">Détection des modifications par date de fichier/dossier ou hash (cache.check.method).</t>
  </si>
  <si>
    <t xml:space="preserve">revalidatePath/revalidateTag appelés dans les hooks afterChange (template website).</t>
  </si>
  <si>
    <t xml:space="preserve">Invalidation automatique des caches menus, réglages et redirections à la sauvegarde.</t>
  </si>
  <si>
    <t xml:space="preserve">loading=lazy et fetchpriority automatiques sur images et iframes.</t>
  </si>
  <si>
    <t xml:space="preserve">https://make.wordpress.org/core/2020/07/14/lazy-loading-images-in-5-5/</t>
  </si>
  <si>
    <t xml:space="preserve">Attribut loading=lazy configurable sur les formateurs d'image.</t>
  </si>
  <si>
    <t xml:space="preserve">Attribut loading ajoutable via getImg()/attributs Twig, rien d'automatique.</t>
  </si>
  <si>
    <t xml:space="preserve">Aucun automatisme ; attribut loading à ajouter dans les templates ou snippets d'image.</t>
  </si>
  <si>
    <t xml:space="preserve">Glide ne fournit que des URL ; loading=lazy à ajouter dans le markup.</t>
  </si>
  <si>
    <t xml:space="preserve">À faire dans le markup (loading=lazy).</t>
  </si>
  <si>
    <t xml:space="preserve">Attributs loading, decoding et fetchpriority avec valeurs par défaut globales.</t>
  </si>
  <si>
    <t xml:space="preserve">Assuré par next/image dans le front, pas par Payload.</t>
  </si>
  <si>
    <t xml:space="preserve">Composant responsive-image avec &lt;picture&gt;, source WebP et loading=lazy.</t>
  </si>
  <si>
    <t xml:space="preserve">https://github.com/tallcms/tallcms/tree/main/packages/tallcms/cms/resources/views/components/responsive-image.blade.php</t>
  </si>
  <si>
    <t xml:space="preserve">Non vérifié dans les vues du thème par défaut.</t>
  </si>
  <si>
    <t xml:space="preserve">Jetpack Image CDN gratuit et réécriture CDN de WP Super Cache.</t>
  </si>
  <si>
    <t xml:space="preserve">https://wordpress.org/plugins/jetpack-boost/</t>
  </si>
  <si>
    <t xml:space="preserve">Module CDN et Purge (Varnish, Cloudflare, Fastly).</t>
  </si>
  <si>
    <t xml:space="preserve">https://www.drupal.org/project/cdn</t>
  </si>
  <si>
    <t xml:space="preserve">URL de base des filesystems pointables vers un CDN ; CDN intégré seulement avec Craft Cloud.</t>
  </si>
  <si>
    <t xml:space="preserve">Via core component url/file::url personnalisable ou plugins (Imgix, Cloudinary).</t>
  </si>
  <si>
    <t xml:space="preserve">https://getkirby.com/docs/reference/plugins/extensions/core-components</t>
  </si>
  <si>
    <t xml:space="preserve">Cache Glide et assets sur disque distant/CDN ; pas d'intégration de purge CDN native.</t>
  </si>
  <si>
    <t xml:space="preserve">ASSET_URL et disques S3/CloudFront ; invalidation via événement.</t>
  </si>
  <si>
    <t xml:space="preserve">Payant : Cloudflare Manager (50 $) ; en-têtes de cache configurables nativement.</t>
  </si>
  <si>
    <t xml:space="preserve">https://toolradar.com/tools/grav/pricing</t>
  </si>
  <si>
    <t xml:space="preserve">Via les adaptateurs de stockage (S3/R2…) et leur CDN ; pas de config CDN dédiée.</t>
  </si>
  <si>
    <t xml:space="preserve">Via l'URL du disque Laravel (ex. CMS_MEDIA_URL) ; pas d'intégration CDN dédiée.</t>
  </si>
  <si>
    <t xml:space="preserve">Via disque S3/CDN Laravel pour les médias ; rien de spécifique.</t>
  </si>
  <si>
    <t xml:space="preserve">Préchargement des caches meta/termes (update_meta_cache, _prime_post_caches) et cache des requêtes WP_Query.</t>
  </si>
  <si>
    <t xml:space="preserve">https://developer.wordpress.org/reference/functions/_prime_post_caches/</t>
  </si>
  <si>
    <t xml:space="preserve">loadMultiple, cache statique d'entités ; requêtes réduites de moitié en 11.4.</t>
  </si>
  <si>
    <t xml:space="preserve">Eager loading via .with() et .eagerly(), requêtes d'éléments optimisées.</t>
  </si>
  <si>
    <t xml:space="preserve">https://craftcms.com/docs/5.x/development/eager-loading.html</t>
  </si>
  <si>
    <t xml:space="preserve">Pas d'ORM ; chargement paresseux des collections et cache UUID ; perfs dépendantes du nombre de fichiers.</t>
  </si>
  <si>
    <t xml:space="preserve">Stache indexé, warm parallèle, eager loading des relations avec l'Eloquent Driver.</t>
  </si>
  <si>
    <t xml:space="preserve">Eager loading Eloquent, load() sur entrées Tailor, withTranslations.</t>
  </si>
  <si>
    <t xml:space="preserve">Index de pages paresseux (auto au-delà de 1 000 pages) et index Flex sans tout charger.</t>
  </si>
  <si>
    <t xml:space="preserve">Contrôle de depth, select, populate, defaultPopulate et blockReferences.</t>
  </si>
  <si>
    <t xml:space="preserve">https://payloadcms.com/docs/queries/select</t>
  </si>
  <si>
    <t xml:space="preserve">Eager loading Eloquent (includes API, natif Laravel).</t>
  </si>
  <si>
    <t xml:space="preserve">Eager loading des tags, auteur et médias dans les listes front.</t>
  </si>
  <si>
    <t xml:space="preserve">WP-Cron déclenché par les visites, remplaçable par un vrai cron (DISABLE_WP_CRON).</t>
  </si>
  <si>
    <t xml:space="preserve">https://developer.wordpress.org/plugins/cron/</t>
  </si>
  <si>
    <t xml:space="preserve">hook_cron et Automated Cron ; cron système recommandé.</t>
  </si>
  <si>
    <t xml:space="preserve">https://www.drupal.org/docs/administering-a-drupal-site/cron-automated-tasks</t>
  </si>
  <si>
    <t xml:space="preserve">Pas de planificateur intégré ; commandes console lancées par le cron système.</t>
  </si>
  <si>
    <t xml:space="preserve">https://craftcms.com/docs/5.x/system/queue.html</t>
  </si>
  <si>
    <t xml:space="preserve">Pas de scheduler natif ; commandes CLI à lancer via cron système, plugin Janitor (bnomei).</t>
  </si>
  <si>
    <t xml:space="preserve">https://plugins.getkirby.com/bnomei/janitor</t>
  </si>
  <si>
    <t xml:space="preserve">Scheduler Laravel, tâche EntryScheduleReached chaque minute.</t>
  </si>
  <si>
    <t xml:space="preserve">Scheduler Laravel via cron schedule:run, tâches enregistrées par plugin.</t>
  </si>
  <si>
    <t xml:space="preserve">https://docs.octobercms.com/4.x/extend/system/scheduling.html</t>
  </si>
  <si>
    <t xml:space="preserve">Scheduler intégré (une entrée cron) : cache, sauvegardes, jobs personnalisés ; webhook pour hôtes sans cron.</t>
  </si>
  <si>
    <t xml:space="preserve">https://learn.getgrav.org/17/advanced/scheduler</t>
  </si>
  <si>
    <t xml:space="preserve">Jobs Queue avec schedules cron et commande jobs:run --cron.</t>
  </si>
  <si>
    <t xml:space="preserve">https://payloadcms.com/docs/jobs-queue/schedules</t>
  </si>
  <si>
    <t xml:space="preserve">Planificateur Laravel (nettoyage des jetons de preview, re-vérification de domaines).</t>
  </si>
  <si>
    <t xml:space="preserve">https://github.com/tallcms/tallcms/tree/main/packages/tallcms/cms/src/Console/Commands/CleanExpiredPreviewTokens.php</t>
  </si>
  <si>
    <t xml:space="preserve">Scheduler Laravel ; Sky n'y enregistre aucune tâche.</t>
  </si>
  <si>
    <t xml:space="preserve">https://laravel.com/docs/scheduling</t>
  </si>
  <si>
    <t xml:space="preserve">Action Scheduler (maintenu par WooCommerce/Automattic) ; pas de file native.</t>
  </si>
  <si>
    <t xml:space="preserve">https://actionscheduler.org/</t>
  </si>
  <si>
    <t xml:space="preserve">Queue API avec QueueWorker traités au cron ; Advanced Queue (tiers) pour un vrai worker.</t>
  </si>
  <si>
    <t xml:space="preserve">https://api.drupal.org/api/drupal/core!core.api.php/group/queue/11.x</t>
  </si>
  <si>
    <t xml:space="preserve">File d'attente Yii en base, exécutée par HTTP ou démon queue/listen, avec gestionnaire en admin.</t>
  </si>
  <si>
    <t xml:space="preserve">Aucune file d'attente native.</t>
  </si>
  <si>
    <t xml:space="preserve">Queues Laravel pour indexation, Git, static warm, génération Glide.</t>
  </si>
  <si>
    <t xml:space="preserve">Queues Laravel (database, Redis, SQS…), mails en file.</t>
  </si>
  <si>
    <t xml:space="preserve">https://docs.octobercms.com/4.x/extend/services/queue.html</t>
  </si>
  <si>
    <t xml:space="preserve">File de jobs du scheduler (fichiers signés) ; pas de système de queue général avec workers.</t>
  </si>
  <si>
    <t xml:space="preserve">Jobs Queue : tasks, workflows, queues, retries.</t>
  </si>
  <si>
    <t xml:space="preserve">https://payloadcms.com/docs/jobs-queue/overview</t>
  </si>
  <si>
    <t xml:space="preserve">Queues Laravel : optimisation média, webhooks, mises à jour (natif Laravel).</t>
  </si>
  <si>
    <t xml:space="preserve">https://github.com/tallcms/tallcms/tree/main/packages/tallcms/cms/src/Jobs</t>
  </si>
  <si>
    <t xml:space="preserve">Queues Laravel ; conversions medialibrary en file possibles.</t>
  </si>
  <si>
    <t xml:space="preserve">https://laravel.com/docs/queues</t>
  </si>
  <si>
    <t xml:space="preserve">Images traitées dans le navigateur depuis 7.1 ; imports lourds via WP-CLI ou Action Scheduler.</t>
  </si>
  <si>
    <t xml:space="preserve">Batch API pour traitements longs, Queue API ; dérivés d'image générés à la demande.</t>
  </si>
  <si>
    <t xml:space="preserve">https://www.drupal.org/docs/drupal-apis/batch-api</t>
  </si>
  <si>
    <t xml:space="preserve">Transformations, réindexation, resave, propagation et Find &amp; Replace exécutés en jobs.</t>
  </si>
  <si>
    <t xml:space="preserve">Vignettes générées de façon différée à la première requête ; pas de workers.</t>
  </si>
  <si>
    <t xml:space="preserve">Indexation par chunks en queue, static:warm --queue, Importer en jobs.</t>
  </si>
  <si>
    <t xml:space="preserve">Redimensionnement différé à la première requête ; imports synchrones par défaut.</t>
  </si>
  <si>
    <t xml:space="preserve">Jobs du scheduler et traitements de fond de plugins premium (AI Pro, YetiSearch) ; images redimensionnées à la demande.</t>
  </si>
  <si>
    <t xml:space="preserve">https://learn.getgrav.org/20/grav-premium/ai-pro</t>
  </si>
  <si>
    <t xml:space="preserve">Jobs Queue utilisée notamment par import-export et la publication programmée.</t>
  </si>
  <si>
    <t xml:space="preserve">OptimizeMediaJob génère les variantes WebP en file d'attente.</t>
  </si>
  <si>
    <t xml:space="preserve">Conversions d'images medialibrary en file ; import WordPress Rhea non asynchrone vérifié.</t>
  </si>
  <si>
    <t xml:space="preserve">Équipe sécurité, programme HackerOne, correctifs rétroportés et mises à jour mineures automatiques (ex. 7.1.3).</t>
  </si>
  <si>
    <t xml:space="preserve">https://wordpress.org/about/security/</t>
  </si>
  <si>
    <t xml:space="preserve">Équipe sécurité dédiée, advisories hebdomadaires planifiées, couverture des modules contrib stables.</t>
  </si>
  <si>
    <t xml:space="preserve">https://www.drupal.org/drupal-security-team</t>
  </si>
  <si>
    <t xml:space="preserve">Programme Hackrate, délais par sévérité, divulgation CVE 30 jours après correctif ; correctifs fréquents.</t>
  </si>
  <si>
    <t xml:space="preserve">https://github.com/craftcms/cms/security/policy</t>
  </si>
  <si>
    <t xml:space="preserve">Politique de divulgation (security@, GitHub CNA), avis publiés, support v5 jusqu'en 2028.</t>
  </si>
  <si>
    <t xml:space="preserve">https://getkirby.com/security</t>
  </si>
  <si>
    <t xml:space="preserve">Releases de sécurité fréquentes (6.35.1, 6.31), advisories GitHub, 18 mois de correctifs.</t>
  </si>
  <si>
    <t xml:space="preserve">https://statamic.dev/knowledge-base/release-schedule-support-policy</t>
  </si>
  <si>
    <t xml:space="preserve">Correctifs de sécurité fréquents (ex. 4.3.8, 4.4.5), avis GitHub Security.</t>
  </si>
  <si>
    <t xml:space="preserve">https://octobercms.com/changelog</t>
  </si>
  <si>
    <t xml:space="preserve">Avis GHSA/CVE sur GitHub et correctifs fréquents, y compris backports 1.7.53.x.</t>
  </si>
  <si>
    <t xml:space="preserve">Releases fréquentes, SECURITY.md et advisories GitHub.</t>
  </si>
  <si>
    <t xml:space="preserve">https://github.com/payloadcms/payload/security</t>
  </si>
  <si>
    <t xml:space="preserve">SECURITY.md avec signalement privé ; releases fréquentes.</t>
  </si>
  <si>
    <t xml:space="preserve">https://github.com/tallcms/tallcms/blob/main/SECURITY.md</t>
  </si>
  <si>
    <t xml:space="preserve">Divulgation par e-mail (info@larazeus.com) ; pas de calendrier ni d'avis de sécurité publiés.</t>
  </si>
  <si>
    <t xml:space="preserve">https://github.com/lara-zeus/sky/blob/main/README.md</t>
  </si>
  <si>
    <t xml:space="preserve">Nonces, fonctions d'échappement esc_*, KSES et API HTML pour l'assainissement.</t>
  </si>
  <si>
    <t xml:space="preserve">https://developer.wordpress.org/apis/security/</t>
  </si>
  <si>
    <t xml:space="preserve">Jetons CSRF Form API et routes, autoescape Twig, filtres de formats de texte.</t>
  </si>
  <si>
    <t xml:space="preserve">https://www.drupal.org/docs/administering-a-drupal-site/security-in-drupal</t>
  </si>
  <si>
    <t xml:space="preserve">Jetons CSRF Yii activés par défaut, échappement automatique Twig, bac à sable Twig optionnel.</t>
  </si>
  <si>
    <t xml:space="preserve">Jetons CSRF Panel et helper csrf(), échappement esc(), sanitization HTML/SVG (Dom::sanitize).</t>
  </si>
  <si>
    <t xml:space="preserve">Protections CSRF/échappement de Laravel, tokens CSRF exclus du cache statique.</t>
  </si>
  <si>
    <t xml:space="preserve">Jeton CSRF, échappement Twig, allowlists HTML dans rich editor (4.2).</t>
  </si>
  <si>
    <t xml:space="preserve">Nonces CSRF, bac à sable Twig, scan XSS du contenu à l'enregistrement, assainisseur DOM.</t>
  </si>
  <si>
    <t xml:space="preserve">Liste blanche csrf pour les cookies, CORS configurable, React échappe le rendu.</t>
  </si>
  <si>
    <t xml:space="preserve">https://payloadcms.com/docs/production/preventing-abuse</t>
  </si>
  <si>
    <t xml:space="preserve">CSRF Laravel et HTMLPurifier (HtmlSanitizerService) sur le contenu riche.</t>
  </si>
  <si>
    <t xml:space="preserve">https://github.com/tallcms/tallcms/tree/main/packages/tallcms/cms/src/Services/HtmlSanitizerService.php</t>
  </si>
  <si>
    <t xml:space="preserve">CSRF et échappement Blade natifs ; contenu rendu non échappé, filtré par simple suppression de &lt;script&gt;/eval.</t>
  </si>
  <si>
    <t xml:space="preserve">https://github.com/lara-zeus/sky/blob/main/src/Editors/RichEditor.php</t>
  </si>
  <si>
    <t xml:space="preserve">Protection brute force de Jetpack Protect (gratuit) ; rien dans le cœur.</t>
  </si>
  <si>
    <t xml:space="preserve">https://jetpack.com/support/protect/</t>
  </si>
  <si>
    <t xml:space="preserve">Flood control : blocage par IP et par utilisateur après échecs.</t>
  </si>
  <si>
    <t xml:space="preserve">maxInvalidLogins et invalidLoginWindowDuration verrouillent le compte ; rate limit des réinitialisations.</t>
  </si>
  <si>
    <t xml:space="preserve">auth.trials/timeout : blocage par IP et utilisateur après 10 échecs par heure par défaut.</t>
  </si>
  <si>
    <t xml:space="preserve">https://getkirby.com/docs/reference/system/options/auth</t>
  </si>
  <si>
    <t xml:space="preserve">Throttling Laravel des connexions et rate limit sur inscription/mot de passe protégé.</t>
  </si>
  <si>
    <t xml:space="preserve">Throttle des connexions backend (UserThrottle) avec blocage temporaire.</t>
  </si>
  <si>
    <t xml:space="preserve">https://github.com/octobercms/october/blob/develop/modules/backend/models/UserThrottle.php</t>
  </si>
  <si>
    <t xml:space="preserve">Plugin Login : blocage par compte et IP (max_login_count) ; limite de débit dans l'API.</t>
  </si>
  <si>
    <t xml:space="preserve">maxLoginAttempts et lockTime sur les collections auth.</t>
  </si>
  <si>
    <t xml:space="preserve">Throttling du login Filament et verrouillage API (5 tentatives, 15 min).</t>
  </si>
  <si>
    <t xml:space="preserve">Limitation de débit native de la connexion Filament.</t>
  </si>
  <si>
    <t xml:space="preserve">https://filamentphp.com/docs/5.x/users/overview</t>
  </si>
  <si>
    <t xml:space="preserve">Jetpack Activity Log (20 événements en gratuit, historique en payant) ; WP Activity Log en tiers.</t>
  </si>
  <si>
    <t xml:space="preserve">https://jetpack.com/support/activity-log/</t>
  </si>
  <si>
    <t xml:space="preserve">Database Logging trace connexions et quelques opérations ; journal complet via Admin Audit Trail.</t>
  </si>
  <si>
    <t xml:space="preserve">https://www.drupal.org/project/admin_audit_trail</t>
  </si>
  <si>
    <t xml:space="preserve">Aucun journal natif ; plugins Auditor (webdna) ou Activity Log.</t>
  </si>
  <si>
    <t xml:space="preserve">https://packagist.org/packages/webdna/auditor</t>
  </si>
  <si>
    <t xml:space="preserve">Rien de natif ; plugins Logger (michnhokn) ou Tracker (hananils).</t>
  </si>
  <si>
    <t xml:space="preserve">https://getkirby.com/plugins/michnhokn/logger</t>
  </si>
  <si>
    <t xml:space="preserve">Absent du cœur (proposé en Enterprise) ; addons Logbook, Activity Logger, Overseer.</t>
  </si>
  <si>
    <t xml:space="preserve">https://statamic.com/addons/emran-alhaddad/statamic-logbook</t>
  </si>
  <si>
    <t xml:space="preserve">Access logs des connexions admin et event log ; pas de journal d'actions complet.</t>
  </si>
  <si>
    <t xml:space="preserve">https://github.com/octobercms/october/blob/develop/modules/backend/models/AccessLog.php</t>
  </si>
  <si>
    <t xml:space="preserve">Journal d'audit des clés API et journal de sécurité Twig ; pas de journal complet des actions.</t>
  </si>
  <si>
    <t xml:space="preserve">https://github.com/getgrav/grav-plugin-api/blob/develop/CHANGELOG.md</t>
  </si>
  <si>
    <t xml:space="preserve">Versions avec auteur en natif ; audit log annoncé côté Enterprise, plugins tiers (payload-auditor).</t>
  </si>
  <si>
    <t xml:space="preserve">Non fourni ; la doc recommande le plugin Filament Spatie Activity Log.</t>
  </si>
  <si>
    <t xml:space="preserve">Aucun journal ; via spatie/laravel-activitylog et plugins Filament associés.</t>
  </si>
  <si>
    <t xml:space="preserve">https://spatie.be/docs/laravel-activitylog</t>
  </si>
  <si>
    <t xml:space="preserve">Indicateur de robustesse (zxcvbn) sans règle imposée ; politiques via extensions de sécurité.</t>
  </si>
  <si>
    <t xml:space="preserve">https://wordpress.org/documentation/article/password-best-practices/</t>
  </si>
  <si>
    <t xml:space="preserve">Password Policy ; le cœur offre hachage bcrypt/argon2id (11.4).</t>
  </si>
  <si>
    <t xml:space="preserve">https://www.drupal.org/project/password_policy</t>
  </si>
  <si>
    <t xml:space="preserve">Longueur minimale imposée et sessions élevées ; règles de complexité ou d'expiration via plugins.</t>
  </si>
  <si>
    <t xml:space="preserve">Longueur minimale imposée ; option de politique de mot de passe ajoutée dans Kirby 6.</t>
  </si>
  <si>
    <t xml:space="preserve">Règle Password de Laravel personnalisable (longueur, complexité, compromis).</t>
  </si>
  <si>
    <t xml:space="preserve">password_policy : longueur, majuscules, chiffres, caractères spéciaux, expiration.</t>
  </si>
  <si>
    <t xml:space="preserve">https://github.com/octobercms/october/blob/develop/config/backend.php</t>
  </si>
  <si>
    <t xml:space="preserve">Règles pwd_regex/pwd_rules et indicateur de robustesse dans Admin2.</t>
  </si>
  <si>
    <t xml:space="preserve">Aucune politique configurable ; validation personnalisée à coder.</t>
  </si>
  <si>
    <t xml:space="preserve">Règle Password::default() de Laravel, configurable en code uniquement.</t>
  </si>
  <si>
    <t xml:space="preserve">https://github.com/tallcms/tallcms/tree/main/packages/tallcms/cms/src/Filament/Resources/Users/Schemas/UserForm.php</t>
  </si>
  <si>
    <t xml:space="preserve">Règles Password de Laravel applicables au panneau Filament.</t>
  </si>
  <si>
    <t xml:space="preserve">https://laravel.com/docs/validation#validating-passwords</t>
  </si>
  <si>
    <t xml:space="preserve">X-Frame-Options sur login/admin seulement ; aucune CSP native.</t>
  </si>
  <si>
    <t xml:space="preserve">https://developer.wordpress.org/reference/functions/send_frame_options_header/</t>
  </si>
  <si>
    <t xml:space="preserve">X-Frame-Options et X-Content-Type-Options natifs ; CSP via Content-Security-Policy ou Security Kit.</t>
  </si>
  <si>
    <t xml:space="preserve">https://www.drupal.org/project/seckit</t>
  </si>
  <si>
    <t xml:space="preserve">Tag {% header %}, filtre Sec-Fetch-Site (5.10), en-tête X-Powered-By désactivable ; pas de gestion CSP native.</t>
  </si>
  <si>
    <t xml:space="preserve">Panel avec frameAncestors et X-Robots-Tag ; CSP du front à configurer côté serveur/routes.</t>
  </si>
  <si>
    <t xml:space="preserve">Non géré par Statamic ; middleware Laravel ou package tiers (spatie/laravel-csp).</t>
  </si>
  <si>
    <t xml:space="preserve">Pas de CSP ni headers dédiés ; à configurer côté serveur ou middleware.</t>
  </si>
  <si>
    <t xml:space="preserve">Configs serveur fournies bloquant les dossiers sensibles ; pas de gestionnaire CSP intégré.</t>
  </si>
  <si>
    <t xml:space="preserve">À configurer dans Next.js (headers) ; rien de dédié dans Payload.</t>
  </si>
  <si>
    <t xml:space="preserve">Aucun header de sécurité ni CSP fourni.</t>
  </si>
  <si>
    <t xml:space="preserve">Aucun en-tête de sécurité fourni.</t>
  </si>
  <si>
    <t xml:space="preserve">Contrôle extension/MIME (wp_check_filetype_and_ext), liste de types autorisés, SVG bloqués par défaut.</t>
  </si>
  <si>
    <t xml:space="preserve">https://developer.wordpress.org/reference/functions/wp_check_filetype_and_ext/</t>
  </si>
  <si>
    <t xml:space="preserve">Liste blanche d'extensions, renommage des fichiers dangereux, validations de taille et dimensions.</t>
  </si>
  <si>
    <t xml:space="preserve">Assainissement SVG (sanitizeSvgUploads), liste blanche d'extensions, nettoyage des métadonnées d'images.</t>
  </si>
  <si>
    <t xml:space="preserve">Validation SVG/XML à l'upload, blocage PHP/HTML, règles accept par blueprint de fichier.</t>
  </si>
  <si>
    <t xml:space="preserve">SVG nettoyés à l'upload, extensions autorisées et validation par conteneur.</t>
  </si>
  <si>
    <t xml:space="preserve">Contrôle extensions/MIME et nettoyage des SVG à l'upload.</t>
  </si>
  <si>
    <t xml:space="preserve">Extensions dangereuses refusées, caractères HTML interdits dans les noms, SVG assainis.</t>
  </si>
  <si>
    <t xml:space="preserve">Vérification des types de fichiers restreints, mimeTypes et filtrage pasteURL par allowList.</t>
  </si>
  <si>
    <t xml:space="preserve">https://payloadcms.com/docs/upload/overview#restricted-file-types</t>
  </si>
  <si>
    <t xml:space="preserve">Validation des types MIME et taille ; restrictions de fichiers sur les ZIP de plugins.</t>
  </si>
  <si>
    <t xml:space="preserve">Validation de fichiers Laravel/Filament ; aucune restriction de type configurée par Sky.</t>
  </si>
  <si>
    <t xml:space="preserve">WP-CLI, projet officiel WordPress, très complet.</t>
  </si>
  <si>
    <t xml:space="preserve">https://wp-cli.org/</t>
  </si>
  <si>
    <t xml:space="preserve">core/scripts/drupal et CLI expérimentale ./vendor/bin/dr (11.4) ; Drush reste l'outil standard (tiers).</t>
  </si>
  <si>
    <t xml:space="preserve">Commande php craft : project-config, resave, migrate, fields/merge, db/backup, queue, users, etc.</t>
  </si>
  <si>
    <t xml:space="preserve">https://craftcms.com/docs/5.x/reference/cli.html</t>
  </si>
  <si>
    <t xml:space="preserve">Kirby CLI officielle (Composer global) : install, make:*, clear, backup, uuid, upgrade.</t>
  </si>
  <si>
    <t xml:space="preserve">https://github.com/getkirby/cli</t>
  </si>
  <si>
    <t xml:space="preserve">php please (make:*, stache, static, search, starter-kit…) et Statamic CLI d'installation.</t>
  </si>
  <si>
    <t xml:space="preserve">https://statamic.dev/advanced-topics/cli</t>
  </si>
  <si>
    <t xml:space="preserve">Artisan avec commandes october:, plugin:, theme:, tailor:.</t>
  </si>
  <si>
    <t xml:space="preserve">bin/grav (cache, scheduler, serveur), bin/gpm (paquets, self-upgrade), bin/plugin.</t>
  </si>
  <si>
    <t xml:space="preserve">CLI payload (migrate, generate:types, generate:importmap, jobs:run) et create-payload-app.</t>
  </si>
  <si>
    <t xml:space="preserve">Commandes artisan tallcms:*, theme:*, plugin:*, make:tallcms-block, tallcms:diagnose.</t>
  </si>
  <si>
    <t xml:space="preserve">https://github.com/tallcms/tallcms/blob/main/docs/dev-cli-commands.md</t>
  </si>
  <si>
    <t xml:space="preserve">Commandes Artisan sky:install, sky:publish, sky:migrate, make:zeus-editor.</t>
  </si>
  <si>
    <t xml:space="preserve">wp scaffold (plugins, CPT, tests) et @wordpress/create-block.</t>
  </si>
  <si>
    <t xml:space="preserve">https://developer.wordpress.org/block-editor/reference-guides/packages/packages-create-block/</t>
  </si>
  <si>
    <t xml:space="preserve">drush generate (modules, plugins, entités) ; script generate-theme natif pour les thèmes.</t>
  </si>
  <si>
    <t xml:space="preserve">https://www.drush.org/latest/generators/all/</t>
  </si>
  <si>
    <t xml:space="preserve">Générateur Pixel &amp; Tonic (craftcms/generator) : php craft make pour plugins, modules et composants.</t>
  </si>
  <si>
    <t xml:space="preserve">https://craftcms.com/docs/5.x/extend/generator.html</t>
  </si>
  <si>
    <t xml:space="preserve">Commandes make: blueprint, controller, model, plugin, snippet, template, user… de la CLI.</t>
  </si>
  <si>
    <t xml:space="preserve">make:addon, fieldtype, tag, modifier, widget, action, scope, filter, dictionary.</t>
  </si>
  <si>
    <t xml:space="preserve">create:plugin, model, controller, component, formwidget, contentfield, theme, vuecomponent… ; RainLab.Builder visuel.</t>
  </si>
  <si>
    <t xml:space="preserve">Plugin DevTools (gratuit) : génération de plugins, thèmes et blueprints.</t>
  </si>
  <si>
    <t xml:space="preserve">https://github.com/getgrav/grav-plugin-devtools</t>
  </si>
  <si>
    <t xml:space="preserve">create-payload-app et génération de types/import map ; pas de générateur de collections.</t>
  </si>
  <si>
    <t xml:space="preserve">https://payloadcms.com/docs/getting-started/installation</t>
  </si>
  <si>
    <t xml:space="preserve">make:tallcms-block, make:theme, make:plugin (routes, Filament, migrations).</t>
  </si>
  <si>
    <t xml:space="preserve">Générateur make:zeus-editor et générateurs Filament (make:filament-resource).</t>
  </si>
  <si>
    <t xml:space="preserve">https://github.com/lara-zeus/sky/blob/main/src/Console/ZeusEditorCommand.php</t>
  </si>
  <si>
    <t xml:space="preserve">dbDelta() et routines de mise à niveau ; pas de système de migrations versionnées.</t>
  </si>
  <si>
    <t xml:space="preserve">https://developer.wordpress.org/reference/functions/dbdelta/</t>
  </si>
  <si>
    <t xml:space="preserve">hook_update_N, hook_post_update et Schema API, exécutés via update.php ou drush updb.</t>
  </si>
  <si>
    <t xml:space="preserve">https://www.drupal.org/docs/drupal-apis/update-api</t>
  </si>
  <si>
    <t xml:space="preserve">Migrations de contenu, de plugins et du cœur, appliquées par craft up.</t>
  </si>
  <si>
    <t xml:space="preserve">Pas de base, donc pas de migrations ; commandes CLI custom pour transformer le contenu.</t>
  </si>
  <si>
    <t xml:space="preserve">Migrations Laravel ; make:user-migration et migrations de l'Eloquent Driver.</t>
  </si>
  <si>
    <t xml:space="preserve">Migrations par plugin (version.yaml) et tailor:migrate pour blueprints.</t>
  </si>
  <si>
    <t xml:space="preserve">https://docs.octobercms.com/4.x/extend/database/structure.html</t>
  </si>
  <si>
    <t xml:space="preserve">Sans objet : pas de base de données dans le cœur.</t>
  </si>
  <si>
    <t xml:space="preserve">Migrations générées pour Postgres/SQLite, et commandes migrate:*.</t>
  </si>
  <si>
    <t xml:space="preserve">Migrations Laravel plus plugin:migrate avec rollback par plugin.</t>
  </si>
  <si>
    <t xml:space="preserve">Migrations publiées par sky:install.</t>
  </si>
  <si>
    <t xml:space="preserve">wp post generate (WP-CLI) et données de test du thème unit test ; pas de seeders structurés.</t>
  </si>
  <si>
    <t xml:space="preserve">https://developer.wordpress.org/cli/commands/post/generate/</t>
  </si>
  <si>
    <t xml:space="preserve">Contenu par défaut des recettes et export CLI ; génération de données via Devel Generate.</t>
  </si>
  <si>
    <t xml:space="preserve">https://www.drupal.org/project/devel</t>
  </si>
  <si>
    <t xml:space="preserve">Fixtures Yii pour les tests Codeception ; pas de seeders de contenu natifs.</t>
  </si>
  <si>
    <t xml:space="preserve">https://craftcms.com/docs/4.x/testing/</t>
  </si>
  <si>
    <t xml:space="preserve">Aucun outil de seed ; création de pages par script/CLI.</t>
  </si>
  <si>
    <t xml:space="preserve">Seeders Laravel utilisables avec les facades Entry/Term ; pas de fixtures dédiées.</t>
  </si>
  <si>
    <t xml:space="preserve">create:seeder, create:factory, plugin:seed et seeding de thèmes.</t>
  </si>
  <si>
    <t xml:space="preserve">Pas de seeders ; données d'exemple Flex à copier à la main.</t>
  </si>
  <si>
    <t xml:space="preserve">Pas de système de seed dédié ; endpoint seed fourni dans le template website.</t>
  </si>
  <si>
    <t xml:space="preserve">Seeders Laravel, shield:seeder et commandes de templates de démo.</t>
  </si>
  <si>
    <t xml:space="preserve">SkySeeder et factories Post et Library fournis.</t>
  </si>
  <si>
    <t xml:space="preserve">https://github.com/lara-zeus/sky/blob/main/database/seeders/SkySeeder.php</t>
  </si>
  <si>
    <t xml:space="preserve">Framework PHPUnit de WordPress (WP_UnitTestCase), wp-env et utilitaires e2e Playwright.</t>
  </si>
  <si>
    <t xml:space="preserve">https://developer.wordpress.org/block-editor/reference-guides/packages/packages-env/</t>
  </si>
  <si>
    <t xml:space="preserve">PHPUnit 11 : tests unitaires, kernel, fonctionnels et JavaScript ; Nightwatch.</t>
  </si>
  <si>
    <t xml:space="preserve">https://www.drupal.org/docs/develop/automated-testing</t>
  </si>
  <si>
    <t xml:space="preserve">Module Codeception craft\test fourni par le cœur ; Pest via plugin tiers.</t>
  </si>
  <si>
    <t xml:space="preserve">https://docs.craftcms.com/api/v5/craft-test-craft.html</t>
  </si>
  <si>
    <t xml:space="preserve">Pas de helpers de test pour projets (le cœur est testé avec PHPUnit en interne).</t>
  </si>
  <si>
    <t xml:space="preserve">Helpers de test pour addons (AddonTestCase) et tests Laravel.</t>
  </si>
  <si>
    <t xml:space="preserve">https://statamic.dev/addons/testing</t>
  </si>
  <si>
    <t xml:space="preserve">PluginTestCase, plugin:test, tests parallèles et transactions.</t>
  </si>
  <si>
    <t xml:space="preserve">https://docs.octobercms.com/4.x/extend/system/unit-testing.html</t>
  </si>
  <si>
    <t xml:space="preserve">Tests du cœur (Codeception/PHPUnit), mais pas de helpers documentés pour les sites.</t>
  </si>
  <si>
    <t xml:space="preserve">https://github.com/getgrav/grav</t>
  </si>
  <si>
    <t xml:space="preserve">Templates livrés avec Vitest et Playwright ; pas de helpers de tests Payload.</t>
  </si>
  <si>
    <t xml:space="preserve">Suite PHPUnit/Testbench du projet ; pas de helpers de tests publics pour les extensions.</t>
  </si>
  <si>
    <t xml:space="preserve">https://github.com/tallcms/tallcms/tree/main/packages/tallcms/cms/tests</t>
  </si>
  <si>
    <t xml:space="preserve">Pest, Larastan configurés dans le paquet, mais aucun test réel ni helper exposé.</t>
  </si>
  <si>
    <t xml:space="preserve">https://github.com/lara-zeus/sky/blob/main/tests/TestCase.php</t>
  </si>
  <si>
    <t xml:space="preserve">WP_DEBUG, SAVEQUERIES et Site Health natifs ; Query Monitor (tiers) pour le profilage.</t>
  </si>
  <si>
    <t xml:space="preserve">https://developer.wordpress.org/advanced-administration/debug/debug-wordpress/</t>
  </si>
  <si>
    <t xml:space="preserve">Devel et WebProfiler ; débogage Twig activable nativement.</t>
  </si>
  <si>
    <t xml:space="preserve">https://www.drupal.org/project/webprofiler</t>
  </si>
  <si>
    <t xml:space="preserve">Barre de debug Yii2 activable par utilisateur, logs et profiling en Dev Mode.</t>
  </si>
  <si>
    <t xml:space="preserve">Mode debug avec Whoops et erreurs Panel détaillées ; debug bar via plugin tiers (treast).</t>
  </si>
  <si>
    <t xml:space="preserve">https://plugins.getkirby.com/topics/analytics</t>
  </si>
  <si>
    <t xml:space="preserve">Intégration Laravel Debugbar (onglets Statamic), dump modifier, requêtes simulées pour Ray.</t>
  </si>
  <si>
    <t xml:space="preserve">https://statamic.dev/advanced-topics/debugging</t>
  </si>
  <si>
    <t xml:space="preserve">Paquet october/debugbar (4.3) avec collecteurs Backend, CMS, Components.</t>
  </si>
  <si>
    <t xml:space="preserve">https://docs.octobercms.com/4.x/resources/debugbar.html</t>
  </si>
  <si>
    <t xml:space="preserve">PHP DebugBar et Clockwork intégrés, panneau debug API dans Admin2.</t>
  </si>
  <si>
    <t xml:space="preserve">Pas de debug bar ; logger Pino et plugin Sentry.</t>
  </si>
  <si>
    <t xml:space="preserve">https://payloadcms.com/docs/plugins/sentry</t>
  </si>
  <si>
    <t xml:space="preserve">Rien de fourni ; Debugbar/Telescope Laravel possibles.</t>
  </si>
  <si>
    <t xml:space="preserve">Laravel Debugbar, Telescope ou Pulse côté Laravel.</t>
  </si>
  <si>
    <t xml:space="preserve">https://laravel.com/docs/telescope</t>
  </si>
  <si>
    <t xml:space="preserve">PHPDoc complet et types TypeScript des paquets JS ; stubs PHP via php-stubs/wordpress-stubs (tiers).</t>
  </si>
  <si>
    <t xml:space="preserve">PHP typé et attributs, bundle classes ; PHPStan via mglaman/phpstan-drupal (tiers).</t>
  </si>
  <si>
    <t xml:space="preserve">https://github.com/mglaman/phpstan-drupal</t>
  </si>
  <si>
    <t xml:space="preserve">PHP typé et configs PHPStan/Rector officielles ; autocomplétion Twig via plugin tiers (nystudio107).</t>
  </si>
  <si>
    <t xml:space="preserve">https://github.com/craftcms/phpstan</t>
  </si>
  <si>
    <t xml:space="preserve">Code typé, meilleur support IDE des collections (5.0) ; cœur réécrit en TypeScript pour le Panel (6).</t>
  </si>
  <si>
    <t xml:space="preserve">Code PHP typé et facades ; support Antlers via extension VS Code tierce (Antlers Toolbox).</t>
  </si>
  <si>
    <t xml:space="preserve">Annotations PHPDoc ; pas de stubs dédiés à Tailor.</t>
  </si>
  <si>
    <t xml:space="preserve">Code PHP 8.3 typé ; pas d'autocomplétion des blueprints ou du Twig.</t>
  </si>
  <si>
    <t xml:space="preserve">Types TS générés (payload-types.ts) et plugin TypeScript pour l'IDE.</t>
  </si>
  <si>
    <t xml:space="preserve">https://payloadcms.com/docs/typescript/generating-types</t>
  </si>
  <si>
    <t xml:space="preserve">Code PHP 8.2 typé et contexte context7.json ; pas de stubs IDE dédiés.</t>
  </si>
  <si>
    <t xml:space="preserve">Annotations PHPDoc sur les modèles et analyse PHPStan/Larastan.</t>
  </si>
  <si>
    <t xml:space="preserve">developer.wordpress.org : handbooks thèmes, plugins, éditeur, REST, référence de code.</t>
  </si>
  <si>
    <t xml:space="preserve">https://developer.wordpress.org</t>
  </si>
  <si>
    <t xml:space="preserve">api.drupal.org, guides drupal.org et change records pour chaque API.</t>
  </si>
  <si>
    <t xml:space="preserve">https://api.drupal.org</t>
  </si>
  <si>
    <t xml:space="preserve">Documentation officielle détaillée, référence de classes API et base de connaissances.</t>
  </si>
  <si>
    <t xml:space="preserve">https://craftcms.com/docs/5.x/</t>
  </si>
  <si>
    <t xml:space="preserve">Guide, référence complète, cookbook et screencasts sur getkirby.com/docs.</t>
  </si>
  <si>
    <t xml:space="preserve">https://getkirby.com/docs/</t>
  </si>
  <si>
    <t xml:space="preserve">Documentation statamic.dev exhaustive, version optimisée IA et guidelines Laravel Boost.</t>
  </si>
  <si>
    <t xml:space="preserve">https://statamic.dev/</t>
  </si>
  <si>
    <t xml:space="preserve">Docs 4.x détaillées : guides CMS, markup, extension, API handbook.</t>
  </si>
  <si>
    <t xml:space="preserve">https://docs.octobercms.com/4.x/</t>
  </si>
  <si>
    <t xml:space="preserve">learn.getgrav.org versionné (1.7, 2.0) : thèmes, plugins, API REST, CLI, cookbook.</t>
  </si>
  <si>
    <t xml:space="preserve">Documentation officielle détaillée couvrant config, API, hooks, plugins.</t>
  </si>
  <si>
    <t xml:space="preserve">https://payloadcms.com/docs/</t>
  </si>
  <si>
    <t xml:space="preserve">Une soixantaine de pages Markdown dans docs/ ; quelques exemples manquants et docs parfois datées.</t>
  </si>
  <si>
    <t xml:space="preserve">https://github.com/tallcms/tallcms/blob/main/docs/README.md</t>
  </si>
  <si>
    <t xml:space="preserve">Doc courte (une dizaine de pages) sans référence d'API.</t>
  </si>
  <si>
    <t xml:space="preserve">Installation « en 5 minutes » via navigateur.</t>
  </si>
  <si>
    <t xml:space="preserve">Installeur web (install.php) et Drupal CMS Launcher pour démarrer en local.</t>
  </si>
  <si>
    <t xml:space="preserve">https://project.pages.drupalcode.org/drupal_cms/get-started/install/</t>
  </si>
  <si>
    <t xml:space="preserve">Assistant d'installation web après composer create-project ; pas d'archive zip à téléverser.</t>
  </si>
  <si>
    <t xml:space="preserve">https://craftcms.com/docs/5.x/install.html</t>
  </si>
  <si>
    <t xml:space="preserve">Création du premier compte admin via /panel (panel.install requis à distance).</t>
  </si>
  <si>
    <t xml:space="preserve">Installation uniquement en CLI (Statamic CLI, Composer, Herd, Forge/Ploi).</t>
  </si>
  <si>
    <t xml:space="preserve">https://statamic.dev/getting-started/installing</t>
  </si>
  <si>
    <t xml:space="preserve">Wizard Installer sans Composer.</t>
  </si>
  <si>
    <t xml:space="preserve">Pas d'installeur : décompresser l'archive ; Admin2 propose un assistant de création du premier admin.</t>
  </si>
  <si>
    <t xml:space="preserve">Installation par CLI uniquement ; premier utilisateur créé dans l'admin.</t>
  </si>
  <si>
    <t xml:space="preserve">Installeur /install pour le mode standalone.</t>
  </si>
  <si>
    <t xml:space="preserve">Installation en ligne de commande uniquement.</t>
  </si>
  <si>
    <t xml:space="preserve">wp core download/install via WP-CLI ; Composer via johnpbloch/wordpress ou Bedrock (tiers).</t>
  </si>
  <si>
    <t xml:space="preserve">https://developer.wordpress.org/cli/commands/core/</t>
  </si>
  <si>
    <t xml:space="preserve">composer create-project drupal/recommended-project ou drupal/cms ; installation par recette.</t>
  </si>
  <si>
    <t xml:space="preserve">https://www.drupal.org/docs/getting-started/installing-drupal</t>
  </si>
  <si>
    <t xml:space="preserve">composer create-project craftcms/craft puis craft setup ; DDEV recommandé.</t>
  </si>
  <si>
    <t xml:space="preserve">composer create-project getkirby/starterkit ou kirby install:kit.</t>
  </si>
  <si>
    <t xml:space="preserve">statamic new, composer create-project ou ajout à une app Laravel existante.</t>
  </si>
  <si>
    <t xml:space="preserve">composer create-project october/october puis october:install.</t>
  </si>
  <si>
    <t xml:space="preserve">composer create-project getgrav/grav ou bin/gpm install pour les paquets.</t>
  </si>
  <si>
    <t xml:space="preserve">npx create-payload-app ou ajout à un projet Next.js existant (npm/pnpm).</t>
  </si>
  <si>
    <t xml:space="preserve">composer create-project tallcms/tallcms ou composer require tallcms/cms + tallcms:install.</t>
  </si>
  <si>
    <t xml:space="preserve">composer require lara-zeus/sky puis php artisan sky:install.</t>
  </si>
  <si>
    <t xml:space="preserve">Mises à jour cœur, plugins, thèmes et traductions depuis Tableau de bord &gt; Mises à jour, avec rollback auto des plugins (6.6).</t>
  </si>
  <si>
    <t xml:space="preserve">https://wordpress.org/documentation/article/updating-wordpress/</t>
  </si>
  <si>
    <t xml:space="preserve">Automatic Updates (initiative core, inclus dans Drupal CMS) : mises à jour patch du cœur depuis l'admin via Package Manager.</t>
  </si>
  <si>
    <t xml:space="preserve">https://www.drupal.org/project/automatic_updates</t>
  </si>
  <si>
    <t xml:space="preserve">Utilitaire Updates pour cœur et plugins (désactivable via allowUpdates).</t>
  </si>
  <si>
    <t xml:space="preserve">Pas de mise à jour depuis le Panel (seulement alertes de version/sécurité) ; Composer ou remplacement du dossier kirby.</t>
  </si>
  <si>
    <t xml:space="preserve">https://getkirby.com/docs/reference/system/options/updates</t>
  </si>
  <si>
    <t xml:space="preserve">Le CP signale les mises à jour mais l'application se fait via Composer.</t>
  </si>
  <si>
    <t xml:space="preserve">https://statamic.dev/getting-started/updating</t>
  </si>
  <si>
    <t xml:space="preserve">Bouton Check for Updates (licence de mise à jour requise).</t>
  </si>
  <si>
    <t xml:space="preserve">https://docs.octobercms.com/4.x/resources/updating-october.html</t>
  </si>
  <si>
    <t xml:space="preserve">Mise à jour du cœur, des plugins et thèmes depuis plugin Admin2 (gratuit, livré dans le paquet grav-admin).</t>
  </si>
  <si>
    <t xml:space="preserve">Mises à jour via le gestionnaire de paquets npm.</t>
  </si>
  <si>
    <t xml:space="preserve">Admin &gt; System &gt; Updates : bundle signé Ed25519, sauvegardes fichiers + base, migrations.</t>
  </si>
  <si>
    <t xml:space="preserve">Mises à jour via Composer.</t>
  </si>
  <si>
    <t xml:space="preserve">Versions mineures automatiques, activable par plugin/thème et pour les majeures.</t>
  </si>
  <si>
    <t xml:space="preserve">https://wordpress.org/documentation/article/plugins-themes-auto-updates/</t>
  </si>
  <si>
    <t xml:space="preserve">Automatic Updates n'effectue pas encore de mises à jour totalement automatiques au cron ; extensions expérimentales.</t>
  </si>
  <si>
    <t xml:space="preserve">Aucune mise à jour automatique.</t>
  </si>
  <si>
    <t xml:space="preserve">Aucune mise à jour automatique ; Composer manuel.</t>
  </si>
  <si>
    <t xml:space="preserve">Pas de mise à jour automatique.</t>
  </si>
  <si>
    <t xml:space="preserve">Pas de mise à jour automatique ; déclenchement manuel (admin ou bin/gpm).</t>
  </si>
  <si>
    <t xml:space="preserve">Mises à jour déclenchées manuellement (UI ou CLI), pas d'auto-update.</t>
  </si>
  <si>
    <t xml:space="preserve">Fichier .maintenance automatique pendant les mises à jour ; pas de bascule manuelle dans l'admin.</t>
  </si>
  <si>
    <t xml:space="preserve">https://developer.wordpress.org/reference/functions/wp_maintenance/</t>
  </si>
  <si>
    <t xml:space="preserve">Mode maintenance avec message configurable (UI et drush state).</t>
  </si>
  <si>
    <t xml:space="preserve">https://www.drupal.org/docs/user_guide/en/extend-maintenance.html</t>
  </si>
  <si>
    <t xml:space="preserve">Statut système hors ligne (isSystemLive) avec template offline.twig.</t>
  </si>
  <si>
    <t xml:space="preserve">Plugin Maintenance Mode (Moritz Ebeling).</t>
  </si>
  <si>
    <t xml:space="preserve">Mode maintenance Laravel (php artisan down).</t>
  </si>
  <si>
    <t xml:space="preserve">Réglage Maintenance Mode avec page dédiée, multisite possible.</t>
  </si>
  <si>
    <t xml:space="preserve">Plugin Maintenance (gratuit) ; mode maintenance automatique pendant le self-upgrade.</t>
  </si>
  <si>
    <t xml:space="preserve">https://github.com/getgrav/grav-plugin-maintenance</t>
  </si>
  <si>
    <t xml:space="preserve">Pas de mode maintenance intégré.</t>
  </si>
  <si>
    <t xml:space="preserve">Mode maintenance par site avec message personnalisé, admin accessible.</t>
  </si>
  <si>
    <t xml:space="preserve">php artisan down de Laravel.</t>
  </si>
  <si>
    <t xml:space="preserve">https://laravel.com/docs/configuration#maintenance-mode</t>
  </si>
  <si>
    <t xml:space="preserve">Conçu pour PHP 7.4+ et MySQL sur mutualisé standard.</t>
  </si>
  <si>
    <t xml:space="preserve">https://wordpress.org/about/requirements/</t>
  </si>
  <si>
    <t xml:space="preserve">Possible mais exige Composer, PHP 8.3+ et accès CLI pour un usage confortable.</t>
  </si>
  <si>
    <t xml:space="preserve">https://project.pages.drupalcode.org/drupal_cms/customize/hosting/</t>
  </si>
  <si>
    <t xml:space="preserve">Possible (PHP 8.2+, MySQL, file via HTTP) mais Composer et accès SSH fortement recommandés.</t>
  </si>
  <si>
    <t xml:space="preserve">PHP 8.2+ sans base de données, fonctionne sur Apache standard ; idéal en mutualisé.</t>
  </si>
  <si>
    <t xml:space="preserve">https://getkirby.com/docs/guide/migration</t>
  </si>
  <si>
    <t xml:space="preserve">Possible si PHP 8.3+ et Composer/SSH ; recommande VPS Forge/Ploi, certains hébergeurs incompatibles.</t>
  </si>
  <si>
    <t xml:space="preserve">https://statamic.dev/knowledge-base/recommended-hosts</t>
  </si>
  <si>
    <t xml:space="preserve">Possible (wizard, sans Composer), mais PHP 8.2 et extensions requis.</t>
  </si>
  <si>
    <t xml:space="preserve">PHP 8.3 sans base de données ; contournements prévus pour Apache mutualisé et verbes HTTP bloqués.</t>
  </si>
  <si>
    <t xml:space="preserve">Nécessite Node.js et une base ; possible seulement si l'hébergeur supporte des apps Node.</t>
  </si>
  <si>
    <t xml:space="preserve">https://payloadcms.com/docs/production/deployment</t>
  </si>
  <si>
    <t xml:space="preserve">Installeur web et SQLite aident, mais Node 20 pour le build, ext-sodium et queue worker requis.</t>
  </si>
  <si>
    <t xml:space="preserve">Possible comme toute app Laravel (PHP 8.2+, Composer, accès SSH conseillé).</t>
  </si>
  <si>
    <t xml:space="preserve">WP AI Client et écran Connecteurs dans le cœur (7.0) ; plugin AI de WordPress.org pour titres, extraits, résumés ; Jetpack AI payant.</t>
  </si>
  <si>
    <t xml:space="preserve">https://wordpress.org/plugins/ai/</t>
  </si>
  <si>
    <t xml:space="preserve">Module AI (Drupal AI) et Canvas AI : réécriture, titres, pages depuis un prompt ; inclus en option dans Drupal CMS.</t>
  </si>
  <si>
    <t xml:space="preserve">https://www.drupal.org/project/ai</t>
  </si>
  <si>
    <t xml:space="preserve">Plugins de la catégorie AI du Plugin Store, ex. GPT Content Generator.</t>
  </si>
  <si>
    <t xml:space="preserve">https://plugins.craftcms.com/categories/ai</t>
  </si>
  <si>
    <t xml:space="preserve">Plugin Copilot (Johann Schopplich, payant) pour générer du contenu dans le Panel.</t>
  </si>
  <si>
    <t xml:space="preserve">https://plugins.getkirby.com/topics/ai</t>
  </si>
  <si>
    <t xml:space="preserve">Addons tiers (Scout, AI Writer, Aida) ; rien dans le cœur.</t>
  </si>
  <si>
    <t xml:space="preserve">Plugin Content (19 $) : éditeur par blocs avec IA.</t>
  </si>
  <si>
    <t xml:space="preserve">https://octobercms.com/plugins?search=ai</t>
  </si>
  <si>
    <t xml:space="preserve">Payant : AI Pro (75 $), assistant dans Admin2 (OpenAI, Claude, Gemini, extensions).</t>
  </si>
  <si>
    <t xml:space="preserve">Payant : Enterprise AI (assistant de rédaction) ; plugin tiers payload-ai en gratuit.</t>
  </si>
  <si>
    <t xml:space="preserve">Aucune fonctionnalité IA.</t>
  </si>
  <si>
    <t xml:space="preserve">Aucune fonction IA.</t>
  </si>
  <si>
    <t xml:space="preserve">Plugin AI (WordPress.org) : traduction des blocs paragraphe/titre et du titre.</t>
  </si>
  <si>
    <t xml:space="preserve">Sous-module AI Translate du module AI.</t>
  </si>
  <si>
    <t xml:space="preserve">Plugins DeepL Translator (digitalpulse) ou Traduco.</t>
  </si>
  <si>
    <t xml:space="preserve">https://packagist.org/packages/digitalpulsebe/craft-deepl-translator</t>
  </si>
  <si>
    <t xml:space="preserve">Plugin Content Translator (DeepL ou autres) et Google Translate.</t>
  </si>
  <si>
    <t xml:space="preserve">https://plugins.getkirby.com/johannschopplich/content-translator</t>
  </si>
  <si>
    <t xml:space="preserve">Addons DeepL/Google (Apps with love), Magic Translator, AI Translator.</t>
  </si>
  <si>
    <t xml:space="preserve">https://statamic.com/addons/awl/deepl</t>
  </si>
  <si>
    <t xml:space="preserve">Aucun plugin connu.</t>
  </si>
  <si>
    <t xml:space="preserve">Payant : AI Translate (75 $), traduction des pages depuis Admin2.</t>
  </si>
  <si>
    <t xml:space="preserve">Payant : traductions IA de l'offre Enterprise AI.</t>
  </si>
  <si>
    <t xml:space="preserve">Copie depuis la langue par défaut seulement, pas de traduction automatique.</t>
  </si>
  <si>
    <t xml:space="preserve">https://github.com/tallcms/tallcms/tree/main/packages/tallcms/cms/src/Filament/Concerns/HasTranslationCopying.php</t>
  </si>
  <si>
    <t xml:space="preserve">Plugin AI (WordPress.org) : alt text unitaire ou en masse depuis la médiathèque.</t>
  </si>
  <si>
    <t xml:space="preserve">AI Image Alt Text, intégré à la médiathèque de Drupal CMS.</t>
  </si>
  <si>
    <t xml:space="preserve">https://project.pages.drupalcode.org/drupal_cms/customize/ai-tools/</t>
  </si>
  <si>
    <t xml:space="preserve">Plugins altpilot, Altomatic ou OpenAI Alt Text Generator.</t>
  </si>
  <si>
    <t xml:space="preserve">https://plugins.craftcms.com/altpilot</t>
  </si>
  <si>
    <t xml:space="preserve">Plugins Alter (Thomas Günther) et ATAI (alttext.ai).</t>
  </si>
  <si>
    <t xml:space="preserve">Addons AI Alt Text (Croox) et Auto Alt Text.</t>
  </si>
  <si>
    <t xml:space="preserve">https://statamic.com/addons/croox/ai-alt-text</t>
  </si>
  <si>
    <t xml:space="preserve">ImageBox (14,99 $) génère alt/titre via OpenAI Vision.</t>
  </si>
  <si>
    <t xml:space="preserve">https://octobercms.com/plugins?search=openai</t>
  </si>
  <si>
    <t xml:space="preserve">Non mentionnée dans la documentation d'AI Pro.</t>
  </si>
  <si>
    <t xml:space="preserve">Non annoncé, ni en Enterprise ni via plugin connu.</t>
  </si>
  <si>
    <t xml:space="preserve">Alt généré à partir du nom de fichier, sans IA.</t>
  </si>
  <si>
    <t xml:space="preserve">Pas de solution officielle stable ; extensions récentes comme VecPost AI Search ; Jetpack Search ajoute des réponses IA payantes.</t>
  </si>
  <si>
    <t xml:space="preserve">https://wordpress.org/plugins/vecpost/</t>
  </si>
  <si>
    <t xml:space="preserve">AI Search : embeddings via Search API et bases vectorielles (Milvus, Pinecone, Postgres…).</t>
  </si>
  <si>
    <t xml:space="preserve">Plugins comme Smart Search ou Scout couplé à un moteur vectoriel (Meilisearch).</t>
  </si>
  <si>
    <t xml:space="preserve">https://www.viget.com/articles/ai-powered-craft-search-with-meilisearch/</t>
  </si>
  <si>
    <t xml:space="preserve">Seulement via Visitor AI Chat (fendinger) ; rien de natif.</t>
  </si>
  <si>
    <t xml:space="preserve">Aucune solution officielle ; pas d'addon vectoriel reconnu identifié.</t>
  </si>
  <si>
    <t xml:space="preserve">Asyntai AI Search (gratuit), service externe.</t>
  </si>
  <si>
    <t xml:space="preserve">https://octobercms.com/plugins?search=search</t>
  </si>
  <si>
    <t xml:space="preserve">Payant : YetiSearch Pro, embeddings via OpenAI, OpenRouter ou Ollama.</t>
  </si>
  <si>
    <t xml:space="preserve">Payant : AI Auto-Embedding Enterprise pour RAG.</t>
  </si>
  <si>
    <t xml:space="preserve">Recherche LIKE uniquement.</t>
  </si>
  <si>
    <t xml:space="preserve">Abilities API dans le cœur + plugin canonique MCP Adapter exposant les abilities aux agents.</t>
  </si>
  <si>
    <t xml:space="preserve">https://make.wordpress.org/ai/tag/mcp-release/</t>
  </si>
  <si>
    <t xml:space="preserve">AI Agents et MCP Server (2.0 bêta, OAuth 2.1) ; MCP Client pour consommer des serveurs.</t>
  </si>
  <si>
    <t xml:space="preserve">https://www.drupal.org/project/mcp_server</t>
  </si>
  <si>
    <t xml:space="preserve">Plugin Craft CMS MCP (Stimmt) : lecture gratuite, écriture en brouillons en version Pro.</t>
  </si>
  <si>
    <t xml:space="preserve">https://plugins.craftcms.com/mcp</t>
  </si>
  <si>
    <t xml:space="preserve">Kirby MCP (Bruno Meilick) et Copilot (connexion MCP) ; plugin LLMS pour llms.txt.</t>
  </si>
  <si>
    <t xml:space="preserve">https://plugins.getkirby.com/bnomei/kirby-mcp</t>
  </si>
  <si>
    <t xml:space="preserve">Addon Statamic MCP (cboxdk, permissions respectées) ; guidelines Laravel Boost officielles côté dev.</t>
  </si>
  <si>
    <t xml:space="preserve">https://packagist.org/packages/cboxdk/statamic-mcp</t>
  </si>
  <si>
    <t xml:space="preserve">October Boost (4.3) : MCP (blueprints, plugins, thème, docs), skills et règles agents.</t>
  </si>
  <si>
    <t xml:space="preserve">https://docs.octobercms.com/4.x/resources/ai-boost.html</t>
  </si>
  <si>
    <t xml:space="preserve">grav-mcp gratuit (71 outils via l'API) ; pages servies en Markdown et llms.txt pour agents.</t>
  </si>
  <si>
    <t xml:space="preserve">@payloadcms/plugin-mcp : serveur MCP avec opérations par collection et outils personnalisés.</t>
  </si>
  <si>
    <t xml:space="preserve">https://payloadcms.com/docs/plugins/mcp</t>
  </si>
  <si>
    <t xml:space="preserve">Pas de MCP ; génération d'un llms.txt pour les crawlers IA.</t>
  </si>
  <si>
    <t xml:space="preserve">https://github.com/tallcms/tallcms/tree/main/packages/tallcms/cms/src/Http/Controllers/LlmsTxtController.php</t>
  </si>
  <si>
    <t xml:space="preserve">Outils &gt; Exporter / Effacer les données personnelles, extensibles par les plugins.</t>
  </si>
  <si>
    <t xml:space="preserve">https://wordpress.org/documentation/article/tools-export-personal-data-screen/</t>
  </si>
  <si>
    <t xml:space="preserve">Suppression de compte natif avec options de traitement du contenu ; export via module GDPR.</t>
  </si>
  <si>
    <t xml:space="preserve">https://www.drupal.org/project/gdpr</t>
  </si>
  <si>
    <t xml:space="preserve">Suppression d'utilisateur avec transfert de contenu ; pas d'export de données personnelles natif.</t>
  </si>
  <si>
    <t xml:space="preserve">Aucun outil RGPD natif ; données utilisateur dans site/accounts, à gérer manuellement.</t>
  </si>
  <si>
    <t xml:space="preserve">Rien de natif ; addon Forms GDPR pour la purge des soumissions.</t>
  </si>
  <si>
    <t xml:space="preserve">https://packagist.org/packages/steetshub/statamic-forms-gdpr</t>
  </si>
  <si>
    <t xml:space="preserve">OFFLINE.GDPR (gratuit) : consentement et rétention ; pas d'export dédié.</t>
  </si>
  <si>
    <t xml:space="preserve">https://octobercms.com/plugin/offline-gdpr</t>
  </si>
  <si>
    <t xml:space="preserve">Payant : export JSON et effacement d'un abonné dans Mailroom uniquement ; rien dans le cœur.</t>
  </si>
  <si>
    <t xml:space="preserve">Aucun outil RGPD dédié.</t>
  </si>
  <si>
    <t xml:space="preserve">Aucun outil d'export ou d'effacement des données personnelles.</t>
  </si>
  <si>
    <t xml:space="preserve">Aucun outil RGPD.</t>
  </si>
  <si>
    <t xml:space="preserve">Complianz ou CookieYes ; WP Consent API (plugin de fonctionnalité) pour le signalement du consentement.</t>
  </si>
  <si>
    <t xml:space="preserve">https://wordpress.org/plugins/wp-consent-api/</t>
  </si>
  <si>
    <t xml:space="preserve">Klaro Cookie &amp; Consent Management (inclus dans Drupal CMS).</t>
  </si>
  <si>
    <t xml:space="preserve">https://project.pages.drupalcode.org/drupal_cms/customize/consent/</t>
  </si>
  <si>
    <t xml:space="preserve">Plugins Cookie Banner, Craft CMP ou CookieBuddy.</t>
  </si>
  <si>
    <t xml:space="preserve">https://plugins.craftcms.com/cookie-banner</t>
  </si>
  <si>
    <t xml:space="preserve">Plugins Cookieconsent (Zephir) ou Kirby Consent Gate.</t>
  </si>
  <si>
    <t xml:space="preserve">https://plugins.getkirby.com/topics/privacy</t>
  </si>
  <si>
    <t xml:space="preserve">Addons Cookie Notice (Duncan McClean), Consent Manager.</t>
  </si>
  <si>
    <t xml:space="preserve">https://statamic.com/marketplace/addons/cookie-notice</t>
  </si>
  <si>
    <t xml:space="preserve">OFFLINE.GDPR : bannière et gestionnaire de cookies.</t>
  </si>
  <si>
    <t xml:space="preserve">Plugin Cookie Consent (naucon).</t>
  </si>
  <si>
    <t xml:space="preserve">https://github.com/naucon/grav-plugin-cookieconsent</t>
  </si>
  <si>
    <t xml:space="preserve">Aucune, à intégrer dans le front.</t>
  </si>
  <si>
    <t xml:space="preserve">Aucune bannière fournie ; à injecter via Embed Code.</t>
  </si>
  <si>
    <t xml:space="preserve">https://github.com/tallcms/tallcms/blob/main/docs/site-code-injection.md</t>
  </si>
  <si>
    <t xml:space="preserve">Page de politique avec texte suggéré enrichi par les plugins (Réglages &gt; Confidentialité).</t>
  </si>
  <si>
    <t xml:space="preserve">https://wordpress.org/documentation/article/settings-privacy-screen/</t>
  </si>
  <si>
    <t xml:space="preserve">Drupal CMS crée une page stub de politique liée au pied de page, sans texte généré.</t>
  </si>
  <si>
    <t xml:space="preserve">https://project.pages.drupalcode.org/drupal_cms/customize/privacy-policy/</t>
  </si>
  <si>
    <t xml:space="preserve">Aucun outil ; à gérer comme une entrée ordinaire.</t>
  </si>
  <si>
    <t xml:space="preserve">Aucun outil dédié ; page de contenu ordinaire.</t>
  </si>
  <si>
    <t xml:space="preserve">Aucun outil dédié ; simple page de contenu.</t>
  </si>
  <si>
    <t xml:space="preserve">Aucun outil.</t>
  </si>
  <si>
    <t xml:space="preserve">Aucun outil dédié.</t>
  </si>
  <si>
    <t xml:space="preserve">Simple page CMS à rédiger soi-même.</t>
  </si>
  <si>
    <t xml:space="preserve">Créable comme simple page statique ; aucune génération.</t>
  </si>
  <si>
    <t xml:space="preserve">wp_privacy_anonymize_data() ; l'effacement anonymise commentaires et données plutôt que de supprimer.</t>
  </si>
  <si>
    <t xml:space="preserve">https://developer.wordpress.org/reference/functions/wp_privacy_anonymize_data/</t>
  </si>
  <si>
    <t xml:space="preserve">Annulation de compte avec réattribution du contenu à Anonyme ; anonymisation de dumps via GDPR.</t>
  </si>
  <si>
    <t xml:space="preserve">https://www.drupal.org/docs/user_guide/en/user-cancel.html</t>
  </si>
  <si>
    <t xml:space="preserve">Aucun mécanisme d'anonymisation natif.</t>
  </si>
  <si>
    <t xml:space="preserve">Aucune fonction d'anonymisation.</t>
  </si>
  <si>
    <t xml:space="preserve">Non proposé.</t>
  </si>
  <si>
    <t xml:space="preserve">Aucun outil d'anonymisation.</t>
  </si>
  <si>
    <t xml:space="preserve">Option censored pour masquer les données sensibles des logs ; hash de suppression dans Mailroom.</t>
  </si>
  <si>
    <t xml:space="preserve">Aucune anonymisation (IP des commentaires, soumissions).</t>
  </si>
  <si>
    <t xml:space="preserve">Délais de corbeille et d'expiration des exports configurables ; pas de politique générale de rétention.</t>
  </si>
  <si>
    <t xml:space="preserve">Limite du nombre d'entrées du journal dblog ; pas de politique de rétention globale.</t>
  </si>
  <si>
    <t xml:space="preserve">https://www.drupal.org/docs/core-modules-and-themes/core-modules/dblog-module</t>
  </si>
  <si>
    <t xml:space="preserve">Purges configurables : softDeleteDuration, maxRevisions, purgePendingUsersDuration, brouillons non sauvegardés.</t>
  </si>
  <si>
    <t xml:space="preserve">Pas de rétention configurable (hors durée des sessions/codes).</t>
  </si>
  <si>
    <t xml:space="preserve">Stockage des soumissions désactivable par formulaire ; pas de purge planifiée native.</t>
  </si>
  <si>
    <t xml:space="preserve">purgeRejectedDays pour soumissions, logs ; OFFLINE.GDPR pour plugins.</t>
  </si>
  <si>
    <t xml:space="preserve">Durées de rétention pour sauvegardes, historique Sync et Revisions Pro ; pas de politique globale.</t>
  </si>
  <si>
    <t xml:space="preserve">Seulement maxPerDoc pour les versions et suppression des jobs terminés.</t>
  </si>
  <si>
    <t xml:space="preserve">Seules les révisions sont élaguées (limites configurables) ; pas de rétention des données personnelles.</t>
  </si>
  <si>
    <t xml:space="preserve">Tableau de bord avec widgets (activité, brouillon rapide, Site Health, actualités).</t>
  </si>
  <si>
    <t xml:space="preserve">https://wordpress.org/documentation/article/dashboard-screen/</t>
  </si>
  <si>
    <t xml:space="preserve">Module Dashboard (Drupal CMS) ; le cœur n'a qu'une page d'index admin.</t>
  </si>
  <si>
    <t xml:space="preserve">Tableau de bord par utilisateur avec widgets redimensionnables (brouillons, entrées récentes, Quick Post…).</t>
  </si>
  <si>
    <t xml:space="preserve">Vue Site configurable par blueprint (sections, stats) ; pas de dashboard dédié.</t>
  </si>
  <si>
    <t xml:space="preserve">Dashboard de widgets (collection, formulaires, mises à jour) configurable.</t>
  </si>
  <si>
    <t xml:space="preserve">https://statamic.dev/control-panel/dashboard</t>
  </si>
  <si>
    <t xml:space="preserve">Module Dashboard : tableaux multiples par rôle, widgets et data sources.</t>
  </si>
  <si>
    <t xml:space="preserve">https://docs.octobercms.com/4.x/extend/dashboards/dash-controller.html</t>
  </si>
  <si>
    <t xml:space="preserve">Tableau de bord Admin2 en grille, widgets réorganisables, par utilisateur ou par défaut.</t>
  </si>
  <si>
    <t xml:space="preserve">Dashboard avec cartes de collections, widgets modulaires expérimentaux.</t>
  </si>
  <si>
    <t xml:space="preserve">Dashboard Filament avec widgets Content Health, menus, mises à jour de plugins.</t>
  </si>
  <si>
    <t xml:space="preserve">Tableau de bord Filament ; badges de compteurs par ressource fournis par Sky.</t>
  </si>
  <si>
    <t xml:space="preserve">Jetpack Stats (gratuit pour l'essentiel, fonctions avancées payantes).</t>
  </si>
  <si>
    <t xml:space="preserve">https://jetpack.com/support/jetpack-stats/</t>
  </si>
  <si>
    <t xml:space="preserve">Module Statistics retiré du cœur en 11 et disponible en contrib.</t>
  </si>
  <si>
    <t xml:space="preserve">https://www.thedroptimes.com/node/40259</t>
  </si>
  <si>
    <t xml:space="preserve">Aucune statistique native ; plugins comme Insights.</t>
  </si>
  <si>
    <t xml:space="preserve">https://plugins.craftcms.com/insights</t>
  </si>
  <si>
    <t xml:space="preserve">Plugins Simplestats, Pure Stats, Pageview Counter.</t>
  </si>
  <si>
    <t xml:space="preserve">Addon Mini Metrics (analytics respectueuses) ; rien de natif.</t>
  </si>
  <si>
    <t xml:space="preserve">Traffic statistics internes (TrafficLogger), multisite possible.</t>
  </si>
  <si>
    <t xml:space="preserve">https://octobercms.com/support/article/rn-40</t>
  </si>
  <si>
    <t xml:space="preserve">Aucune statistique de visite documentée dans Admin2.</t>
  </si>
  <si>
    <t xml:space="preserve">Aucune statistique de visite.</t>
  </si>
  <si>
    <t xml:space="preserve">Payant : TallCMS Pro ajoute un widget de tableau de bord Google Analytics 4.</t>
  </si>
  <si>
    <t xml:space="preserve">https://github.com/tallcms/tallcms/blob/main/docs/ref-pro-plugin-changelog.md</t>
  </si>
  <si>
    <t xml:space="preserve">Site Kit by Google, plugins officiels Matomo et Plausible.</t>
  </si>
  <si>
    <t xml:space="preserve">https://wordpress.org/plugins/google-site-kit/</t>
  </si>
  <si>
    <t xml:space="preserve">Google Tag (inclus dans Drupal CMS), Matomo Analytics, Plausible.</t>
  </si>
  <si>
    <t xml:space="preserve">https://project.pages.drupalcode.org/drupal_cms/promote/google-analytics/</t>
  </si>
  <si>
    <t xml:space="preserve">Scripts de suivi via SEOmatic ou plugins dédiés.</t>
  </si>
  <si>
    <t xml:space="preserve">Plugins Plausible, Plausibly, Matomo (sylvainjule), Fathom.</t>
  </si>
  <si>
    <t xml:space="preserve">Ajout du script en template ou addons d'analytics tiers.</t>
  </si>
  <si>
    <t xml:space="preserve">RainLab.GoogleAnalytics (gratuit) ; Matomo/Plausible via plugins tiers.</t>
  </si>
  <si>
    <t xml:space="preserve">Plugins communautaires, par exemple Google Analytics (escopecz).</t>
  </si>
  <si>
    <t xml:space="preserve">https://github.com/escopecz/grav-ganalytics</t>
  </si>
  <si>
    <t xml:space="preserve">À intégrer dans le front ; aucun plugin officiel.</t>
  </si>
  <si>
    <t xml:space="preserve">Embed Code par site (head/body) pour GA, Plausible, Matomo ; injection gtag auto dans Pro.</t>
  </si>
  <si>
    <t xml:space="preserve">Aucune intégration ; script à placer dans le layout.</t>
  </si>
  <si>
    <t xml:space="preserve">Site Health couvre la technique seulement ; Broken Link Checker pour les liens cassés.</t>
  </si>
  <si>
    <t xml:space="preserve">https://wordpress.org/plugins/broken-link-checker/</t>
  </si>
  <si>
    <t xml:space="preserve">Rapports natifs (statut, 404, journaux) ; liens cassés via Link checker.</t>
  </si>
  <si>
    <t xml:space="preserve">https://www.drupal.org/project/linkchecker</t>
  </si>
  <si>
    <t xml:space="preserve">Plugins Broken Links, Link Checker ou Appleseed.</t>
  </si>
  <si>
    <t xml:space="preserve">https://plugins.craftcms.com/brokenlinks</t>
  </si>
  <si>
    <t xml:space="preserve">Plugin Link Scanner (Scott Boms) pour liens cassés, X-Ray pour aperçu de contenu.</t>
  </si>
  <si>
    <t xml:space="preserve">Payant : SEO Pro – rapports de site et suivi des 404 ; pas de détection de contenu obsolète.</t>
  </si>
  <si>
    <t xml:space="preserve">Aucun rapport de contenu.</t>
  </si>
  <si>
    <t xml:space="preserve">Payant : SEO Magic vérifie liens et images cassés (aussi en CLI).</t>
  </si>
  <si>
    <t xml:space="preserve">Content Health signale contenus non revus depuis 6 mois et méta manquantes ; pas de liens cassés.</t>
  </si>
  <si>
    <t xml:space="preserve">Aucun rapport.</t>
  </si>
  <si>
    <t xml:space="preserve">wp-admin responsive et application mobile Jetpack/WordPress.</t>
  </si>
  <si>
    <t xml:space="preserve">https://wordpress.org/documentation/article/administration-screens/</t>
  </si>
  <si>
    <t xml:space="preserve">Thème Claro et module Navigation responsives.</t>
  </si>
  <si>
    <t xml:space="preserve">https://www.drupal.org/docs/core-modules-and-themes/core-themes/claro-theme</t>
  </si>
  <si>
    <t xml:space="preserve">Panneau responsive, actions groupées et personnalisation des sources disponibles sur mobile.</t>
  </si>
  <si>
    <t xml:space="preserve">Panel responsive utilisable sur mobile, navigateurs mobiles supportés.</t>
  </si>
  <si>
    <t xml:space="preserve">CP v6 responsive (Vue 3, Tailwind 4), widgets empilés sur petit écran.</t>
  </si>
  <si>
    <t xml:space="preserve">Backend responsive avec menu et barre d'outils mobiles.</t>
  </si>
  <si>
    <t xml:space="preserve">https://github.com/octobercms/october/tree/develop/modules/backend/layouts</t>
  </si>
  <si>
    <t xml:space="preserve">Admin2 (SvelteKit) utilisable jusqu'à la largeur d'un téléphone.</t>
  </si>
  <si>
    <t xml:space="preserve">Admin React responsive utilisable sur mobile.</t>
  </si>
  <si>
    <t xml:space="preserve">https://payloadcms.com/docs/admin/overview</t>
  </si>
  <si>
    <t xml:space="preserve">Interface Filament responsive (natif Filament).</t>
  </si>
  <si>
    <t xml:space="preserve">Panneau Filament responsive.</t>
  </si>
  <si>
    <t xml:space="preserve">https://filamentphp.com/docs/5.x/introduction/overview</t>
  </si>
  <si>
    <t xml:space="preserve">Schémas de couleurs d'admin (menus sombres) sans vrai mode sombre ; tokens de design posés en 7.1.</t>
  </si>
  <si>
    <t xml:space="preserve">Thème « Default Admin » basé sur Gin, expérimental en 11.4, avec mode sombre ; défaut en Drupal 12.</t>
  </si>
  <si>
    <t xml:space="preserve">Pas de thème sombre natif ; plugin Nightshift.</t>
  </si>
  <si>
    <t xml:space="preserve">https://plugins.craftcms.com/nightshift</t>
  </si>
  <si>
    <t xml:space="preserve">Thème sombre/clair/système dans le Panel depuis 5.0, défaut via panel.theme.</t>
  </si>
  <si>
    <t xml:space="preserve">Mode sombre du CP depuis Statamic 5, bascule via préférences ou command palette.</t>
  </si>
  <si>
    <t xml:space="preserve">https://statamic.dev/control-panel/command-palette</t>
  </si>
  <si>
    <t xml:space="preserve">Modes clair, sombre ou auto dans les réglages de marque.</t>
  </si>
  <si>
    <t xml:space="preserve">https://github.com/octobercms/october/blob/develop/modules/backend/models/brandsetting/fields.yaml</t>
  </si>
  <si>
    <t xml:space="preserve">Modes clair, sombre et système, avec nuances sombres réglables dans Admin2.</t>
  </si>
  <si>
    <t xml:space="preserve">Thème clair/sombre/auto, forçable via admin.theme.</t>
  </si>
  <si>
    <t xml:space="preserve">Mode sombre Filament dans l'admin, éditeur compris ; thèmes front dark via daisyUI.</t>
  </si>
  <si>
    <t xml:space="preserve">Mode sombre natif de Filament, également supporté dans les vues front Sky.</t>
  </si>
  <si>
    <t xml:space="preserve">https://filamentphp.com/docs/5.x/styling/overview</t>
  </si>
  <si>
    <t xml:space="preserve">Logo de connexion et menus modifiables par hooks ; White Label CMS en tiers.</t>
  </si>
  <si>
    <t xml:space="preserve">Logo, nom du site et sous-thème admin ; couleurs d'accent et logo via Gin.</t>
  </si>
  <si>
    <t xml:space="preserve">https://www.drupal.org/project/gin</t>
  </si>
  <si>
    <t xml:space="preserve">Payant : logo et icône du panneau (Rebrand) et e-mails personnalisés en édition Pro.</t>
  </si>
  <si>
    <t xml:space="preserve">panel.css, panel.favicon, panel.slug, menu personnalisable ; logo Kirby discret.</t>
  </si>
  <si>
    <t xml:space="preserve">Payant : Pro – nom, logos (clair/sombre), favicon, CSS et couleur primaire du CP.</t>
  </si>
  <si>
    <t xml:space="preserve">https://statamic.dev/control-panel/white-labeling</t>
  </si>
  <si>
    <t xml:space="preserve">Logo, nom, palette, favicon, page de login, CSS personnalisée.</t>
  </si>
  <si>
    <t xml:space="preserve">Réglages Branding d'Admin2 : logo, titre, carte de connexion, crédit masquable.</t>
  </si>
  <si>
    <t xml:space="preserve">Logo, icône, métadonnées et CSS personnalisables via composants graphics et variables CSS.</t>
  </si>
  <si>
    <t xml:space="preserve">https://payloadcms.com/docs/admin/customizing-css</t>
  </si>
  <si>
    <t xml:space="preserve">Labels de ressources renommables, badge Powered by désactivable, branding Filament en code.</t>
  </si>
  <si>
    <t xml:space="preserve">Logo, couleurs et nom de marque configurables sur le panneau Filament.</t>
  </si>
  <si>
    <t xml:space="preserve">https://filamentphp.com/docs/5.x/panel-configuration</t>
  </si>
  <si>
    <t xml:space="preserve">Plus de 200 locales, français complet, packs de langue automatiques.</t>
  </si>
  <si>
    <t xml:space="preserve">https://translate.wordpress.org/</t>
  </si>
  <si>
    <t xml:space="preserve">Traductions d'interface importées automatiquement depuis localize.drupal.org, français complet.</t>
  </si>
  <si>
    <t xml:space="preserve">https://localize.drupal.org/translate/languages/fr</t>
  </si>
  <si>
    <t xml:space="preserve">Panneau traduit dans de nombreuses langues dont le français, langue choisie par utilisateur.</t>
  </si>
  <si>
    <t xml:space="preserve">Panel traduit en une trentaine de langues dont le français, choix par utilisateur.</t>
  </si>
  <si>
    <t xml:space="preserve">CP traduit en ~29 langues dont le français.</t>
  </si>
  <si>
    <t xml:space="preserve">https://statamic.dev/control-panel/cp-translations</t>
  </si>
  <si>
    <t xml:space="preserve">Admin en ~40 langues dont français.</t>
  </si>
  <si>
    <t xml:space="preserve">https://github.com/octobercms/october/tree/develop/modules/backend/lang</t>
  </si>
  <si>
    <t xml:space="preserve">Traductions via le portail communautaire, français disponible pour le cœur.</t>
  </si>
  <si>
    <t xml:space="preserve">https://github.com/getgrav/grav/blob/develop/system/languages/fr.yaml</t>
  </si>
  <si>
    <t xml:space="preserve">@payloadcms/translations : plus de 40 langues dont le français.</t>
  </si>
  <si>
    <t xml:space="preserve">https://payloadcms.com/docs/configuration/i18n</t>
  </si>
  <si>
    <t xml:space="preserve">Chaînes TallCMS en anglais et allemand seulement ; chrome Filament traduit en français.</t>
  </si>
  <si>
    <t xml:space="preserve">Traductions Sky en anglais, arabe et turc seulement ; Filament lui-même est traduit en français.</t>
  </si>
  <si>
    <t xml:space="preserve">https://github.com/lara-zeus/sky/blob/main/resources/lang</t>
  </si>
  <si>
    <t xml:space="preserve">Menus modifiables en code (remove_menu_page) ; Admin Menu Editor en tiers.</t>
  </si>
  <si>
    <t xml:space="preserve">https://developer.wordpress.org/reference/functions/remove_menu_page/</t>
  </si>
  <si>
    <t xml:space="preserve">Module Navigation (stable 11.3, défaut 11.4) basé sur des menus éditables.</t>
  </si>
  <si>
    <t xml:space="preserve">Sources d'index personnalisables et pages d'index multiples (5.9) ; menu principal via code ou plugin CP Nav.</t>
  </si>
  <si>
    <t xml:space="preserve">Option panel.menu (5.0) : entrées, libellés, icônes, liens et séparateurs.</t>
  </si>
  <si>
    <t xml:space="preserve">Personnalisation de la navigation CP par utilisateur/rôle dans les préférences et par code.</t>
  </si>
  <si>
    <t xml:space="preserve">Navigation via plugins et blueprints Tailor (primaryNavigation, extraNavigation).</t>
  </si>
  <si>
    <t xml:space="preserve">https://docs.octobercms.com/4.x/cms/tailor/navigation.html</t>
  </si>
  <si>
    <t xml:space="preserve">Barre latérale réorganisable par utilisateur, raccourcis de plugins épinglables.</t>
  </si>
  <si>
    <t xml:space="preserve">admin.group, hidden, composants Nav et liens personnalisés.</t>
  </si>
  <si>
    <t xml:space="preserve">https://payloadcms.com/docs/custom-components/root-components</t>
  </si>
  <si>
    <t xml:space="preserve">Groupes et labels de navigation surchargeables en config/code (natif Filament).</t>
  </si>
  <si>
    <t xml:space="preserve">Groupe, icône, ordre des ressources et masquage via hideResources().</t>
  </si>
  <si>
    <t xml:space="preserve">Palette de commandes Ctrl/Cmd+K dans tout l'admin depuis 6.9, intégrant les abilities.</t>
  </si>
  <si>
    <t xml:space="preserve">Coffee (inclus dans Drupal CMS) : palette de commandes au clavier.</t>
  </si>
  <si>
    <t xml:space="preserve">Pas de recherche globale ni de palette de commandes ; recherche par index.</t>
  </si>
  <si>
    <t xml:space="preserve">Dialogue de recherche globale (pages, fichiers, utilisateurs) ; pas de palette de commandes.</t>
  </si>
  <si>
    <t xml:space="preserve">Command palette ⌘K (recherche, navigation, actions contextuelles), extensible PHP/JS.</t>
  </si>
  <si>
    <t xml:space="preserve">Pas de recherche globale admin.</t>
  </si>
  <si>
    <t xml:space="preserve">Aucune palette de commandes documentée dans Admin2.</t>
  </si>
  <si>
    <t xml:space="preserve">Pas de recherche globale ni de palette de commandes.</t>
  </si>
  <si>
    <t xml:space="preserve">Recherche globale Filament ; pas de command palette.</t>
  </si>
  <si>
    <t xml:space="preserve">Recherche globale Filament disponible mais non configurée sur les ressources Sky.</t>
  </si>
  <si>
    <t xml:space="preserve">https://filamentphp.com/docs/5.x/resources/global-search</t>
  </si>
  <si>
    <t xml:space="preserve">Actions groupées et modification rapide sur toutes les listes et DataViews.</t>
  </si>
  <si>
    <t xml:space="preserve">Actions groupées dans les vues admin (publier, supprimer…), extensibles par plugins Action.</t>
  </si>
  <si>
    <t xml:space="preserve">https://www.drupal.org/docs/core-modules-and-themes/core-modules/views-module</t>
  </si>
  <si>
    <t xml:space="preserve">Actions groupées sur index : statut, suppression, duplication, déplacement de section, export.</t>
  </si>
  <si>
    <t xml:space="preserve">Suppression en lot de pages/fichiers (5.0) et lignes de structure (5.1) ; pas d'autres actions groupées.</t>
  </si>
  <si>
    <t xml:space="preserve">Actions sur sélection multiple dans les listings (publier, supprimer, actions custom).</t>
  </si>
  <si>
    <t xml:space="preserve">https://statamic.dev/backend-apis/actions</t>
  </si>
  <si>
    <t xml:space="preserve">Actions groupées Tailor : activer, supprimer, restaurer, dupliquer, approuver.</t>
  </si>
  <si>
    <t xml:space="preserve">Publication, dépublication, suppression et copie groupées (jusqu'à 50 pages).</t>
  </si>
  <si>
    <t xml:space="preserve">Édition, publication et suppression en masse depuis la vue liste.</t>
  </si>
  <si>
    <t xml:space="preserve">Actions en masse : publier, archiver, supprimer, alt text, modération des commentaires.</t>
  </si>
  <si>
    <t xml:space="preserve">Suppression, suppression définitive et restauration groupées.</t>
  </si>
  <si>
    <t xml:space="preserve">Export/import XML (WXR) natif ; CSV via WP All Import (tiers).</t>
  </si>
  <si>
    <t xml:space="preserve">Migrate API (CSV/JSON/XML via Migrate Plus) et export YAML CLI ; export Views via Views Data Export.</t>
  </si>
  <si>
    <t xml:space="preserve">Export natif CSV/JSON/XML/XLSX/YAML ; import via Feed Me de Pixel &amp; Tonic.</t>
  </si>
  <si>
    <t xml:space="preserve">https://plugins.craftcms.com/feed-me</t>
  </si>
  <si>
    <t xml:space="preserve">Pas d'outil d'import/export ; représentations JSON, classe Data et API pour scripts, handler Frontmatter (5.5).</t>
  </si>
  <si>
    <t xml:space="preserve">Addon officiel gratuit Importer (CSV, XML) ; export natif limité aux soumissions de formulaires.</t>
  </si>
  <si>
    <t xml:space="preserve">https://github.com/statamic/importer</t>
  </si>
  <si>
    <t xml:space="preserve">ImportExportController : CSV, JSON, ZIP avec fichiers.</t>
  </si>
  <si>
    <t xml:space="preserve">https://docs.octobercms.com/4.x/extend/importexport/importexport-controller.html</t>
  </si>
  <si>
    <t xml:space="preserve">Contenu portable en fichiers Markdown ; pas d'import/export CSV générique.</t>
  </si>
  <si>
    <t xml:space="preserve">@payloadcms/plugin-import-export : CSV et JSON, avec jobs en arrière-plan.</t>
  </si>
  <si>
    <t xml:space="preserve">Aucun import/export natif ; API REST ou plugin Filament Excel tiers.</t>
  </si>
  <si>
    <t xml:space="preserve">Aucun import/export ; actions Import/Export Filament à ajouter soi-même.</t>
  </si>
  <si>
    <t xml:space="preserve">Importateurs maintenus par WordPress.org : WordPress, Blogger, Tumblr, LiveJournal, Movable Type, RSS.</t>
  </si>
  <si>
    <t xml:space="preserve">https://wordpress.org/documentation/article/tools-import-screen/</t>
  </si>
  <si>
    <t xml:space="preserve">WordPress Migrate et sources Migrate ; Migrate Drupal (D7) retiré du cœur en 12.</t>
  </si>
  <si>
    <t xml:space="preserve">https://www.drupal.org/project/wordpress_migrate</t>
  </si>
  <si>
    <t xml:space="preserve">Plugin wp-import (Pixel &amp; Tonic) : articles, pages, médias, blocs Gutenberg, champs ACF via l'API REST.</t>
  </si>
  <si>
    <t xml:space="preserve">https://github.com/craftcms/wp-import</t>
  </si>
  <si>
    <t xml:space="preserve">Outils communautaires Haptiq Kirby Exporter, WordPress XML to Kirby, WxrKirby.</t>
  </si>
  <si>
    <t xml:space="preserve">Addon officiel gratuit Importer avec prise en charge du contenu Gutenberg WordPress.</t>
  </si>
  <si>
    <t xml:space="preserve">Aucun importeur WordPress.</t>
  </si>
  <si>
    <t xml:space="preserve">https://octobercms.com/plugins?search=wordpress</t>
  </si>
  <si>
    <t xml:space="preserve">Le plugin Migrate n'importe que depuis Grav 1.7/1.8.</t>
  </si>
  <si>
    <t xml:space="preserve">Aucun importeur officiel ; scripts Local API à écrire.</t>
  </si>
  <si>
    <t xml:space="preserve">Aucun importeur WordPress ou autre.</t>
  </si>
  <si>
    <t xml:space="preserve">Lara Zeus Rhea importe articles, pages, tags et catégories WordPress (via Corcel) ; encore limité à Sky v3.</t>
  </si>
  <si>
    <t xml:space="preserve">https://github.com/lara-zeus/rhea</t>
  </si>
  <si>
    <t xml:space="preserve">GPLv2 ou ultérieure, extensions et thèmes du répertoire en GPL.</t>
  </si>
  <si>
    <t xml:space="preserve">https://wordpress.org/about/license/</t>
  </si>
  <si>
    <t xml:space="preserve">GPL-2.0-or-later, cœur et contrib.</t>
  </si>
  <si>
    <t xml:space="preserve">https://www.drupal.org/about/licensing</t>
  </si>
  <si>
    <t xml:space="preserve">Craft License propriétaire (code source public sur GitHub), Solo gratuit ; plugins officiels souvent MIT/GPL.</t>
  </si>
  <si>
    <t xml:space="preserve">https://github.com/craftcms/cms/blob/5.x/LICENSE.md</t>
  </si>
  <si>
    <t xml:space="preserve">Propriétaire, code source public sur GitHub ; licence payante par site en production.</t>
  </si>
  <si>
    <t xml:space="preserve">https://getkirby.com/license</t>
  </si>
  <si>
    <t xml:space="preserve">Core gratuit sous licence propriétaire permissive de Statamic LLC (source ouverte) ; Pro commercial.</t>
  </si>
  <si>
    <t xml:space="preserve">https://github.com/statamic/cms/blob/6.x/LICENSE.md</t>
  </si>
  <si>
    <t xml:space="preserve">Propriétaire (EULA Responsiv Pty Ltd) ; code source public sur GitHub.</t>
  </si>
  <si>
    <t xml:space="preserve">https://github.com/octobercms/october/blob/develop/LICENSE.md</t>
  </si>
  <si>
    <t xml:space="preserve">MIT (cœur et plugins officiels gratuits) ; produits premium sous licence commerciale.</t>
  </si>
  <si>
    <t xml:space="preserve">MIT pour le cœur et les paquets @payloadcms/* ; fonctions Enterprise sous contrat commercial.</t>
  </si>
  <si>
    <t xml:space="preserve">https://github.com/payloadcms/payload/blob/main/LICENSE.md</t>
  </si>
  <si>
    <t xml:space="preserve">Core sous licence MIT ; Pro, Multisite, Billing et certains thèmes sous licence commerciale.</t>
  </si>
  <si>
    <t xml:space="preserve">https://filamentphp.com/plugins/tallcms-core</t>
  </si>
  <si>
    <t xml:space="preserve">MIT.</t>
  </si>
  <si>
    <t xml:space="preserve">https://github.com/lara-zeus/sky/blob/main/LICENSE.md</t>
  </si>
  <si>
    <t xml:space="preserve">Cœur gratuit ; écosystème freemium (Jetpack, WooCommerce, extensions premium) et WordPress.com en SaaS.</t>
  </si>
  <si>
    <t xml:space="preserve">https://wordpress.org/about/</t>
  </si>
  <si>
    <t xml:space="preserve">Gratuit et open source ; quelques site templates et services d'hébergement payants.</t>
  </si>
  <si>
    <t xml:space="preserve">Freemium : Solo gratuit, Team 279 $, Pro 399 $ par projet puis 99 $/an de mises à jour ; Enterprise sur devis.</t>
  </si>
  <si>
    <t xml:space="preserve">Payant à vie par site : Basic 99 € (&lt;1 M€ CA), Enterprise 349 €, 3 ans de mises à jour ; gratuit en local.</t>
  </si>
  <si>
    <t xml:space="preserve">https://getkirby.com/buy</t>
  </si>
  <si>
    <t xml:space="preserve">Freemium : Core gratuit, Pro 349 $/site + 99 $/an de mises à jour, Enterprise dès 10 k$/an.</t>
  </si>
  <si>
    <t xml:space="preserve">https://statamic.com/pricing</t>
  </si>
  <si>
    <t xml:space="preserve">Freemium : 1re licence gratuite, puis 39 $/site/an ou 312 $/an illimité.</t>
  </si>
  <si>
    <t xml:space="preserve">https://octobercms.com/pricing</t>
  </si>
  <si>
    <t xml:space="preserve">Freemium : cœur gratuit, une vingtaine de plugins/thèmes premium de 25 à 100 $.</t>
  </si>
  <si>
    <t xml:space="preserve">Open source gratuit auto-hébergé ; Enterprise sur devis ; Payload Cloud en pause depuis le rachat par Figma.</t>
  </si>
  <si>
    <t xml:space="preserve">https://payloadcms.com/payload-has-joined-figma</t>
  </si>
  <si>
    <t xml:space="preserve">Freemium : Core gratuit, Pro 29 $, Multisite 199 $, plugins/thèmes payants sur le marketplace.</t>
  </si>
  <si>
    <t xml:space="preserve">Sky gratuit ; l'éditeur vend des paquets premium (ex. Bolt Pro) à côté.</t>
  </si>
  <si>
    <t xml:space="preserve">Plus de 76 000 plugins et environ 8 700 thèmes gratuits sur wordpress.org, plus marchés commerciaux.</t>
  </si>
  <si>
    <t xml:space="preserve">Environ 56 700 modules sur drupal.org (toutes versions), plus thèmes et recettes.</t>
  </si>
  <si>
    <t xml:space="preserve">https://www.drupal.org/project/project_module</t>
  </si>
  <si>
    <t xml:space="preserve">Environ un millier de plugins sur le Plugin Store (chiffre exact non publié), 17 catégories.</t>
  </si>
  <si>
    <t xml:space="preserve">Plusieurs centaines de plugins dans le répertoire officiel (chiffre exact non publié), 5 plugins de l'équipe.</t>
  </si>
  <si>
    <t xml:space="preserve">Environ 500 addons sur la marketplace officielle (503 en octobre 2026).</t>
  </si>
  <si>
    <t xml:space="preserve">Environ 170-180 plugins compatibles 4.x (15 pages de 12).</t>
  </si>
  <si>
    <t xml:space="preserve">https://octobercms.com/plugins/all/popular?p=1</t>
  </si>
  <si>
    <t xml:space="preserve">Plusieurs centaines de plugins et thèmes dans le répertoire GPM, plus une vingtaine de produits premium.</t>
  </si>
  <si>
    <t xml:space="preserve">Environ 15 plugins officiels et ~320 paquets npm marqués payload-plugin.</t>
  </si>
  <si>
    <t xml:space="preserve">https://www.npmjs.com/search?q=keywords:payload-plugin</t>
  </si>
  <si>
    <t xml:space="preserve">Une dizaine de plugins officiels (Pro, Multisite, Registration, Billing, Redirects, Mega Menu…) plus l'écosystème Filament.</t>
  </si>
  <si>
    <t xml:space="preserve">Pas d'extensions propres ; une dizaine de paquets Lara Zeus et le répertoire de plugins Filament.</t>
  </si>
  <si>
    <t xml:space="preserve">Gutenberg ~11 800 étoiles, miroir wordpress-develop ~3 400 ; WordPress propulse environ 40 % des sites web.</t>
  </si>
  <si>
    <t xml:space="preserve">https://github.com/WordPress/gutenberg</t>
  </si>
  <si>
    <t xml:space="preserve">Miroir GitHub drupal/drupal ~4 200 étoiles (dev sur git.drupalcode.org) ; Canvas ~14 600 sites.</t>
  </si>
  <si>
    <t xml:space="preserve">https://github.com/drupal/drupal</t>
  </si>
  <si>
    <t xml:space="preserve">Environ 3 600 étoiles et 700 forks sur craftcms/cms (octobre 2026).</t>
  </si>
  <si>
    <t xml:space="preserve">https://github.com/craftcms/cms</t>
  </si>
  <si>
    <t xml:space="preserve">Environ 1,5 k étoiles sur getkirby/kirby ; communauté de niche surtout européenne (agences, designers).</t>
  </si>
  <si>
    <t xml:space="preserve">https://github.com/getkirby/kirby</t>
  </si>
  <si>
    <t xml:space="preserve">~4,9 k étoiles sur statamic/cms ; 15 000+ sites, laravel.com tourne sur Statamic.</t>
  </si>
  <si>
    <t xml:space="preserve">https://github.com/statamic/cms</t>
  </si>
  <si>
    <t xml:space="preserve">Environ 11 100 étoiles et 2 200 forks.</t>
  </si>
  <si>
    <t xml:space="preserve">https://github.com/octobercms/october</t>
  </si>
  <si>
    <t xml:space="preserve">Environ 15 600 étoiles et 1 420 forks sur getgrav/grav.</t>
  </si>
  <si>
    <t xml:space="preserve">https://ossinsight.io/analyze/getgrav/grav</t>
  </si>
  <si>
    <t xml:space="preserve">Environ 45 000 étoiles et 4 300 forks sur GitHub (octobre 2026).</t>
  </si>
  <si>
    <t xml:space="preserve">https://github.com/payloadcms/payload</t>
  </si>
  <si>
    <t xml:space="preserve">Environ 75 étoiles GitHub et ~890 installations Packagist en octobre 2026.</t>
  </si>
  <si>
    <t xml:space="preserve">https://packagist.org/packages/tallcms/tallcms</t>
  </si>
  <si>
    <t xml:space="preserve">Environ 213 étoiles, 46 forks, ~33 500 installations Packagist (oct. 2026).</t>
  </si>
  <si>
    <t xml:space="preserve">https://packagist.org/packages/lara-zeus/sky</t>
  </si>
  <si>
    <t xml:space="preserve">Trois majeures par an environ (7.0 mai, 7.1 août, 7.2 prévue décembre 2026), mineures de sécurité fréquentes.</t>
  </si>
  <si>
    <t xml:space="preserve">https://make.wordpress.org/core/2026/09/02/wordpress-7-1-1-release-schedule/</t>
  </si>
  <si>
    <t xml:space="preserve">Mineure tous les 6 mois (juin/déc.), patchs mensuels ; Drupal 12 prévu décembre 2026.</t>
  </si>
  <si>
    <t xml:space="preserve">https://www.thedroptimes.com/node/70355</t>
  </si>
  <si>
    <t xml:space="preserve">Patches quasi hebdomadaires, version mineure tous les 3-4 mois (5.11.0 en septembre 2026).</t>
  </si>
  <si>
    <t xml:space="preserve">Majeure annuelle (SemVer), mineure tous les 2-3 mois (5.1 à 5.6 en 2025-2026), patchs fréquents.</t>
  </si>
  <si>
    <t xml:space="preserve">https://getkirby.com/releases</t>
  </si>
  <si>
    <t xml:space="preserve">Majeure annuelle (v6 janvier 2026), mineures quasi hebdomadaires (6.38.0 le 23/10/2026).</t>
  </si>
  <si>
    <t xml:space="preserve">https://statamic.com/release-notes</t>
  </si>
  <si>
    <t xml:space="preserve">Mineure tous les 2-3 mois (4.1 janv., 4.2 mars, 4.3 juin, 4.4 août 2026), correctifs hebdomadaires.</t>
  </si>
  <si>
    <t xml:space="preserve">Très élevée : 2.0 en juin 2026, 2.1 puis 2.2, 13 correctifs 2.2.x entre septembre et octobre 2026.</t>
  </si>
  <si>
    <t xml:space="preserve">Mineure tous les 2 à 4 semaines (3.85 en juin à 3.92 le 22 octobre 2026), v4 en bêta.</t>
  </si>
  <si>
    <t xml:space="preserve">https://www.npmjs.com/package/payload?activeTab=versions</t>
  </si>
  <si>
    <t xml:space="preserve">Très rapide : 151 tags depuis décembre 2025, plusieurs releases par mois (v4.9.1 le 21.09.2026).</t>
  </si>
  <si>
    <t xml:space="preserve">https://github.com/tallcms/tallcms/tags</t>
  </si>
  <si>
    <t xml:space="preserve">Faible : v5.0.0 et v5.0.1 en avril 2026, puis seulement des mises à jour de dépendances.</t>
  </si>
  <si>
    <t xml:space="preserve">https://github.com/lara-zeus/sky/releases</t>
  </si>
  <si>
    <t xml:space="preserve">Très vaste (handbooks, référence de code, Learn) mais hétérogène, docs blocs parfois en retard.</t>
  </si>
  <si>
    <t xml:space="preserve">Très abondante (guide utilisateur, api.drupal.org, change records) mais inégale selon les modules contrib.</t>
  </si>
  <si>
    <t xml:space="preserve">https://www.drupal.org/docs</t>
  </si>
  <si>
    <t xml:space="preserve">Très bonne : doc officielle structurée, badges d'édition et de version, référence API, base de connaissances.</t>
  </si>
  <si>
    <t xml:space="preserve">Très bonne : guide, référence exhaustive, cookbook, screencasts, Lab des composants Panel.</t>
  </si>
  <si>
    <t xml:space="preserve">Très bonne : statamic.dev complète, refondue en 2025, version optimisée IA.</t>
  </si>
  <si>
    <t xml:space="preserve">Bonne : docs 4.x structurées et à jour, exemples ; quelques pages incomplètes.</t>
  </si>
  <si>
    <t xml:space="preserve">Bonne : documentation versionnée 1.7/2.0 avec référence API, CLI et cookbook ; quelques pages 2.0 en retard.</t>
  </si>
  <si>
    <t xml:space="preserve">Très complète et versionnée par majeure (v2, v3), avec exemples de code et référence de chaque option.</t>
  </si>
  <si>
    <t xml:space="preserve">Doc Markdown structurée (site-owner, dev, référence) de bonne tenue mais jeune, hébergée dans le dépôt.</t>
  </si>
  <si>
    <t xml:space="preserve">Courte et sommaire (une dizaine de pages), lecture du code souvent nécessaire.</t>
  </si>
  <si>
    <t xml:space="preserve">Automattic (WordPress VIP, WordPress.com), agences et hébergeurs spécialisés ; aucun support pour le cœur auto-hébergé.</t>
  </si>
  <si>
    <t xml:space="preserve">https://wpvip.com/</t>
  </si>
  <si>
    <t xml:space="preserve">Large réseau d'agences certifiées Drupal Association, Acquia, Pantheon, support LTS tiers.</t>
  </si>
  <si>
    <t xml:space="preserve">https://www.drupal.org/drupal-services</t>
  </si>
  <si>
    <t xml:space="preserve">Support e-mail en Team/Pro, manager dédié en Enterprise, réseau de partenaires certifiés.</t>
  </si>
  <si>
    <t xml:space="preserve">Support e-mail pour licences ; pas de support technique payant, réseau de partenaires certifiés.</t>
  </si>
  <si>
    <t xml:space="preserve">https://getkirby.com/partners</t>
  </si>
  <si>
    <t xml:space="preserve">Support développeur inclus en Pro ; Enterprise avec SLA, 91 partenaires experts.</t>
  </si>
  <si>
    <t xml:space="preserve">https://statamic.com/enterprise</t>
  </si>
  <si>
    <t xml:space="preserve">Support plateforme gratuit pour licenciés et Premium Support payant ; partenaires.</t>
  </si>
  <si>
    <t xml:space="preserve">Trilby Media : support premium, suivi grav-premium-issues et développement sur mesure.</t>
  </si>
  <si>
    <t xml:space="preserve">Support Enterprise avec ingénieurs dédiés (Figma/Payload).</t>
  </si>
  <si>
    <t xml:space="preserve">Pas d'offre de support commercial formalisée ; issues et discussions GitHub, Discord.</t>
  </si>
  <si>
    <t xml:space="preserve">Formulaire de contact larazeus.com ; aucune offre de support payant affichée pour Sky.</t>
  </si>
  <si>
    <t xml:space="preserve">https://larazeus.com/contact-us</t>
  </si>
  <si>
    <t xml:space="preserve">Forums wordpress.org, Slack Make WordPress, WordCamps et meetups mondiaux, la plus grande communauté CMS.</t>
  </si>
  <si>
    <t xml:space="preserve">https://make.wordpress.org/chat/</t>
  </si>
  <si>
    <t xml:space="preserve">Très grande communauté : Slack Drupal, forums, DrupalCon, milliers de contributeurs crédités.</t>
  </si>
  <si>
    <t xml:space="preserve">https://www.drupal.org/community</t>
  </si>
  <si>
    <t xml:space="preserve">Discord officiel, Craft Stack Exchange, r/craftcms, conférence Dot All, CraftQuest ; communauté moyenne mais très active.</t>
  </si>
  <si>
    <t xml:space="preserve">https://craftcms.com/community</t>
  </si>
  <si>
    <t xml:space="preserve">Forum actif, Discord, newsletter Kosmos, ~50 meetups organisés et Kirby Konf 2026.</t>
  </si>
  <si>
    <t xml:space="preserve">https://community.getkirby.com/</t>
  </si>
  <si>
    <t xml:space="preserve">Discord ~5 800 membres, 281 contributeurs, équipe cœur de 6 personnes.</t>
  </si>
  <si>
    <t xml:space="preserve">https://statamic.com/about</t>
  </si>
  <si>
    <t xml:space="preserve">Communauté modeste : forum talk.octobercms.com et Discord.</t>
  </si>
  <si>
    <t xml:space="preserve">https://talk.octobercms.com</t>
  </si>
  <si>
    <t xml:space="preserve">Forum officiel sur getgrav.org et Discord actif ; communauté moyenne, cœur porté par une petite équipe.</t>
  </si>
  <si>
    <t xml:space="preserve">https://getgrav.org/forum</t>
  </si>
  <si>
    <t xml:space="preserve">Discord actif (discord.gg/payload) et GitHub Discussions, archive Community Help indexée.</t>
  </si>
  <si>
    <t xml:space="preserve">https://payloadcms.com/community-help</t>
  </si>
  <si>
    <t xml:space="preserve">Petite : Discord discord.gg/tallcms et GitHub Discussions, quelques contributeurs externes.</t>
  </si>
  <si>
    <t xml:space="preserve">Petite : canal Discord Lara Zeus et issues GitHub, mainteneur principal unique.</t>
  </si>
  <si>
    <t xml:space="preserve">Abilities API (registre unifié des capacités, PHP et JS)</t>
  </si>
  <si>
    <t xml:space="preserve">Registre de capacités typées (JSON Schema) exposables aux agents, à la palette de commandes et à MCP.</t>
  </si>
  <si>
    <t xml:space="preserve">WP AI Client et écran Connecteurs</t>
  </si>
  <si>
    <t xml:space="preserve">Interface d'IA agnostique du fournisseur dans le cœur, clés Anthropic/OpenAI/Google gérées dans Réglages &gt; Connecteurs.</t>
  </si>
  <si>
    <t xml:space="preserve">Block Bindings API</t>
  </si>
  <si>
    <t xml:space="preserve">Lier des attributs de blocs à des métadonnées ou sources personnalisées sans bloc dédié.</t>
  </si>
  <si>
    <t xml:space="preserve">https://developer.wordpress.org/block-editor/reference-guides/block-api/block-bindings/</t>
  </si>
  <si>
    <t xml:space="preserve">Pattern Overrides</t>
  </si>
  <si>
    <t xml:space="preserve">Compositions synchronisées dont certains contenus restent modifiables par instance, y compris pour blocs personnalisés (7.0).</t>
  </si>
  <si>
    <t xml:space="preserve">Visibilité des blocs par appareil</t>
  </si>
  <si>
    <t xml:space="preserve">Masquer un bloc en front ou par viewport (mobile/tablette/bureau) depuis 6.9/7.0.</t>
  </si>
  <si>
    <t xml:space="preserve">Styles globaux / theme.json (design tokens)</t>
  </si>
  <si>
    <t xml:space="preserve">Palette, typographie, espacements et styles par bloc centralisés et éditables visuellement.</t>
  </si>
  <si>
    <t xml:space="preserve">Styles responsive et états interactifs</t>
  </si>
  <si>
    <t xml:space="preserve">Styles par point de rupture configurable et états hover/focus/active sans CSS (7.1).</t>
  </si>
  <si>
    <t xml:space="preserve">Bibliothèque de polices (Font Library)</t>
  </si>
  <si>
    <t xml:space="preserve">Installation et gestion de polices Google ou uploadées, utilisable avec tous types de thèmes.</t>
  </si>
  <si>
    <t xml:space="preserve">Interactivity API</t>
  </si>
  <si>
    <t xml:space="preserve">API déclarative de directives (data-wp-*) pour l'interactivité front rendue côté serveur.</t>
  </si>
  <si>
    <t xml:space="preserve">https://developer.wordpress.org/block-editor/reference-guides/interactivity-api/</t>
  </si>
  <si>
    <t xml:space="preserve">Query Loop et blocs dynamiques</t>
  </si>
  <si>
    <t xml:space="preserve">Bloc Boucle de requête configurable visuellement pour lister des contenus filtrés.</t>
  </si>
  <si>
    <t xml:space="preserve">https://wordpress.org/documentation/article/query-loop-block/</t>
  </si>
  <si>
    <t xml:space="preserve">Système de commentaires intégré avec modération, liste noire, Akismet en option.</t>
  </si>
  <si>
    <t xml:space="preserve">https://wordpress.org/documentation/article/comments-screen/</t>
  </si>
  <si>
    <t xml:space="preserve">Flux RSS/Atom automatiques</t>
  </si>
  <si>
    <t xml:space="preserve">Flux par site, catégorie, auteur, recherche et commentaires.</t>
  </si>
  <si>
    <t xml:space="preserve">https://developer.wordpress.org/advanced-administration/wordpress/feeds/</t>
  </si>
  <si>
    <t xml:space="preserve">Intégrations oEmbed</t>
  </si>
  <si>
    <t xml:space="preserve">Collage d'URL YouTube, Vimeo, Spotify, etc. converti en embed ; WordPress est aussi fournisseur oEmbed.</t>
  </si>
  <si>
    <t xml:space="preserve">https://wordpress.org/documentation/article/embeds/</t>
  </si>
  <si>
    <t xml:space="preserve">Traitement des images côté navigateur</t>
  </si>
  <si>
    <t xml:space="preserve">Compression, redimensionnement, conversion HEIC/AVIF et vignettes réalisés dans le navigateur (7.1).</t>
  </si>
  <si>
    <t xml:space="preserve">Lightbox / galerie diaporama</t>
  </si>
  <si>
    <t xml:space="preserve">Agrandissement au clic des images et diaporama de galerie (7.0).</t>
  </si>
  <si>
    <t xml:space="preserve">Mode de récupération (fatal error protection)</t>
  </si>
  <si>
    <t xml:space="preserve">Détection des erreurs fatales et e-mail de lien de récupération désactivant le plugin fautif.</t>
  </si>
  <si>
    <t xml:space="preserve">https://make.wordpress.org/core/2019/04/16/fatal-error-recovery-mode-in-5-2/</t>
  </si>
  <si>
    <t xml:space="preserve">Rollback automatique des mises à jour de plugins</t>
  </si>
  <si>
    <t xml:space="preserve">Restauration de la version précédente si une mise à jour auto provoque une erreur fatale (6.6).</t>
  </si>
  <si>
    <t xml:space="preserve">https://make.wordpress.org/core/2024/06/25/wordpress-6-6-field-guide/</t>
  </si>
  <si>
    <t xml:space="preserve">Dépendances entre plugins</t>
  </si>
  <si>
    <t xml:space="preserve">En-tête Requires Plugins bloquant l'activation sans les dépendances (6.5).</t>
  </si>
  <si>
    <t xml:space="preserve">https://make.wordpress.org/core/2024/03/05/introducing-plugin-dependencies-in-wordpress-6-5/</t>
  </si>
  <si>
    <t xml:space="preserve">Site Health</t>
  </si>
  <si>
    <t xml:space="preserve">Diagnostics de configuration, performances et sécurité avec recommandations et infos de débogage.</t>
  </si>
  <si>
    <t xml:space="preserve">https://wordpress.org/documentation/article/site-health-screen/</t>
  </si>
  <si>
    <t xml:space="preserve">Speculative loading</t>
  </si>
  <si>
    <t xml:space="preserve">Pré-rendu/pré-chargement des liens au survol via Speculation Rules, réglable par constantes (7.1).</t>
  </si>
  <si>
    <t xml:space="preserve">https://make.wordpress.org/core/2025/03/06/speculative-loading-in-6-8/</t>
  </si>
  <si>
    <t xml:space="preserve">WordPress Playground et Blueprints</t>
  </si>
  <si>
    <t xml:space="preserve">WordPress complet dans le navigateur (WebAssembly), configurable par blueprints JSON pour démos, tests et prévisualisation de PR.</t>
  </si>
  <si>
    <t xml:space="preserve">https://developer.wordpress.org/playground/</t>
  </si>
  <si>
    <t xml:space="preserve">DataViews / DataForm</t>
  </si>
  <si>
    <t xml:space="preserve">Composants unifiés de listes (tableau, grille, filtres) et formulaires pour écrans admin et plugins.</t>
  </si>
  <si>
    <t xml:space="preserve">Liens de révision partageables</t>
  </si>
  <si>
    <t xml:space="preserve">URL pointant vers une révision précise pour la relecture (7.1).</t>
  </si>
  <si>
    <t xml:space="preserve">Mode d'édition simplifié (contentOnly)</t>
  </si>
  <si>
    <t xml:space="preserve">Verrouillage de la mise en page et édition du seul contenu des compositions et templates.</t>
  </si>
  <si>
    <t xml:space="preserve">Verrouillage de blocs et template locking</t>
  </si>
  <si>
    <t xml:space="preserve">Empêcher déplacement/suppression de blocs ou imposer un modèle de blocs par type de contenu.</t>
  </si>
  <si>
    <t xml:space="preserve">https://wordpress.org/documentation/article/block-locking/</t>
  </si>
  <si>
    <t xml:space="preserve">Icons API (collections SVG)</t>
  </si>
  <si>
    <t xml:space="preserve">Enregistrement de collections d'icônes SVG réutilisables dans les blocs (7.1).</t>
  </si>
  <si>
    <t xml:space="preserve">Menus de navigation et overlays par blocs</t>
  </si>
  <si>
    <t xml:space="preserve">Bloc Navigation et overlays mobiles construits en blocs (7.0).</t>
  </si>
  <si>
    <t xml:space="preserve">Shortcodes API</t>
  </si>
  <si>
    <t xml:space="preserve">Macros [shortcode] utilisables dans le contenu, encore supportées pour compatibilité.</t>
  </si>
  <si>
    <t xml:space="preserve">https://developer.wordpress.org/plugins/shortcodes/</t>
  </si>
  <si>
    <t xml:space="preserve">Application mobile officielle</t>
  </si>
  <si>
    <t xml:space="preserve">Apps Jetpack/WordPress iOS et Android pour éditer, modérer et consulter les stats.</t>
  </si>
  <si>
    <t xml:space="preserve">https://apps.wordpress.com/mobile/</t>
  </si>
  <si>
    <t xml:space="preserve">Views : constructeur de requêtes et listes sans code (pages, blocs, flux, REST)</t>
  </si>
  <si>
    <t xml:space="preserve">Requêtes, filtres exposés, relations, agrégations et sorties multiples configurables en UI.</t>
  </si>
  <si>
    <t xml:space="preserve">Modes d'affichage et de formulaire par bundle</t>
  </si>
  <si>
    <t xml:space="preserve">Plusieurs view modes et form modes par type ; page d'aperçu des modes depuis 11.4.</t>
  </si>
  <si>
    <t xml:space="preserve">Recettes (Recipes) composables avec saisie utilisateur</t>
  </si>
  <si>
    <t xml:space="preserve">Paquets de configuration/contenu appliqués à un site existant, avec questions (clés API) depuis 11.1.</t>
  </si>
  <si>
    <t xml:space="preserve">https://www.drupal.org/docs/extending-drupal/drupal-recipes</t>
  </si>
  <si>
    <t xml:space="preserve">Site templates (marketplace)</t>
  </si>
  <si>
    <t xml:space="preserve">Sites prêts à l'emploi (modèle, contenu, thème) installables, plus d'une douzaine, un payant.</t>
  </si>
  <si>
    <t xml:space="preserve">Code components Canvas (React/Preact + Tailwind) éditables dans le navigateur</t>
  </si>
  <si>
    <t xml:space="preserve">Composants JS/CSS créés en ligne ou en local, liés aux données de page et à des API.</t>
  </si>
  <si>
    <t xml:space="preserve">Régions globales et templates de contenu visuels (Canvas)</t>
  </si>
  <si>
    <t xml:space="preserve">Header/footer éditables visuellement et templates appliqués à tous les contenus d'un type.</t>
  </si>
  <si>
    <t xml:space="preserve">https://project.pages.drupalcode.org/canvas/code-components/workbench/regions</t>
  </si>
  <si>
    <t xml:space="preserve">Brand Kit Canvas</t>
  </si>
  <si>
    <t xml:space="preserve">Polices, couleurs et tokens de marque centralisés pour les composants.</t>
  </si>
  <si>
    <t xml:space="preserve">https://project.pages.drupalcode.org/canvas/code-components/brand-kit</t>
  </si>
  <si>
    <t xml:space="preserve">Revue groupée des changements avant publication (Canvas + Workspaces)</t>
  </si>
  <si>
    <t xml:space="preserve">Les modifications de plusieurs pages sont relues puis publiées en une fois.</t>
  </si>
  <si>
    <t xml:space="preserve">Cache tags / contexts / max-age et BigPipe</t>
  </si>
  <si>
    <t xml:space="preserve">Métadonnées de cache propagées dans le rendu, streaming BigPipe via HTMX.</t>
  </si>
  <si>
    <t xml:space="preserve">HTMX natif</t>
  </si>
  <si>
    <t xml:space="preserve">Interactions déclaratives par attributs HTML sans JS personnalisé (11.3).</t>
  </si>
  <si>
    <t xml:space="preserve">Access Policy API</t>
  </si>
  <si>
    <t xml:space="preserve">Politiques d'accès calculées (contexte, horaire, domaine) au-delà des rôles.</t>
  </si>
  <si>
    <t xml:space="preserve">Entity API unifiée et bundle classes</t>
  </si>
  <si>
    <t xml:space="preserve">Tout (nœuds, termes, médias, utilisateurs) est entité fieldable, révisionnable, traduisible ; classes PHP par bundle.</t>
  </si>
  <si>
    <t xml:space="preserve">https://www.drupal.org/docs/drupal-apis/entity-api</t>
  </si>
  <si>
    <t xml:space="preserve">Génération de JSON Schema des entités</t>
  </si>
  <si>
    <t xml:space="preserve">Schémas JSON produits depuis la config des champs (11.2).</t>
  </si>
  <si>
    <t xml:space="preserve">Icon API</t>
  </si>
  <si>
    <t xml:space="preserve">Packs d'icônes déclarés par modules/thèmes et réutilisables (11.1).</t>
  </si>
  <si>
    <t xml:space="preserve">Liens contextuels (contextual links)</t>
  </si>
  <si>
    <t xml:space="preserve">Crayon d'édition au survol des blocs, vues et contenus en front.</t>
  </si>
  <si>
    <t xml:space="preserve">https://www.drupal.org/docs/core-modules-and-themes/core-modules/contextual-module</t>
  </si>
  <si>
    <t xml:space="preserve">Gestion des menus éditable</t>
  </si>
  <si>
    <t xml:space="preserve">Menus multiples, hiérarchie glisser-déposer, liens depuis le formulaire de contenu.</t>
  </si>
  <si>
    <t xml:space="preserve">https://www.drupal.org/docs/user_guide/en/menu-concept.html</t>
  </si>
  <si>
    <t xml:space="preserve">ECA : automatisation no-code événement-condition-action</t>
  </si>
  <si>
    <t xml:space="preserve">Règles métier visuelles (modeleur BPMN), incluses dans Drupal CMS.</t>
  </si>
  <si>
    <t xml:space="preserve">Système de fichiers privé</t>
  </si>
  <si>
    <t xml:space="preserve">Fichiers servis via contrôle d'accès Drupal (private://).</t>
  </si>
  <si>
    <t xml:space="preserve">https://www.drupal.org/docs/user_guide/en/config-files.html</t>
  </si>
  <si>
    <t xml:space="preserve">Project Browser : installation de modules et recettes depuis l'admin</t>
  </si>
  <si>
    <t xml:space="preserve">Recherche et installation depuis drupal.org via Package Manager, sources extensibles.</t>
  </si>
  <si>
    <t xml:space="preserve">Hachage argon2id</t>
  </si>
  <si>
    <t xml:space="preserve">Option argon2id avec re-hachage à la connexion (11.4), défaut en Drupal 12.</t>
  </si>
  <si>
    <t xml:space="preserve">Compression Brotli des agrégats CSS/JS</t>
  </si>
  <si>
    <t xml:space="preserve">Fichiers agrégés pré-compressés en Brotli (11.4).</t>
  </si>
  <si>
    <t xml:space="preserve">Drupal CMS Launcher (application de bureau)</t>
  </si>
  <si>
    <t xml:space="preserve">Installe et lance Drupal CMS en local sans prérequis serveur.</t>
  </si>
  <si>
    <t xml:space="preserve">https://project.pages.drupalcode.org/drupal_cms/get-started/cms-launcher/</t>
  </si>
  <si>
    <t xml:space="preserve">Télémétrie anonyme d'usage (Drupal CMS)</t>
  </si>
  <si>
    <t xml:space="preserve">Envoi opt-out de données d'usage anonymes pour guider le produit.</t>
  </si>
  <si>
    <t xml:space="preserve">https://project.pages.drupalcode.org/drupal_cms/updates/telemetry/</t>
  </si>
  <si>
    <t xml:space="preserve">Champs spécialisés contrib (Address, Smart Date récurrent, Geofield)</t>
  </si>
  <si>
    <t xml:space="preserve">Adresses internationales, dates récurrentes et géodonnées, inclus dans Drupal CMS.</t>
  </si>
  <si>
    <t xml:space="preserve">https://www.drupal.org/project/smart_date</t>
  </si>
  <si>
    <t xml:space="preserve">Traduction de la configuration</t>
  </si>
  <si>
    <t xml:space="preserve">Libellés de champs, vues, menus et blocs traduisibles (Configuration Translation).</t>
  </si>
  <si>
    <t xml:space="preserve">Kernel tests avec requêtes HTTP</t>
  </si>
  <si>
    <t xml:space="preserve">HttpKernelUiHelperTrait pour tester des réponses HTTP sans navigateur (11.4).</t>
  </si>
  <si>
    <t xml:space="preserve">Token API</t>
  </si>
  <si>
    <t xml:space="preserve">Jetons dynamiques ([node:title]) utilisés par Pathauto, Metatag, e-mails.</t>
  </si>
  <si>
    <t xml:space="preserve">https://www.drupal.org/project/token</t>
  </si>
  <si>
    <t xml:space="preserve">Types d'entrées partagés avec alias de nom/handle par section ou Matrix</t>
  </si>
  <si>
    <t xml:space="preserve">Un même type d'entrée peut être renommé localement dans chaque section ou champ Matrix (5.6).</t>
  </si>
  <si>
    <t xml:space="preserve">Champs multi-instances avec surcharge par layout</t>
  </si>
  <si>
    <t xml:space="preserve">Un champ peut être placé plusieurs fois dans un layout avec libellé, handle et instructions propres.</t>
  </si>
  <si>
    <t xml:space="preserve">Élément Addresses et champ Addresses</t>
  </si>
  <si>
    <t xml:space="preserve">Adresses internationales structurées (commerceguys/addressing) pour utilisateurs et champs.</t>
  </si>
  <si>
    <t xml:space="preserve">https://craftcms.com/docs/5.x/reference/element-types/addresses.html</t>
  </si>
  <si>
    <t xml:space="preserve">Champ Link multi-type</t>
  </si>
  <si>
    <t xml:space="preserve">Champ unique pour URL, e-mail, téléphone, SMS, entrée, asset ou catégorie, avec attributs avancés.</t>
  </si>
  <si>
    <t xml:space="preserve">https://craftcms.com/docs/5.x/reference/field-types/link.html</t>
  </si>
  <si>
    <t xml:space="preserve">Champs Money, Icon, Color avec palette, Range, Button Group, JSON</t>
  </si>
  <si>
    <t xml:space="preserve">Types de champs spécialisés natifs couvrant devises, icônes Font Awesome, couleurs restreintes, JSON brut.</t>
  </si>
  <si>
    <t xml:space="preserve">Format de titre dynamique et titres non obligatoires</t>
  </si>
  <si>
    <t xml:space="preserve">Titre généré par template Twig par type d'entrée, utilisé même si le champ Titre est vide.</t>
  </si>
  <si>
    <t xml:space="preserve">Fusion de champs et de types d'entrées en CLI</t>
  </si>
  <si>
    <t xml:space="preserve">Commandes fields/merge, fields/auto-merge et entry-types/merge pour dédupliquer le schéma.</t>
  </si>
  <si>
    <t xml:space="preserve">Conversion catégories/tags/globals en sections (entrify)</t>
  </si>
  <si>
    <t xml:space="preserve">Commandes entrify qui migrent les anciens types d'éléments vers des entrées.</t>
  </si>
  <si>
    <t xml:space="preserve">Designer de cartes d'éléments</t>
  </si>
  <si>
    <t xml:space="preserve">Configuration des champs et attributs affichés dans les cartes et miniatures d'éléments.</t>
  </si>
  <si>
    <t xml:space="preserve">Sources d'index personnalisées par conditions</t>
  </si>
  <si>
    <t xml:space="preserve">Les admins créent des sources filtrées par règles de condition, stockées en project config.</t>
  </si>
  <si>
    <t xml:space="preserve">Éditeur en slideout et édition inline dans les index</t>
  </si>
  <si>
    <t xml:space="preserve">Édition d'éléments liés dans des panneaux latéraux et édition en ligne des colonnes d'index.</t>
  </si>
  <si>
    <t xml:space="preserve">Copier/coller d'entrées et blocs entre champs</t>
  </si>
  <si>
    <t xml:space="preserve">Actions Copier et Coller au-dessus pour entrées Matrix et adresses (5.7/5.10).</t>
  </si>
  <si>
    <t xml:space="preserve">Avertissement de suppression (deletion blockers)</t>
  </si>
  <si>
    <t xml:space="preserve">Modal signalant relations existantes avant suppression, avec remplacement des relations (5.10).</t>
  </si>
  <si>
    <t xml:space="preserve">Préférences d'accessibilité utilisateur</t>
  </si>
  <si>
    <t xml:space="preserve">Statuts par formes, liens soulignés, position des notifications et slideouts, fuseau horaire personnel.</t>
  </si>
  <si>
    <t xml:space="preserve">Utilitaires intégrés (Find &amp; Replace, sauvegarde DB, Queue Manager, Deprecation Warnings)</t>
  </si>
  <si>
    <t xml:space="preserve">Ensemble d'utilitaires admin désactivables via disabledUtilities.</t>
  </si>
  <si>
    <t xml:space="preserve">Reference tags</t>
  </si>
  <si>
    <t xml:space="preserve">Syntaxe {entry:123:url} parsée dans le contenu pour liens internes robustes.</t>
  </si>
  <si>
    <t xml:space="preserve">https://craftcms.com/docs/5.x/system/reference-tags.html</t>
  </si>
  <si>
    <t xml:space="preserve">Commandes resave en masse</t>
  </si>
  <si>
    <t xml:space="preserve">resave/* avec filtres, --set, --to-default, --batch-size pour migrations de données.</t>
  </si>
  <si>
    <t xml:space="preserve">Tags Twig métier (nav, paginate, requirePermission, redirect)</t>
  </si>
  <si>
    <t xml:space="preserve">Tags Twig dédiés aux menus hiérarchiques, pagination, contrôle d'accès et redirections.</t>
  </si>
  <si>
    <t xml:space="preserve">Safe mode et commande db/repair</t>
  </si>
  <si>
    <t xml:space="preserve">Mode sans plugins pour dépannage et réparation des structures de base (5.1/5.7).</t>
  </si>
  <si>
    <t xml:space="preserve">Passkeys et sessions élevées</t>
  </si>
  <si>
    <t xml:space="preserve">Connexion par passkey et re-authentification obligatoire pour actions sensibles (impersonation, suppression).</t>
  </si>
  <si>
    <t xml:space="preserve">Bac à sable Twig configurable</t>
  </si>
  <si>
    <t xml:space="preserve">enableTwigSandbox limite fonctions et filtres dans les templates saisis par les utilisateurs (5.9).</t>
  </si>
  <si>
    <t xml:space="preserve">preventUserEnumeration renvoie des réponses identiques lors de la réinitialisation.</t>
  </si>
  <si>
    <t xml:space="preserve">Statuts statiques avec commande update-statuses</t>
  </si>
  <si>
    <t xml:space="preserve">Option staticStatuses stockant les statuts, mis à jour par cron pour de meilleures performances.</t>
  </si>
  <si>
    <t xml:space="preserve">Versioning optionnel des entrées Matrix</t>
  </si>
  <si>
    <t xml:space="preserve">Réglage par champ Matrix pour activer ou non les révisions des entrées imbriquées (5.7).</t>
  </si>
  <si>
    <t xml:space="preserve">Liens d'aperçu tokenisés partageables</t>
  </si>
  <si>
    <t xml:space="preserve">URL d'aperçu sans compte, durée réglable via previewTokenDuration.</t>
  </si>
  <si>
    <t xml:space="preserve">Réglages e-mail par site</t>
  </si>
  <si>
    <t xml:space="preserve">Adresse, expéditeur et gabarit HTML surchargeables par site (5.6).</t>
  </si>
  <si>
    <t xml:space="preserve">Site affilié des utilisateurs</t>
  </si>
  <si>
    <t xml:space="preserve">Chaque utilisateur peut être rattaché à un site, utilisé pour e-mails et conditions (5.6).</t>
  </si>
  <si>
    <t xml:space="preserve">Hébergement officiel Craft Cloud</t>
  </si>
  <si>
    <t xml:space="preserve">Payant : hébergement managé avec CDN, cache statique, transformations en edge et licences Team/Pro incluses.</t>
  </si>
  <si>
    <t xml:space="preserve">Migration annoncée vers Laravel (Craft 6)</t>
  </si>
  <si>
    <t xml:space="preserve">Craft 6 sur Laravel en alpha depuis juillet 2026, GA prévue vers mars 2027 ; Craft 5 en LTS jusqu'en 2031.</t>
  </si>
  <si>
    <t xml:space="preserve">https://craftcms.com/knowledge-base/laravel-transition-planning</t>
  </si>
  <si>
    <t xml:space="preserve">Multi-boutiques et inventaire multi-emplacements</t>
  </si>
  <si>
    <t xml:space="preserve">Payant : Commerce 5 gère plusieurs boutiques et devises de base, avec emplacements d'inventaire.</t>
  </si>
  <si>
    <t xml:space="preserve">UUID et permaliens stables</t>
  </si>
  <si>
    <t xml:space="preserve">Chaque page/fichier/utilisateur reçoit un UUID ; liens /@/page/uuid survivant aux renommages et déplacements.</t>
  </si>
  <si>
    <t xml:space="preserve">Pages virtuelles (contenu externe)</t>
  </si>
  <si>
    <t xml:space="preserve">Pages construites depuis API, DB ou tableur via page models, éditables dans le Panel.</t>
  </si>
  <si>
    <t xml:space="preserve">https://getkirby.com/docs/guide/virtual-content</t>
  </si>
  <si>
    <t xml:space="preserve">Page models (classes PHP par template)</t>
  </si>
  <si>
    <t xml:space="preserve">Classe PHP par template pour ajouter méthodes et logique métier aux pages.</t>
  </si>
  <si>
    <t xml:space="preserve">https://getkirby.com/docs/guide/templates/page-models</t>
  </si>
  <si>
    <t xml:space="preserve">Query language dans les blueprints</t>
  </si>
  <si>
    <t xml:space="preserve">Syntaxe {{ page.xxx }} pour options dynamiques, libellés et valeurs ; nouveau runner AST avec opérateurs (5.1).</t>
  </si>
  <si>
    <t xml:space="preserve">https://github.com/getkirby/kirby/releases/tag/5.1.0</t>
  </si>
  <si>
    <t xml:space="preserve">Champ link universel</t>
  </si>
  <si>
    <t xml:space="preserve">Un champ pour URL, page, fichier, e-mail, téléphone, ancre ou lien custom.</t>
  </si>
  <si>
    <t xml:space="preserve">Blueprints PHP dynamiques</t>
  </si>
  <si>
    <t xml:space="preserve">Blueprints générés en PHP selon rôle, config ou contexte.</t>
  </si>
  <si>
    <t xml:space="preserve">Dialogue des changements de l'équipe</t>
  </si>
  <si>
    <t xml:space="preserve">Liste centralisée des modifications non publiées de tous les éditeurs, prévisualisables.</t>
  </si>
  <si>
    <t xml:space="preserve">Liens de prévisualisation partageables</t>
  </si>
  <si>
    <t xml:space="preserve">URL de preview des changements non publiés partageable avec relecteurs externes.</t>
  </si>
  <si>
    <t xml:space="preserve">KirbyTags</t>
  </si>
  <si>
    <t xml:space="preserve">Balises (image:), (link:), (video:)… dans le texte, extensibles par plugin.</t>
  </si>
  <si>
    <t xml:space="preserve">https://getkirby.com/docs/reference/plugins/extensions/kirbytags</t>
  </si>
  <si>
    <t xml:space="preserve">Boutons de vue personnalisés</t>
  </si>
  <si>
    <t xml:space="preserve">Boutons ajoutables à côté de Preview/Réglages (ex. Analytics, Promouvoir) via blueprint ou config.</t>
  </si>
  <si>
    <t xml:space="preserve">Upload par morceaux (chunked)</t>
  </si>
  <si>
    <t xml:space="preserve">Gros fichiers découpés pour contourner les limites d'upload PHP.</t>
  </si>
  <si>
    <t xml:space="preserve">Templates de fichiers</t>
  </si>
  <si>
    <t xml:space="preserve">Blueprint par type de fichier avec champs méta, règles d'acceptation et redimensionnement à l'upload.</t>
  </si>
  <si>
    <t xml:space="preserve">Aperçus de fichiers personnalisables</t>
  </si>
  <si>
    <t xml:space="preserve">Classe FilePreview extensible ; aperçus vidéo, audio, PDF natifs.</t>
  </si>
  <si>
    <t xml:space="preserve">Génération de QR codes</t>
  </si>
  <si>
    <t xml:space="preserve">Helper qr() et méthode de champ pour produire des QR codes.</t>
  </si>
  <si>
    <t xml:space="preserve">Représentations de contenu</t>
  </si>
  <si>
    <t xml:space="preserve">Même page servie en JSON/RSS/XML via template.json.php et URL /page.json.</t>
  </si>
  <si>
    <t xml:space="preserve">Négociation de contenu Markdown/JSON</t>
  </si>
  <si>
    <t xml:space="preserve">Kirby 6 : sortie selon l'en-tête Accept (utile pour agents IA).</t>
  </si>
  <si>
    <t xml:space="preserve">Contrôleurs de template</t>
  </si>
  <si>
    <t xml:space="preserve">Contrôleur PHP par template et contrôleur site global fusionné (5.0).</t>
  </si>
  <si>
    <t xml:space="preserve">Template stacks</t>
  </si>
  <si>
    <t xml:space="preserve">Kirby 6 : snippets poussant du contenu vers une pile rendue ailleurs (ex. head).</t>
  </si>
  <si>
    <t xml:space="preserve">Core components remplaçables</t>
  </si>
  <si>
    <t xml:space="preserve">Remplacement de composants cœur (url, markdown, smartypants, thumb, template, storage).</t>
  </si>
  <si>
    <t xml:space="preserve">Gestion des licences de plugins</t>
  </si>
  <si>
    <t xml:space="preserve">Plugins déclarant licence et statut, validation possible, affichés dans la vue Système.</t>
  </si>
  <si>
    <t xml:space="preserve">API JavaScript du Panel et Lab</t>
  </si>
  <si>
    <t xml:space="preserve">window.panel pour dialogues, drawers, notifications ; Lab documentant les composants UI.</t>
  </si>
  <si>
    <t xml:space="preserve">Guards (Kirby 6)</t>
  </si>
  <si>
    <t xml:space="preserve">Méthode guards() vérifiant si une action est disponible, permise et valide.</t>
  </si>
  <si>
    <t xml:space="preserve">Connexion par code (passwordless)</t>
  </si>
  <si>
    <t xml:space="preserve">Méthode code : connexion par code envoyé par e-mail, durée configurable.</t>
  </si>
  <si>
    <t xml:space="preserve">Passkeys (Kirby 6)</t>
  </si>
  <si>
    <t xml:space="preserve">Connexion au Panel par passkey et second facteur par utilisateur.</t>
  </si>
  <si>
    <t xml:space="preserve">Liens secrets de brouillons</t>
  </si>
  <si>
    <t xml:space="preserve">URL à jeton pour montrer un brouillon sans compte.</t>
  </si>
  <si>
    <t xml:space="preserve">Utilisateurs « kirby » et « nobody »</t>
  </si>
  <si>
    <t xml:space="preserve">Impersonation programmatique d'un super-utilisateur ou d'un utilisateur sans droits.</t>
  </si>
  <si>
    <t xml:space="preserve">Variables de langue éditables</t>
  </si>
  <si>
    <t xml:space="preserve">Chaînes traduites du front gérées dans la vue Langues du Panel.</t>
  </si>
  <si>
    <t xml:space="preserve">Option languages.detect selon Accept-Language.</t>
  </si>
  <si>
    <t xml:space="preserve">Pilote Redis natif depuis 5.0, en plus de fichier, APCu, Memcached.</t>
  </si>
  <si>
    <t xml:space="preserve">Dossiers personnalisables (roots)</t>
  </si>
  <si>
    <t xml:space="preserve">Racines (content, media, accounts…) configurables, ex. dossier public séparé.</t>
  </si>
  <si>
    <t xml:space="preserve">https://getkirby.com/docs/guide/configuration/custom-folder-setup</t>
  </si>
  <si>
    <t xml:space="preserve">Licence de développement gratuite</t>
  </si>
  <si>
    <t xml:space="preserve">Depuis 5.5, licence dev gratuite pour sites de staging non publics.</t>
  </si>
  <si>
    <t xml:space="preserve">CORS natif</t>
  </si>
  <si>
    <t xml:space="preserve">Option cors (bool/array/closure) avec gestion des requêtes preflight (5.2).</t>
  </si>
  <si>
    <t xml:space="preserve">Dates de support/EOL par branche en JSON (getkirby.com/security.json).</t>
  </si>
  <si>
    <t xml:space="preserve">https://getkirby.com/security.json</t>
  </si>
  <si>
    <t xml:space="preserve">Navigations (menus) arborescentes mêlant entrées, URL et textes avec champs custom</t>
  </si>
  <si>
    <t xml:space="preserve">Navs avec arbre par site, champs additionnels surchargeant les données d'entrée.</t>
  </si>
  <si>
    <t xml:space="preserve">https://statamic.dev/content-modeling/navigation</t>
  </si>
  <si>
    <t xml:space="preserve">Dictionnaires (listes d'options de sources externes)</t>
  </si>
  <si>
    <t xml:space="preserve">Fieldtype Dictionary (pays, fuseaux, devises) et dictionnaires custom via make:dictionary.</t>
  </si>
  <si>
    <t xml:space="preserve">https://statamic.dev/fieldtypes/dictionaries</t>
  </si>
  <si>
    <t xml:space="preserve">Cascade d'héritage des données (data inheritance)</t>
  </si>
  <si>
    <t xml:space="preserve">Variables résolues via partial, view model, entrée, origine, inject, globals, système.</t>
  </si>
  <si>
    <t xml:space="preserve">Valeurs par défaut calculées (computed defaults)</t>
  </si>
  <si>
    <t xml:space="preserve">Field::computedDefault() pour pré-remplir des champs à la création.</t>
  </si>
  <si>
    <t xml:space="preserve">Inject : valeurs par défaut au niveau collection</t>
  </si>
  <si>
    <t xml:space="preserve">Clé inject de collection fournissant des données surchargeables par entrée.</t>
  </si>
  <si>
    <t xml:space="preserve">Formats de titre automatiques</t>
  </si>
  <si>
    <t xml:space="preserve">Titres générés depuis d'autres champs, par site.</t>
  </si>
  <si>
    <t xml:space="preserve">Montage de collections sur une page</t>
  </si>
  <si>
    <t xml:space="preserve">Mount : entrées d'une collection deviennent sous-pages d'une entrée de structure.</t>
  </si>
  <si>
    <t xml:space="preserve">Aperçus visuels des sets (image/icône) dans le sélecteur de blocs</t>
  </si>
  <si>
    <t xml:space="preserve">Images de prévisualisation et icônes de sets Replicator/Bard, affichage liste ou grille (v6).</t>
  </si>
  <si>
    <t xml:space="preserve">Field actions (actions JS par champ)</t>
  </si>
  <si>
    <t xml:space="preserve">Actions personnalisées sur un champ (quick actions, confirmation, accès aux autres champs).</t>
  </si>
  <si>
    <t xml:space="preserve">https://statamic.dev/control-panel/field-actions</t>
  </si>
  <si>
    <t xml:space="preserve">Vue calendrier des collections</t>
  </si>
  <si>
    <t xml:space="preserve">Affichage calendrier des entrées datées (v6).</t>
  </si>
  <si>
    <t xml:space="preserve">https://statamic.com/blog/statamic-6</t>
  </si>
  <si>
    <t xml:space="preserve">Temps de lecture / nombre de mots dans l'éditeur</t>
  </si>
  <si>
    <t xml:space="preserve">Options reading_time et word_count de Bard.</t>
  </si>
  <si>
    <t xml:space="preserve">Extensions TipTap personnalisées</t>
  </si>
  <si>
    <t xml:space="preserve">Ajout/remplacement d'extensions et boutons Bard avec rendu PHP associé.</t>
  </si>
  <si>
    <t xml:space="preserve">Éditeur d'image (crop) avec ratios prédéfinis</t>
  </si>
  <si>
    <t xml:space="preserve">Recadrage enregistré en copie ou en remplacement, permissions dédiées.</t>
  </si>
  <si>
    <t xml:space="preserve">Renommage d'asset avec mise à jour des références</t>
  </si>
  <si>
    <t xml:space="preserve">Renommer/déplacer un asset met à jour le contenu qui le référence.</t>
  </si>
  <si>
    <t xml:space="preserve">Watermark et filtres d'image Glide</t>
  </si>
  <si>
    <t xml:space="preserve">Paramètres mark*, blur, sepia, sharpen… dans le tag Glide.</t>
  </si>
  <si>
    <t xml:space="preserve">Passkeys (WebAuthn) sans mot de passe</t>
  </si>
  <si>
    <t xml:space="preserve">Connexion par passkey au CP et en front (v6).</t>
  </si>
  <si>
    <t xml:space="preserve">Re-saisie mot de passe/code 15 min pour actions sensibles, middleware et API JS.</t>
  </si>
  <si>
    <t xml:space="preserve">https://statamic.dev/control-panel/elevated-sessions</t>
  </si>
  <si>
    <t xml:space="preserve">Schémas protect par entrée/collection, drivers custom.</t>
  </si>
  <si>
    <t xml:space="preserve">https://statamic.dev/frontend/protecting-content</t>
  </si>
  <si>
    <t xml:space="preserve">Trial Pro illimité en développement</t>
  </si>
  <si>
    <t xml:space="preserve">Fonctions Pro utilisables gratuitement sur domaines locaux/staging.</t>
  </si>
  <si>
    <t xml:space="preserve">Git Automation depuis le CP</t>
  </si>
  <si>
    <t xml:space="preserve">Payant : Pro – commits et push automatiques en queue à chaque sauvegarde.</t>
  </si>
  <si>
    <t xml:space="preserve">Stache (index flat-file en cache) avec warm parallèle</t>
  </si>
  <si>
    <t xml:space="preserve">Indexation du contenu fichier dans le cache Laravel, watcher auto, warm en parallèle.</t>
  </si>
  <si>
    <t xml:space="preserve">Cache Glide hybride (URL finale, génération au premier hit)</t>
  </si>
  <si>
    <t xml:space="preserve">Mode hybride de cache d'images (6.34).</t>
  </si>
  <si>
    <t xml:space="preserve">Préchauffage du cache statique (static:warm)</t>
  </si>
  <si>
    <t xml:space="preserve">Warm concurrent, en queue, uniquement les pages non cachées.</t>
  </si>
  <si>
    <t xml:space="preserve">Modules optionnels à l'installation et mise à jour des kits (2024).</t>
  </si>
  <si>
    <t xml:space="preserve">https://statamic.dev/starter-kits/updating-a-starter-kit</t>
  </si>
  <si>
    <t xml:space="preserve">Antlers dans Blade et tags Statamic en Blade</t>
  </si>
  <si>
    <t xml:space="preserve">Directive @antlers, composants &lt;s:...&gt; et API fluide Statamic::tag().</t>
  </si>
  <si>
    <t xml:space="preserve">https://statamic.dev/frontend/blade</t>
  </si>
  <si>
    <t xml:space="preserve">View models</t>
  </si>
  <si>
    <t xml:space="preserve">Classes PHP injectant des données calculées dans la cascade d'une vue.</t>
  </si>
  <si>
    <t xml:space="preserve">https://statamic.dev/frontend/view-models</t>
  </si>
  <si>
    <t xml:space="preserve">Actions personnalisées sur entrées/termes/assets</t>
  </si>
  <si>
    <t xml:space="preserve">make:action avec autorisation, champs de confirmation, téléchargement.</t>
  </si>
  <si>
    <t xml:space="preserve">Query scopes et filtres de listing</t>
  </si>
  <si>
    <t xml:space="preserve">Scopes réutilisables en templates et filtres personnalisés dans le CP.</t>
  </si>
  <si>
    <t xml:space="preserve">https://statamic.dev/backend-apis/query-scopes-and-filters</t>
  </si>
  <si>
    <t xml:space="preserve">Bibliothèque de composants UI du CP</t>
  </si>
  <si>
    <t xml:space="preserve">ui.statamic.dev : composants Vue/Blade réutilisables pour addons.</t>
  </si>
  <si>
    <t xml:space="preserve">https://ui.statamic.dev</t>
  </si>
  <si>
    <t xml:space="preserve">Préférences par utilisateur/rôle</t>
  </si>
  <si>
    <t xml:space="preserve">Préférences (navigation, colonnes, langue) par utilisateur, rôle ou défaut.</t>
  </si>
  <si>
    <t xml:space="preserve">https://statamic.dev/control-panel/preferences</t>
  </si>
  <si>
    <t xml:space="preserve">Utilitaires CP (cache, e-mail test, phpinfo, recherche)</t>
  </si>
  <si>
    <t xml:space="preserve">Outils de maintenance intégrés au CP.</t>
  </si>
  <si>
    <t xml:space="preserve">Validation en direct (Laravel Precognition)</t>
  </si>
  <si>
    <t xml:space="preserve">Validation temps réel des formulaires front via Alpine Precognition.</t>
  </si>
  <si>
    <t xml:space="preserve">Guidelines Laravel Boost pour agents IA</t>
  </si>
  <si>
    <t xml:space="preserve">Guidelines officielles fournies pour Laravel Boost (v6).</t>
  </si>
  <si>
    <t xml:space="preserve">Mailables Viewer</t>
  </si>
  <si>
    <t xml:space="preserve">Addon officiel gratuit pour prévisualiser les e-mails.</t>
  </si>
  <si>
    <t xml:space="preserve">https://statamic.com/sellers/statamic</t>
  </si>
  <si>
    <t xml:space="preserve">Types de blueprint stream (chronologique) et single en plus d'entry/structure</t>
  </si>
  <si>
    <t xml:space="preserve">Variantes de blueprint dédiées aux flux datés et aux pages uniques.</t>
  </si>
  <si>
    <t xml:space="preserve">Content groups : plusieurs types d'entrée dans une même section</t>
  </si>
  <si>
    <t xml:space="preserve">Propriété groups pour schémas différents par entrée, stockés dans content_group.</t>
  </si>
  <si>
    <t xml:space="preserve">Création rapide d'enregistrement lié (quickCreate)</t>
  </si>
  <si>
    <t xml:space="preserve">Option quickCreate du widget relation : popup de création sans quitter le formulaire.</t>
  </si>
  <si>
    <t xml:space="preserve">Data table (grille éditable) comme type de champ</t>
  </si>
  <si>
    <t xml:space="preserve">Widget datatable : colonnes typées, dépendances, tri, presse-papier, undo/redo.</t>
  </si>
  <si>
    <t xml:space="preserve">Commandes de cycle de schéma (tailor:prune, propagate, refresh)</t>
  </si>
  <si>
    <t xml:space="preserve">Nettoyage des colonnes inutilisées et propagation multisite rétroactive.</t>
  </si>
  <si>
    <t xml:space="preserve">Pagefinder : sélecteur de liens internes vers pages et entrées</t>
  </si>
  <si>
    <t xml:space="preserve">Widget pagefinder résolvant les URL des entrées Tailor et pages CMS.</t>
  </si>
  <si>
    <t xml:space="preserve">https://docs.octobercms.com/4.x/element/form/widget-pagefinder.html</t>
  </si>
  <si>
    <t xml:space="preserve">Modération des contenus utilisateurs (commentaires, avis)</t>
  </si>
  <si>
    <t xml:space="preserve">File Pending/Approve/Reject/Spam avec balayage spam par IP.</t>
  </si>
  <si>
    <t xml:space="preserve">Formulaires multi-étapes (wizard)</t>
  </si>
  <si>
    <t xml:space="preserve">Champs taggés par étape avec validation par étape.</t>
  </si>
  <si>
    <t xml:space="preserve">Snippets en ligne dans le rich editor</t>
  </si>
  <si>
    <t xml:space="preserve">Snippets inline insérés comme des puces dans le texte.</t>
  </si>
  <si>
    <t xml:space="preserve">Mise en page « document » plein écran pour formulaires</t>
  </si>
  <si>
    <t xml:space="preserve">displayMode: document avec barre d'outils et champs adaptatifs.</t>
  </si>
  <si>
    <t xml:space="preserve">Framework AJAX déclaratif (Larajax) et turbo router</t>
  </si>
  <si>
    <t xml:space="preserve">Attributs data-request, mise à jour de partials, navigation SPA, View Transitions.</t>
  </si>
  <si>
    <t xml:space="preserve">https://docs.octobercms.com/4.x/cms/ajax/introduction.html</t>
  </si>
  <si>
    <t xml:space="preserve">Composants Vue 3 dans les thèmes</t>
  </si>
  <si>
    <t xml:space="preserve">registerVueComponent et {% vuecomponents %} pour îlots Vue côté front.</t>
  </si>
  <si>
    <t xml:space="preserve">Partials avec props et sac d'attributs</t>
  </si>
  <si>
    <t xml:space="preserve">{% props %} façon composants Blade avec merge de classes.</t>
  </si>
  <si>
    <t xml:space="preserve">Thèmes stockés en base (multi-instance)</t>
  </si>
  <si>
    <t xml:space="preserve">Templates, assets, langues et blueprints en base pour clusters.</t>
  </si>
  <si>
    <t xml:space="preserve">Personnalisation du thème par formulaire (theme settings)</t>
  </si>
  <si>
    <t xml:space="preserve">Formulaire défini dans theme.yaml, valeurs utilisables en Twig et CSS.</t>
  </si>
  <si>
    <t xml:space="preserve">https://docs.octobercms.com/4.x/cms/themes/settings.html</t>
  </si>
  <si>
    <t xml:space="preserve">Seeding de thème (contenu de démo importable)</t>
  </si>
  <si>
    <t xml:space="preserve">Import de données Tailor, médias et langues depuis seeds/.</t>
  </si>
  <si>
    <t xml:space="preserve">Éditeur de traductions de thème (tableur)</t>
  </si>
  <si>
    <t xml:space="preserve">Section Languages de l'éditeur CMS en clé/valeur.</t>
  </si>
  <si>
    <t xml:space="preserve">Activation des plugins par site</t>
  </si>
  <si>
    <t xml:space="preserve">system_plugin_sites / site_groups masquent un plugin par site.</t>
  </si>
  <si>
    <t xml:space="preserve">Détection de la langue du navigateur</t>
  </si>
  <si>
    <t xml:space="preserve">Redirection automatique vers le site correspondant à la langue.</t>
  </si>
  <si>
    <t xml:space="preserve">Restrictions de sites par rôle admin</t>
  </si>
  <si>
    <t xml:space="preserve">Un site n'est visible qu'aux rôles autorisés.</t>
  </si>
  <si>
    <t xml:space="preserve">Fichiers joints traduisibles</t>
  </si>
  <si>
    <t xml:space="preserve">Trait TranslatableAttachments pour pièces jointes par langue.</t>
  </si>
  <si>
    <t xml:space="preserve">« Voir en tant que » un rôle</t>
  </si>
  <si>
    <t xml:space="preserve">Le super admin prévisualise l'admin avec les droits d'un rôle.</t>
  </si>
  <si>
    <t xml:space="preserve">Gestion des pairs administrateurs</t>
  </si>
  <si>
    <t xml:space="preserve">user_peer_management : gérer les admins de même niveau.</t>
  </si>
  <si>
    <t xml:space="preserve">Suivi créateur/modificateur (User Footprints)</t>
  </si>
  <si>
    <t xml:space="preserve">created_user_id / updated_user_id automatiques.</t>
  </si>
  <si>
    <t xml:space="preserve">Copier-coller de sélections dans le Media Finder</t>
  </si>
  <si>
    <t xml:space="preserve">Option useCopyPaste entre champs.</t>
  </si>
  <si>
    <t xml:space="preserve">Assets de thème sur disque partagé + CDN (october:mirror)</t>
  </si>
  <si>
    <t xml:space="preserve">Publication des assets sur S3 avec invalidation CDN.</t>
  </si>
  <si>
    <t xml:space="preserve">Image Docker et support DDEV</t>
  </si>
  <si>
    <t xml:space="preserve">Image Docker de dev et installation DDEV documentée.</t>
  </si>
  <si>
    <t xml:space="preserve">RainLab.Builder : génération visuelle de plugins</t>
  </si>
  <si>
    <t xml:space="preserve">Scaffolding de tables, modèles, formulaires, listes ; import de blueprints.</t>
  </si>
  <si>
    <t xml:space="preserve">https://octobercms.com/plugin/rainlab-builder</t>
  </si>
  <si>
    <t xml:space="preserve">Modules JS natifs (ESM) sans build</t>
  </si>
  <si>
    <t xml:space="preserve">Backend en ES modules avec import map, sans bundler.</t>
  </si>
  <si>
    <t xml:space="preserve">Data sources de tableaux de bord</t>
  </si>
  <si>
    <t xml:space="preserve">ReportQueryBuilder fluide avec regroupement par période.</t>
  </si>
  <si>
    <t xml:space="preserve">Marketplace intégré avec filtrage par version</t>
  </si>
  <si>
    <t xml:space="preserve">Installation de plugins/thèmes depuis l'admin, filtres par version.</t>
  </si>
  <si>
    <t xml:space="preserve">Sortie Markdown de toute page (.md ou Accept: text/markdown) avec en-tête X-Markdown-Tokens</t>
  </si>
  <si>
    <t xml:space="preserve">Rendu réduit au contenu principal, frontmatter YAML et liens parent/enfants pour les agents.</t>
  </si>
  <si>
    <t xml:space="preserve">Index llms.txt / llms-full.txt</t>
  </si>
  <si>
    <t xml:space="preserve">Plugin Sitemap génère llms.txt et, en option, llms-full.txt mis en cache.</t>
  </si>
  <si>
    <t xml:space="preserve">Manifestes d'outils MCP déclarés par les plugins (mcp.yaml)</t>
  </si>
  <si>
    <t xml:space="preserve">L'API expose les outils des plugins (Flex, KahunaCart…) que grav-mcp charge dynamiquement.</t>
  </si>
  <si>
    <t xml:space="preserve">Pages modulaires</t>
  </si>
  <si>
    <t xml:space="preserve">Une page composée de sous-pages-modules ordonnées, chacune avec son template.</t>
  </si>
  <si>
    <t xml:space="preserve">Flex Objects : collections de données arbitraires</t>
  </si>
  <si>
    <t xml:space="preserve">CRUD, stockage fichier/dossier en YAML/JSON, index, relations et rendu Twig.</t>
  </si>
  <si>
    <t xml:space="preserve">Collections de pages déclaratives dans le frontmatter</t>
  </si>
  <si>
    <t xml:space="preserve">Requêtes de collection (enfants, taxonomie, ofType/notOfType, tri, pagination) en YAML.</t>
  </si>
  <si>
    <t xml:space="preserve">Shortcodes</t>
  </si>
  <si>
    <t xml:space="preserve">Shortcode Core et plugins associés (notices, colonnes, etc.) pour enrichir le Markdown.</t>
  </si>
  <si>
    <t xml:space="preserve">Extensions Markdown configurables</t>
  </si>
  <si>
    <t xml:space="preserve">Listes de tâches, ==surlignage==, indices, extensions de tableaux et API de syntaxe personnalisée.</t>
  </si>
  <si>
    <t xml:space="preserve">Médias co-localisés dans le dossier de la page</t>
  </si>
  <si>
    <t xml:space="preserve">Chaque page possède ses fichiers, déplacés avec elle.</t>
  </si>
  <si>
    <t xml:space="preserve">Images Retina et srcset automatiques</t>
  </si>
  <si>
    <t xml:space="preserve">Fichiers @2x, action sizes et dérivés générés pour srcset.</t>
  </si>
  <si>
    <t xml:space="preserve">Filigrane d'images</t>
  </si>
  <si>
    <t xml:space="preserve">Action watermark et option watermark_all dans system.yaml.</t>
  </si>
  <si>
    <t xml:space="preserve">Optimisation/compression d'images en lot</t>
  </si>
  <si>
    <t xml:space="preserve">Payant : Image Optimize (Tinify, Kraken, reSmush.it, Rasterfox).</t>
  </si>
  <si>
    <t xml:space="preserve">https://getgrav.org/premium/image-optimize</t>
  </si>
  <si>
    <t xml:space="preserve">Formats de sortie multiples par page</t>
  </si>
  <si>
    <t xml:space="preserve">Une même page servie en .html, .json, .rss, .md via template_format.</t>
  </si>
  <si>
    <t xml:space="preserve">Filtres de taxonomie dans l'URL</t>
  </si>
  <si>
    <t xml:space="preserve">URL du type /blog/tag:grav pour filtrer les collections.</t>
  </si>
  <si>
    <t xml:space="preserve">Bac à sable Twig pour le contenu éditeur</t>
  </si>
  <si>
    <t xml:space="preserve">Twig dans le contenu désactivable, listes deny et rapport « Twig in Content » dans l'admin.</t>
  </si>
  <si>
    <t xml:space="preserve">Sonde d'exposition des dossiers sensibles</t>
  </si>
  <si>
    <t xml:space="preserve">Le tableau de bord Admin2 signale les fichiers de données ou sauvegardes accessibles publiquement.</t>
  </si>
  <si>
    <t xml:space="preserve">Accès aux médias soumis aux règles de la page</t>
  </si>
  <si>
    <t xml:space="preserve">Option pages.media_route_urls pour servir les médias via la route et appliquer l'accès de la page.</t>
  </si>
  <si>
    <t xml:space="preserve">Concurrence optimiste par ETag / If-Match</t>
  </si>
  <si>
    <t xml:space="preserve">Les écritures API renvoient 409 si la ressource a changé depuis la lecture.</t>
  </si>
  <si>
    <t xml:space="preserve">Clés API à portée et expiration, CORS et override de méthode HTTP</t>
  </si>
  <si>
    <t xml:space="preserve">Clés par utilisateur via CLI, quotas, CORS configurables, X-HTTP-Method-Override pour mutualisé.</t>
  </si>
  <si>
    <t xml:space="preserve">Mode démo avec réinitialisation</t>
  </si>
  <si>
    <t xml:space="preserve">Comptes démo à écriture limitée et remise à zéro de l'état du site.</t>
  </si>
  <si>
    <t xml:space="preserve">Connexion par lien magique et invitations</t>
  </si>
  <si>
    <t xml:space="preserve">Plugin Login : lien de connexion par e-mail et invitations à jeton.</t>
  </si>
  <si>
    <t xml:space="preserve">Gestionnaire de paquets GPM avec résolution de dépendances</t>
  </si>
  <si>
    <t xml:space="preserve">Installation et mise à jour CLI/admin, dépendances par génération de Grav, licences premium.</t>
  </si>
  <si>
    <t xml:space="preserve">Migration staged 1.x vers 2.0 côte à côte</t>
  </si>
  <si>
    <t xml:space="preserve">Plugin Migrate : site 2.0 construit dans un sous-dossier puis promu.</t>
  </si>
  <si>
    <t xml:space="preserve">Sauvegardes planifiées avec profils</t>
  </si>
  <si>
    <t xml:space="preserve">Profils de sauvegarde zip exécutés par le scheduler, rétention par nombre ou âge.</t>
  </si>
  <si>
    <t xml:space="preserve">Scheduler déclenché par webhook (sans cron)</t>
  </si>
  <si>
    <t xml:space="preserve">Plugin Scheduler Webhook, avec rattrapage des jobs manqués.</t>
  </si>
  <si>
    <t xml:space="preserve">https://github.com/getgrav/grav-plugin-scheduler-webhook</t>
  </si>
  <si>
    <t xml:space="preserve">Session paresseuse pour vues anonymes cachables</t>
  </si>
  <si>
    <t xml:space="preserve">session.lazy évite le cookie de session pour permettre le cache proxy/CDN.</t>
  </si>
  <si>
    <t xml:space="preserve">Navigateurs de pages arbre, liste et colonnes (Miller)</t>
  </si>
  <si>
    <t xml:space="preserve">Admin2 propose trois vues de l'arborescence avec glisser-déposer.</t>
  </si>
  <si>
    <t xml:space="preserve">Apparence par utilisateur (accent, police, taille)</t>
  </si>
  <si>
    <t xml:space="preserve">Couleur d'accent, police et taille de texte réglables par utilisateur ou par défaut de site.</t>
  </si>
  <si>
    <t xml:space="preserve">Applications premium : forum, helpdesk, commentaires, sondages, téléchargements</t>
  </si>
  <si>
    <t xml:space="preserve">Payant : Forum Pro, Helpdesk Pro, Comments Pro, Polls, Downloads Pro.</t>
  </si>
  <si>
    <t xml:space="preserve">Thème de documentation versionnée</t>
  </si>
  <si>
    <t xml:space="preserve">Payant : Helios (versions, recherche, import OpenAPI, Tailwind 4).</t>
  </si>
  <si>
    <t xml:space="preserve">https://learn.getgrav.org/20/grav-premium/helios</t>
  </si>
  <si>
    <t xml:space="preserve">Champ Point géospatial (GeoJSON) avec requêtes near/within</t>
  </si>
  <si>
    <t xml:space="preserve">Coordonnées indexées 2dsphere, requêtes de proximité.</t>
  </si>
  <si>
    <t xml:space="preserve">https://payloadcms.com/docs/fields/point</t>
  </si>
  <si>
    <t xml:space="preserve">Champs JSON et Code avec éditeur Monaco et schéma JSON</t>
  </si>
  <si>
    <t xml:space="preserve">Champs json (validation JSON Schema) et code avec coloration syntaxique.</t>
  </si>
  <si>
    <t xml:space="preserve">https://payloadcms.com/docs/fields/json</t>
  </si>
  <si>
    <t xml:space="preserve">Champs de mise en page (tabs, row, collapsible, ui)</t>
  </si>
  <si>
    <t xml:space="preserve">Structurent le formulaire sans affecter les données.</t>
  </si>
  <si>
    <t xml:space="preserve">https://payloadcms.com/docs/fields/tabs</t>
  </si>
  <si>
    <t xml:space="preserve">Ordre manuel par glisser-déposer (orderable)</t>
  </si>
  <si>
    <t xml:space="preserve">Indexation fractionnaire pour réordonner documents et joins.</t>
  </si>
  <si>
    <t xml:space="preserve">https://payloadcms.com/docs/configuration/collections#orderable</t>
  </si>
  <si>
    <t xml:space="preserve">Plusieurs collections d'utilisateurs auth indépendantes</t>
  </si>
  <si>
    <t xml:space="preserve">Admins et clients dans des collections auth distinctes.</t>
  </si>
  <si>
    <t xml:space="preserve">Features Lexical personnalisées (nœuds, toolbars, convertisseurs)</t>
  </si>
  <si>
    <t xml:space="preserve">API pour créer ses propres features d'éditeur et rendus HTML/JSX.</t>
  </si>
  <si>
    <t xml:space="preserve">https://payloadcms.com/docs/rich-text/custom-features</t>
  </si>
  <si>
    <t xml:space="preserve">Copie vers une autre locale</t>
  </si>
  <si>
    <t xml:space="preserve">Bouton Copy to Locale pour dupliquer le contenu d'une langue.</t>
  </si>
  <si>
    <t xml:space="preserve">Barre d'admin front-end</t>
  </si>
  <si>
    <t xml:space="preserve">@payloadcms/admin-bar affiche liens d'édition et mode aperçu sur le site.</t>
  </si>
  <si>
    <t xml:space="preserve">https://github.com/payloadcms/payload/tree/main/packages/admin-bar</t>
  </si>
  <si>
    <t xml:space="preserve">Vercel Content Link (édition visuelle par stéganographie)</t>
  </si>
  <si>
    <t xml:space="preserve">Payant : Enterprise, relie le texte affiché au champ source sur Vercel.</t>
  </si>
  <si>
    <t xml:space="preserve">https://payloadcms.com/docs/integrations/vercel-content-link</t>
  </si>
  <si>
    <t xml:space="preserve">A/B testing statique de contenu</t>
  </si>
  <si>
    <t xml:space="preserve">Payant : variantes A/B livrées statiquement en Enterprise.</t>
  </si>
  <si>
    <t xml:space="preserve">Local API typée sans HTTP</t>
  </si>
  <si>
    <t xml:space="preserve">Accès direct à la base depuis le code serveur avec contrôle d'accès optionnel.</t>
  </si>
  <si>
    <t xml:space="preserve">Endpoints REST personnalisés par collection/global</t>
  </si>
  <si>
    <t xml:space="preserve">Tableau endpoints dans la config, montés sous /api.</t>
  </si>
  <si>
    <t xml:space="preserve">Select API et defaultPopulate</t>
  </si>
  <si>
    <t xml:space="preserve">Sélection des champs retournés et population ciblée des relations.</t>
  </si>
  <si>
    <t xml:space="preserve">Limites de complexité GraphQL et maxDepth</t>
  </si>
  <si>
    <t xml:space="preserve">Protection contre les requêtes abusives.</t>
  </si>
  <si>
    <t xml:space="preserve">Transactions base de données</t>
  </si>
  <si>
    <t xml:space="preserve">Opérations transactionnelles sur Postgres, SQLite et MongoDB (replica set).</t>
  </si>
  <si>
    <t xml:space="preserve">https://payloadcms.com/docs/database/transactions</t>
  </si>
  <si>
    <t xml:space="preserve">Accès direct à Drizzle / Mongoose</t>
  </si>
  <si>
    <t xml:space="preserve">payload.db.drizzle pour requêtes SQL brutes.</t>
  </si>
  <si>
    <t xml:space="preserve">https://payloadcms.com/docs/database/postgres</t>
  </si>
  <si>
    <t xml:space="preserve">Adaptateur KV (Redis)</t>
  </si>
  <si>
    <t xml:space="preserve">@payloadcms/kv-redis pour stockage clé-valeur partagé.</t>
  </si>
  <si>
    <t xml:space="preserve">https://github.com/payloadcms/payload/tree/main/packages/kv-redis</t>
  </si>
  <si>
    <t xml:space="preserve">Déploiement serverless / edge (Cloudflare D1, Vercel)</t>
  </si>
  <si>
    <t xml:space="preserve">Adaptateurs db-d1-sqlite, db-vercel-postgres, storage-r2 et templates dédiés.</t>
  </si>
  <si>
    <t xml:space="preserve">https://payloadcms.com/docs/database/sqlite</t>
  </si>
  <si>
    <t xml:space="preserve">Upload direct client vers stockage (clientUploads)</t>
  </si>
  <si>
    <t xml:space="preserve">Contourne les limites serverless de taille d'upload.</t>
  </si>
  <si>
    <t xml:space="preserve">Upload depuis URL distante (pasteURL)</t>
  </si>
  <si>
    <t xml:space="preserve">Coller une URL, fetch côté serveur avec allowList.</t>
  </si>
  <si>
    <t xml:space="preserve">https://payloadcms.com/docs/upload/overview#uploading-files-from-remote-urls</t>
  </si>
  <si>
    <t xml:space="preserve">Query Presets (vues de liste enregistrées et partageables)</t>
  </si>
  <si>
    <t xml:space="preserve">Filtres, colonnes et tri sauvegardés avec contrôle d'accès.</t>
  </si>
  <si>
    <t xml:space="preserve">https://payloadcms.com/docs/query-presets/overview</t>
  </si>
  <si>
    <t xml:space="preserve">Groupement par champ dans la vue liste (groupBy)</t>
  </si>
  <si>
    <t xml:space="preserve">Bêta : regroupe les documents par valeur de champ.</t>
  </si>
  <si>
    <t xml:space="preserve">Préférences utilisateur persistées</t>
  </si>
  <si>
    <t xml:space="preserve">Colonnes, tri, onglets mémorisés par utilisateur.</t>
  </si>
  <si>
    <t xml:space="preserve">https://payloadcms.com/docs/admin/preferences</t>
  </si>
  <si>
    <t xml:space="preserve">useAPIKey sur la collection auth.</t>
  </si>
  <si>
    <t xml:space="preserve">https://payloadcms.com/docs/authentication/api-keys</t>
  </si>
  <si>
    <t xml:space="preserve">Contrôle d'accès par locale</t>
  </si>
  <si>
    <t xml:space="preserve">Les fonctions d'accès reçoivent la locale demandée.</t>
  </si>
  <si>
    <t xml:space="preserve">https://payloadcms.com/docs/access-control/overview#locale-specific-access-control</t>
  </si>
  <si>
    <t xml:space="preserve">Sessions révocables (useSessions)</t>
  </si>
  <si>
    <t xml:space="preserve">Sessions activées par défaut, révocables contrairement aux JWT sans état.</t>
  </si>
  <si>
    <t xml:space="preserve">Workflows multi-étapes avec retries</t>
  </si>
  <si>
    <t xml:space="preserve">Workflows de tâches reprenables après échec.</t>
  </si>
  <si>
    <t xml:space="preserve">https://payloadcms.com/docs/jobs-queue/workflows</t>
  </si>
  <si>
    <t xml:space="preserve">Codemods de migration entre majeures</t>
  </si>
  <si>
    <t xml:space="preserve">@payloadcms/codemod automatise les changements cassants v3 vers v4.</t>
  </si>
  <si>
    <t xml:space="preserve">https://payloadcms.com/docs/migration-guide/overview</t>
  </si>
  <si>
    <t xml:space="preserve">Monitoring d'erreurs Sentry</t>
  </si>
  <si>
    <t xml:space="preserve">@payloadcms/plugin-sentry capture les erreurs serveur.</t>
  </si>
  <si>
    <t xml:space="preserve">Intégration dans l'app Next.js (même projet)</t>
  </si>
  <si>
    <t xml:space="preserve">Admin et API montés dans /app de Next.js, un seul déploiement.</t>
  </si>
  <si>
    <t xml:space="preserve">Double mode de distribution : CMS standalone ou plugin ajouté à un panel Filament existant</t>
  </si>
  <si>
    <t xml:space="preserve">Même package tallcms/cms en application complète ou via composer require dans une app Filament.</t>
  </si>
  <si>
    <t xml:space="preserve">Panneau Outline des blocs avec réordonnancement par glisser-déposer</t>
  </si>
  <si>
    <t xml:space="preserve">Liste vivante des blocs du document, clic pour défiler, poignée pour réordonner.</t>
  </si>
  <si>
    <t xml:space="preserve">Chrome par bloc (monter, descendre, dupliquer, replier)</t>
  </si>
  <si>
    <t xml:space="preserve">Mini-barre au survol de chaque bloc ; repli en carte résumé pour les longues pages.</t>
  </si>
  <si>
    <t xml:space="preserve">Blocs récemment utilisés et recherche classée</t>
  </si>
  <si>
    <t xml:space="preserve">Les 5 derniers blocs insérés sont épinglés ; recherche multi-mots avec classement.</t>
  </si>
  <si>
    <t xml:space="preserve">Animations au scroll par bloc</t>
  </si>
  <si>
    <t xml:space="preserve">Fade, slide, zoom avec durée configurable sur les blocs ; stagger dans Pro.</t>
  </si>
  <si>
    <t xml:space="preserve">https://github.com/tallcms/tallcms/blob/main/docs/site-blocks-animations.md</t>
  </si>
  <si>
    <t xml:space="preserve">Blocs premium (Accordion, Tabs, Table, Comparison, Before/After, Video, Counter, Code, Map)</t>
  </si>
  <si>
    <t xml:space="preserve">Payant : 9 blocs supplémentaires de TallCMS Pro, watermark sans licence.</t>
  </si>
  <si>
    <t xml:space="preserve">Largeur de contenu par page et par bloc</t>
  </si>
  <si>
    <t xml:space="preserve">Narrow, Standard, Wide ou Full Width, héritable de la page.</t>
  </si>
  <si>
    <t xml:space="preserve">Merge tags dans le contenu</t>
  </si>
  <si>
    <t xml:space="preserve">Variables {{contact_email}}, {{company_phone}}, réseaux sociaux remplacées au rendu.</t>
  </si>
  <si>
    <t xml:space="preserve">Snapshots manuels épinglés avec notes</t>
  </si>
  <si>
    <t xml:space="preserve">Jalons de révision nommés, conservés séparément des révisions automatiques.</t>
  </si>
  <si>
    <t xml:space="preserve">Liens d'aperçu partageables expirables</t>
  </si>
  <si>
    <t xml:space="preserve">Jetons d'aperçu sans login (1 h à 30 j), multiples et révocables par permission dédiée.</t>
  </si>
  <si>
    <t xml:space="preserve">Suivi de relecture éditoriale (E-E-A-T)</t>
  </si>
  <si>
    <t xml:space="preserve">Champs dernière relecture, relecteur expert et sources par entrée ; signalement des contenus non revus.</t>
  </si>
  <si>
    <t xml:space="preserve">Navigation</t>
  </si>
  <si>
    <t xml:space="preserve">Gestionnaire de menus par emplacements</t>
  </si>
  <si>
    <t xml:space="preserve">Menus drag-and-drop, emplacements, types d'éléments, traduction des libellés.</t>
  </si>
  <si>
    <t xml:space="preserve">https://github.com/tallcms/tallcms/blob/main/docs/site-menus.md</t>
  </si>
  <si>
    <t xml:space="preserve">Mega menu, top bar et règles de visibilité</t>
  </si>
  <si>
    <t xml:space="preserve">Plugin Mega Menu : 4 en-têtes, colonnes, badges, CTA, visibilité par rôle, en-tête sticky.</t>
  </si>
  <si>
    <t xml:space="preserve">https://github.com/tallcms/tallcms/blob/main/docs/site-mega-menu.md</t>
  </si>
  <si>
    <t xml:space="preserve">Widgets de barre latérale configurables par page</t>
  </si>
  <si>
    <t xml:space="preserve">Articles récents, catégories, table des matières auto, recherche, HTML ; registre extensible.</t>
  </si>
  <si>
    <t xml:space="preserve">Mode site one-page (SPA)</t>
  </si>
  <si>
    <t xml:space="preserve">Toutes les pages rendues en sections d'ancre sur l'accueil, liens convertis automatiquement.</t>
  </si>
  <si>
    <t xml:space="preserve">Presets daisyUI et sélecteur de thème visiteur</t>
  </si>
  <si>
    <t xml:space="preserve">Thèmes basés sur presets daisyUI, theme controller clair/sombre côté visiteur.</t>
  </si>
  <si>
    <t xml:space="preserve">https://github.com/tallcms/tallcms/blob/main/docs/dev-theme-switcher.md</t>
  </si>
  <si>
    <t xml:space="preserve">Blog</t>
  </si>
  <si>
    <t xml:space="preserve">Commentaires natifs avec modération</t>
  </si>
  <si>
    <t xml:space="preserve">Commentaires invités ou connectés, réponses imbriquées, honeypot, modération, notifications.</t>
  </si>
  <si>
    <t xml:space="preserve">https://github.com/tallcms/tallcms/blob/main/docs/site-comments.md</t>
  </si>
  <si>
    <t xml:space="preserve">Flux RSS globaux et par catégorie</t>
  </si>
  <si>
    <t xml:space="preserve">RSS 2.0 sur /feed et /feed/category/{slug}, extrait ou contenu complet.</t>
  </si>
  <si>
    <t xml:space="preserve">Archives par auteur avec profils</t>
  </si>
  <si>
    <t xml:space="preserve">Pages /author/{slug} avec profil auteur et JSON-LD.</t>
  </si>
  <si>
    <t xml:space="preserve">Articles mis en avant et temps de lecture</t>
  </si>
  <si>
    <t xml:space="preserve">Drapeau Featured exploité par le bloc Posts ; temps de lecture calculé.</t>
  </si>
  <si>
    <t xml:space="preserve">Génération de llms.txt</t>
  </si>
  <si>
    <t xml:space="preserve">Fichier llms.txt optionnel avec préambule éditable pour les crawlers IA.</t>
  </si>
  <si>
    <t xml:space="preserve">Injection de code par site (head, body start, body end)</t>
  </si>
  <si>
    <t xml:space="preserve">Snippets analytics, pixels, chat par site, cachés et sans effet sur l'admin.</t>
  </si>
  <si>
    <t xml:space="preserve">Héritage Global Defaults / overrides par site</t>
  </si>
  <si>
    <t xml:space="preserve">Overrides créés seulement si la valeur diffère du défaut global, supprimés sinon.</t>
  </si>
  <si>
    <t xml:space="preserve">Vérification DNS de domaines personnalisés et TLS</t>
  </si>
  <si>
    <t xml:space="preserve">Payant : Multisite vérifie A/CNAME, re-vérifie périodiquement, révoque le TLS en échec.</t>
  </si>
  <si>
    <t xml:space="preserve">SaaS site-builder : plans, quotas, inscription, facturation Stripe</t>
  </si>
  <si>
    <t xml:space="preserve">Payant : Multisite + Registration + Billing, rôle site_owner, galerie de templates de site.</t>
  </si>
  <si>
    <t xml:space="preserve">Updater signé avec sauvegarde et quarantaine des fichiers modifiés</t>
  </si>
  <si>
    <t xml:space="preserve">Vérification Ed25519, backup fichiers+DB, détection des fichiers locaux modifiés, rollback.</t>
  </si>
  <si>
    <t xml:space="preserve">Gestionnaire de plugins et thèmes par upload ZIP avec validation de sécurité</t>
  </si>
  <si>
    <t xml:space="preserve">Installation ZIP, emplacements PHP autorisés, motifs de routes dangereux bloqués, sauvegardes.</t>
  </si>
  <si>
    <t xml:space="preserve">Gestion de licences de plugins intégrée</t>
  </si>
  <si>
    <t xml:space="preserve">Activation des licences officielles via proxy tallcms.com dans l'admin.</t>
  </si>
  <si>
    <t xml:space="preserve">Commande de diagnostic</t>
  </si>
  <si>
    <t xml:space="preserve">tallcms:diagnose détecte les configurations publiées obsolètes et problèmes courants.</t>
  </si>
  <si>
    <t xml:space="preserve">Documentation OpenAPI générée</t>
  </si>
  <si>
    <t xml:space="preserve">Docs d'API générables via Scribe et servies sur /api/docs.</t>
  </si>
  <si>
    <t xml:space="preserve">Synchronisation des formulaires vers Mailchimp, ConvertKit, Brevo</t>
  </si>
  <si>
    <t xml:space="preserve">Payant : TallCMS Pro, jobs en file avec 3 tentatives, configurable par site.</t>
  </si>
  <si>
    <t xml:space="preserve">Articles épinglés (sticky) avec date d'expiration</t>
  </si>
  <si>
    <t xml:space="preserve">Champ sticky_until mettant un article en avant jusqu'à une date.</t>
  </si>
  <si>
    <t xml:space="preserve">Contenus protégés par mot de passe</t>
  </si>
  <si>
    <t xml:space="preserve">Statut privé avec mot de passe ; formulaire de saisie en front (stocké en clair).</t>
  </si>
  <si>
    <t xml:space="preserve">Articles liés automatiques</t>
  </si>
  <si>
    <t xml:space="preserve">Quatre articles partageant une catégorie affichés sous chaque article.</t>
  </si>
  <si>
    <t xml:space="preserve">Addon FAQ</t>
  </si>
  <si>
    <t xml:space="preserve">Ressource questions/réponses traduisibles, classées par tags, avec page publique.</t>
  </si>
  <si>
    <t xml:space="preserve">Addon Bibliothèque (documents téléchargeables)</t>
  </si>
  <si>
    <t xml:space="preserve">Fichiers, images, vidéos par upload ou URL, types configurables via libraryTypes().</t>
  </si>
  <si>
    <t xml:space="preserve">Image mise en avant par upload ou URL externe</t>
  </si>
  <si>
    <t xml:space="preserve">Bascule entre upload medialibrary et URL distante ; image par défaut configurable.</t>
  </si>
  <si>
    <t xml:space="preserve">Constructeur de menus (navigation builder)</t>
  </si>
  <si>
    <t xml:space="preserve">Menus par handle avec glisser-déposer, sous-éléments et liens vers articles, pages, bibliothèques ou URL.</t>
  </si>
  <si>
    <t xml:space="preserve">Types d'éléments de menu extensibles</t>
  </si>
  <si>
    <t xml:space="preserve">itemType() et withExtraFields() du plugin pour ajouter ses propres types de liens.</t>
  </si>
  <si>
    <t xml:space="preserve">Éditeur de contenu interchangeable</t>
  </si>
  <si>
    <t xml:space="preserve">Interface ContentEditor ; Markdown, RichEditor, TinyEditor ou tout plugin Filament d'éditeur.</t>
  </si>
  <si>
    <t xml:space="preserve">Parseurs de contenu en chaîne</t>
  </si>
  <si>
    <t xml:space="preserve">Liste de classes invoquées sur le HTML rendu (shortcodes maison), configurables dans zeus-sky.php.</t>
  </si>
  <si>
    <t xml:space="preserve">Insertion de formulaires Bolt dans le contenu</t>
  </si>
  <si>
    <t xml:space="preserve">Balise &lt;bolt&gt;slug&lt;/bolt&gt; remplacée par le composant Livewire du formulaire.</t>
  </si>
  <si>
    <t xml:space="preserve">Modèles surchargeables globalement ou par panneau</t>
  </si>
  <si>
    <t xml:space="preserve">Modèles et énums remplaçables dans la config ou via -&gt;models() par panneau.</t>
  </si>
  <si>
    <t xml:space="preserve">Ressources désactivables / masquables individuellement</t>
  </si>
  <si>
    <t xml:space="preserve">postResource(false), hideResources() pour composer son propre CMS.</t>
  </si>
  <si>
    <t xml:space="preserve">Badges de navigation configurables</t>
  </si>
  <si>
    <t xml:space="preserve">Compteurs par ressource affichables ou masquables.</t>
  </si>
  <si>
    <t xml:space="preserve">Domaine et middleware dédiés aux routes du blog</t>
  </si>
  <si>
    <t xml:space="preserve">Clés domain et middleware de la config (ex. blog réservé aux connectés).</t>
  </si>
  <si>
    <t xml:space="preserve">Surlignage des résultats de recherche</t>
  </si>
  <si>
    <t xml:space="preserve">Termes encapsulés dans une classe CSS configurable, avec exclusions.</t>
  </si>
  <si>
    <t xml:space="preserve">https://github.com/lara-zeus/sky/blob/main/src/Livewire/SearchHelpers.php</t>
  </si>
  <si>
    <t xml:space="preserve">Pages de taxonomie publiques</t>
  </si>
  <si>
    <t xml:space="preserve">Route {type}/{slug} listant les contenus d'un tag ou d'une catégorie.</t>
  </si>
  <si>
    <t xml:space="preserve">Widgets de barre latérale front</t>
  </si>
  <si>
    <t xml:space="preserve">Partials récents, catégories, pages, auteurs, recherche.</t>
  </si>
  <si>
    <t xml:space="preserve">https://github.com/lara-zeus/sky/blob/main/resources/views/themes/zeus/sky/partial/sidebar.blade.php</t>
  </si>
  <si>
    <t xml:space="preserve">Multilingue</t>
  </si>
  <si>
    <t xml:space="preserve">Commande de migration vers le multilingue</t>
  </si>
  <si>
    <t xml:space="preserve">sky:migrate convertit les contenus existants au format JSON traduisible.</t>
  </si>
  <si>
    <t xml:space="preserve">https://github.com/lara-zeus/sky/blob/main/src/Console/migrateCommand.php</t>
  </si>
  <si>
    <t xml:space="preserve">URL courtes via Lara Zeus Helen</t>
  </si>
  <si>
    <t xml:space="preserve">Action « obtenir un lien court » ajoutée aux articles/pages si Helen est installé.</t>
  </si>
  <si>
    <t xml:space="preserve">Thèmes Artemis (Daisy, Breeze, Another Portfolio)</t>
  </si>
  <si>
    <t xml:space="preserve">Thèmes communs aux paquets Zeus ; Artemis limité à Filament v3, plus maintenu.</t>
  </si>
  <si>
    <t xml:space="preserve">Modèle auteur configurable</t>
  </si>
  <si>
    <t xml:space="preserve">Relation author basée sur le modèle utilisateur de auth, surchargeable (ex. LDAP).</t>
  </si>
  <si>
    <t xml:space="preserve">Type</t>
  </si>
  <si>
    <t xml:space="preserve">Élément</t>
  </si>
  <si>
    <t xml:space="preserve">Point fort</t>
  </si>
  <si>
    <t xml:space="preserve">Écosystème inégalé : plus de 76 000 plugins et 8 700 thèmes gratuits, installables en un clic depuis l'admin.</t>
  </si>
  <si>
    <t xml:space="preserve">Éditeur de blocs et Site Editor matures : patterns synchronisés avec overrides, styles globaux theme.json, styles responsive et états interactifs sans CSS.</t>
  </si>
  <si>
    <t xml:space="preserve">Système de hooks actions/filtres omniprésent, permettant de modifier presque tout comportement sans toucher au cœur.</t>
  </si>
  <si>
    <t xml:space="preserve">Mises à jour en un clic et automatiques (cœur, plugins, traductions) avec rollback et mode de récupération après erreur fatale.</t>
  </si>
  <si>
    <t xml:space="preserve">Socle IA en avance : WP AI Client, écran Connecteurs, Abilities API et plugin MCP Adapter pour exposer le site aux agents.</t>
  </si>
  <si>
    <t xml:space="preserve">Outils RGPD natifs (export/effacement, page de confidentialité guidée) et notes de relecture intégrées à l'éditeur.</t>
  </si>
  <si>
    <t xml:space="preserve">Hébergeable partout, y compris sur mutualisé bas de gamme, avec installeur web et WP-CLI très complet.</t>
  </si>
  <si>
    <t xml:space="preserve">Rétrocompatibilité forte et communauté mondiale (traductions dans plus de 200 locales).</t>
  </si>
  <si>
    <t xml:space="preserve">À reprendre</t>
  </si>
  <si>
    <t xml:space="preserve">Un registre d'« abilities » typées (JSON Schema) partagé entre palette de commandes, API et serveur MCP, à brancher sur les actions Filament.</t>
  </si>
  <si>
    <t xml:space="preserve">Patterns synchronisés avec overrides par instance : blocs réutilisables dont certains champs restent éditables localement.</t>
  </si>
  <si>
    <t xml:space="preserve">Design tokens centralisés type theme.json, éditables visuellement et consommés par le front et l'éditeur.</t>
  </si>
  <si>
    <t xml:space="preserve">Notes inline sur sélection de texte avec @mentions et résolution, liées aux révisions et liens de révision partageables.</t>
  </si>
  <si>
    <t xml:space="preserve">Révisions visuelles avec curseur de comparaison et navigation vers les changements dans le rendu.</t>
  </si>
  <si>
    <t xml:space="preserve">Traitement des images côté navigateur (compression, AVIF/HEIC, vignettes) pour décharger un serveur mutualisé.</t>
  </si>
  <si>
    <t xml:space="preserve">Mode de récupération qui désactive automatiquement une extension fautive et rollback des mises à jour défaillantes.</t>
  </si>
  <si>
    <t xml:space="preserve">Outils RGPD exportateurs/effaceurs extensibles par module, avec page de confidentialité alimentée par chaque extension.</t>
  </si>
  <si>
    <t xml:space="preserve">Limite</t>
  </si>
  <si>
    <t xml:space="preserve">Modélisation de contenu pauvre dans le cœur : champs, relations et options nécessitent Secure Custom Fields ou ACF, schéma EAV (postmeta) peu performant.</t>
  </si>
  <si>
    <t xml:space="preserve">Pas de multilingue natif : dépendance à WPML/Polylang, repoussé à la phase 4 de Gutenberg.</t>
  </si>
  <si>
    <t xml:space="preserve">Configuration et contenu mêlés en base : synchronisation dev/staging/prod et versionnement Git difficiles, Site Editor stockant les templates en base.</t>
  </si>
  <si>
    <t xml:space="preserve">Fonctions essentielles absentes du cœur (cache de page, 2FA, limitation de connexion, redirections, SEO meta, formulaires), d'où une accumulation de plugins et une surface d'attaque élevée côté écosystème.</t>
  </si>
  <si>
    <t xml:space="preserve">Architecture PHP sans framework moderne (pas de migrations, file d'attente, routeur déclaratif ni injection de dépendances), WP-Cron dépendant du trafic.</t>
  </si>
  <si>
    <t xml:space="preserve">Collaboration temps réel toujours expérimentale (retirée de 7.0, absente de 7.1).</t>
  </si>
  <si>
    <t xml:space="preserve">Modélisation de contenu la plus riche : Entity API unifiée, champs, révisions et traduction sur toutes les entités.</t>
  </si>
  <si>
    <t xml:space="preserve">Views : constructeur de requêtes et listes sans code, sorties HTML, flux et API.</t>
  </si>
  <si>
    <t xml:space="preserve">Multilingue de référence dans le cœur (contenu, config, interface, URL par langue).</t>
  </si>
  <si>
    <t xml:space="preserve">Séparation config/contenu exemplaire : config sync YAML, recettes, déploiement sans écraser la prod.</t>
  </si>
  <si>
    <t xml:space="preserve">Workspaces natif pour préparer et publier un lot de contenus en staging sur le live.</t>
  </si>
  <si>
    <t xml:space="preserve">Cache tags/contexts avec invalidation précise, BigPipe, Dynamic Page Cache.</t>
  </si>
  <si>
    <t xml:space="preserve">Headless natif via JSON:API sans configuration, plus SDK Canvas Headless.</t>
  </si>
  <si>
    <t xml:space="preserve">Sécurité mature : équipe sécurité, advisories planifiées, couverture des modules contrib stables.</t>
  </si>
  <si>
    <t xml:space="preserve">Cache tags automatiques par entité et invalidation ciblée de toutes les sorties qui l'affichent.</t>
  </si>
  <si>
    <t xml:space="preserve">Recettes composables (config + contenu + questions) appliquables à un site existant, en commande Artisan.</t>
  </si>
  <si>
    <t xml:space="preserve">Workspaces : espace de staging de contenu publiable en lot, avec revue groupée des changements.</t>
  </si>
  <si>
    <t xml:space="preserve">Constructeur de listes type Views en Filament (requête, filtres exposés, rendu bloc/page/API).</t>
  </si>
  <si>
    <t xml:space="preserve">Modes d'affichage multiples par type (teaser, carte, complet) choisis par contexte.</t>
  </si>
  <si>
    <t xml:space="preserve">Workflows configurables (états, transitions, permissions par transition) appliqués à tout modèle.</t>
  </si>
  <si>
    <t xml:space="preserve">Code components éditables dans le navigateur liés à un Brand Kit, à la manière de Canvas.</t>
  </si>
  <si>
    <t xml:space="preserve">Génération de JSON Schema des modèles pour API, IA et validation front.</t>
  </si>
  <si>
    <t xml:space="preserve">Courbe d'apprentissage élevée et nombreuses fonctions de base (SEO, URL auto, redirections, formulaires) dépendant de modules contrib.</t>
  </si>
  <si>
    <t xml:space="preserve">Exige Composer/CLI : peu adapté au mutualisé et mises à jour automatiques encore limitées.</t>
  </si>
  <si>
    <t xml:space="preserve">Expérience éditeur historiquement rigide ; Canvas récent et encore en évolution rapide.</t>
  </si>
  <si>
    <t xml:space="preserve">Pas de commerce, de corbeille, de diff ni de publication programmée dans le cœur.</t>
  </si>
  <si>
    <t xml:space="preserve">Migrations majeures et dépréciations fréquentes (modules retirés en 11 et 12) qui pèsent sur la maintenance.</t>
  </si>
  <si>
    <t xml:space="preserve">Modélisation très souple : types d'entrées globaux réutilisables, Matrix imbriqué à volonté, Content Block, champs multi-instances.</t>
  </si>
  <si>
    <t xml:space="preserve">Project Config YAML : schéma versionné dans Git et déployé sans toucher au contenu de production.</t>
  </si>
  <si>
    <t xml:space="preserve">Système de conditions omniprésent : visibilité et éditabilité des champs, sources d'index, relations sélectionnables.</t>
  </si>
  <si>
    <t xml:space="preserve">Brouillons provisoires auto-sauvegardés avec fusion des changements upstream et Live Preview partagé par token.</t>
  </si>
  <si>
    <t xml:space="preserve">Multi-site et multilingue natifs fins : propagation par entrée et méthode de traduction par champ.</t>
  </si>
  <si>
    <t xml:space="preserve">API GraphQL native avec schémas à permissions, mutations et cache invalidé par tags.</t>
  </si>
  <si>
    <t xml:space="preserve">Admin soignée et accessible (WCAG 2.2 AA), cartes d'éléments configurables, slideouts, copier/coller.</t>
  </si>
  <si>
    <t xml:space="preserve">Écosystème de plugins commerciaux de qualité (SEOmatic, Blitz, Formie, Retour) et plugins officiels gratuits.</t>
  </si>
  <si>
    <t xml:space="preserve">Stocker tout le schéma (types, champs, layouts) en YAML versionné avec verrou allowAdminChanges en production.</t>
  </si>
  <si>
    <t xml:space="preserve">Types d'entrées globaux réutilisables comme blocs de page builder et comme types de section, avec alias locaux.</t>
  </si>
  <si>
    <t xml:space="preserve">Constructeur de conditions générique réutilisé pour champs, sources d'index et filtres de relations.</t>
  </si>
  <si>
    <t xml:space="preserve">Brouillons provisoires automatiques par utilisateur, fusion des modifications live et liens d'aperçu tokenisés.</t>
  </si>
  <si>
    <t xml:space="preserve">Generated Fields : champs calculés par expression, stockés et triables dans les tables admin.</t>
  </si>
  <si>
    <t xml:space="preserve">Méthodes de propagation multi-site et de traduction par champ (site, groupe, langue).</t>
  </si>
  <si>
    <t xml:space="preserve">Deletion blockers : avertir des relations avant suppression et proposer un remplacement.</t>
  </si>
  <si>
    <t xml:space="preserve">Commandes CLI resave/merge pour refactorer le schéma et les données en masse.</t>
  </si>
  <si>
    <t xml:space="preserve">Fonctions clés payantes : rôles, groupes, permissions et inscription front réservés à Pro, SSO à Enterprise.</t>
  </si>
  <si>
    <t xml:space="preserve">SEO, formulaires, redirections avancées et cache de pages dépendent de plugins tiers payants.</t>
  </si>
  <si>
    <t xml:space="preserve">Pas de workflow éditorial, de statuts personnalisés ni de co-édition temps réel natifs.</t>
  </si>
  <si>
    <t xml:space="preserve">Aucun système de thèmes : chaque front est développé sur mesure en Twig.</t>
  </si>
  <si>
    <t xml:space="preserve">Pas de planificateur natif ni d'outil de synchronisation de contenu entre environnements.</t>
  </si>
  <si>
    <t xml:space="preserve">Transition vers Laravel (Craft 6) qui impose une migration des plugins et modules à moyen terme.</t>
  </si>
  <si>
    <t xml:space="preserve">Flat-file pur : contenu, schémas et config en fichiers, tout le site versionnable dans Git et déployable sur mutualisé sans base.</t>
  </si>
  <si>
    <t xml:space="preserve">Blueprints YAML/PHP très expressifs avec extends (champs, onglets, sections réutilisables) et query language.</t>
  </si>
  <si>
    <t xml:space="preserve">Panel épuré et cohérent, très apprécié des éditeurs, avec mode sombre, preview des changements et liens partageables.</t>
  </si>
  <si>
    <t xml:space="preserve">Gestion serveur des changements non publiés (versions changes/latest) avec verrouillage et vue d'équipe.</t>
  </si>
  <si>
    <t xml:space="preserve">Extensibilité profonde : 56 types d'extensions, Panel areas, core components remplaçables.</t>
  </si>
  <si>
    <t xml:space="preserve">Pages virtuelles : contenu externe (API, DB) traité comme des pages natives éditables.</t>
  </si>
  <si>
    <t xml:space="preserve">UUID et permaliens stables qui survivent aux déplacements et renommages.</t>
  </si>
  <si>
    <t xml:space="preserve">Documentation, cookbook et politique de sécurité/support de versions exemplaires.</t>
  </si>
  <si>
    <t xml:space="preserve">Stocker les brouillons de modifications côté serveur (version « changes » distincte de « latest ») avec dialogue des changements de toute l'équipe.</t>
  </si>
  <si>
    <t xml:space="preserve">Liens de prévisualisation partageables à jeton pour relecteurs externes, avec vue comparaison publié/modifié.</t>
  </si>
  <si>
    <t xml:space="preserve">Schémas de contenu en fichiers avec mécanisme extends pour champs, onglets et sections réutilisables.</t>
  </si>
  <si>
    <t xml:space="preserve">Représentations de contenu par extension d'URL (/page.json, .rss) et négociation de contenu Markdown pour agents IA.</t>
  </si>
  <si>
    <t xml:space="preserve">Pages virtuelles : brancher une source externe et l'éditer dans l'admin comme du contenu natif.</t>
  </si>
  <si>
    <t xml:space="preserve">Permaliens UUID (/@/page/uuid) pour des liens internes indestructibles.</t>
  </si>
  <si>
    <t xml:space="preserve">Boutons de vue personnalisables et aperçus de fichiers extensibles par classe.</t>
  </si>
  <si>
    <t xml:space="preserve">Licence de développement gratuite et politique de support publiée en JSON.</t>
  </si>
  <si>
    <t xml:space="preserve">Pas de révisions, publication programmée, corbeille ni workflow d'approbation dans le cœur.</t>
  </si>
  <si>
    <t xml:space="preserve">Aucun SEO natif (meta, sitemap, redirections) : tout passe par des plugins tiers.</t>
  </si>
  <si>
    <t xml:space="preserve">Pas de form builder, d'e-commerce ni de file d'attente ; écosystème de plugins plus restreint que WordPress/Craft.</t>
  </si>
  <si>
    <t xml:space="preserve">Flat-file limité pour les gros volumes, contenus relationnels complexes et requêtes avancées.</t>
  </si>
  <si>
    <t xml:space="preserve">Licence payante par domaine et pas de mises à jour en un clic depuis le Panel.</t>
  </si>
  <si>
    <t xml:space="preserve">Pas de groupes d'utilisateurs ni de permissions par champ ou par propriétaire.</t>
  </si>
  <si>
    <t xml:space="preserve">Flat-file par défaut avec tout (contenu, blueprints, config) versionnable dans Git, et bascule vers SQL par dépôt via Eloquent Driver.</t>
  </si>
  <si>
    <t xml:space="preserve">Intégration Laravel native : c'est un package installable dans une app existante, Blade et Antlers au choix.</t>
  </si>
  <si>
    <t xml:space="preserve">Modélisation très riche : 48 fieldtypes, Bard/Replicator avec aperçus visuels, champs conditionnels, computed values.</t>
  </si>
  <si>
    <t xml:space="preserve">Live Preview avancé (hot reload, preview targets, appareils, preview headless par token) disponible même en Core.</t>
  </si>
  <si>
    <t xml:space="preserve">Static caching sophistiqué (half/full measure, règles d'invalidation, warm concurrent, re-cache en arrière-plan).</t>
  </si>
  <si>
    <t xml:space="preserve">Control Panel v6 moderne : command palette, mode sombre, 2FA/passkeys, sessions élevées, calendrier.</t>
  </si>
  <si>
    <t xml:space="preserve">Git Automation qui commit/push le contenu édité en production.</t>
  </si>
  <si>
    <t xml:space="preserve">Documentation de grande qualité et rythme de releases très soutenu.</t>
  </si>
  <si>
    <t xml:space="preserve">Stocker blueprints/fieldsets en YAML versionnable avec édition bidirectionnelle CP ↔ fichiers.</t>
  </si>
  <si>
    <t xml:space="preserve">Drivers de stockage interchangeables par dépôt (fichiers ou Eloquent) avec commandes import/export.</t>
  </si>
  <si>
    <t xml:space="preserve">Live Preview à preview targets multiples, sélecteur d'appareils et morphing HTML sans rechargement.</t>
  </si>
  <si>
    <t xml:space="preserve">Cascade de données (entrée → origine → inject collection → globals) pour les fallbacks multilingues.</t>
  </si>
  <si>
    <t xml:space="preserve">Static cache avec règles d'invalidation déclaratives par collection et préchauffage en queue.</t>
  </si>
  <si>
    <t xml:space="preserve">Sessions élevées (re-vérification) pour les actions sensibles et passkeys WebAuthn.</t>
  </si>
  <si>
    <t xml:space="preserve">Field actions par champ et command palette extensible en PHP/JS.</t>
  </si>
  <si>
    <t xml:space="preserve">Aperçus image/icône des blocs dans le sélecteur de sets.</t>
  </si>
  <si>
    <t xml:space="preserve">Fonctions essentielles (rôles, révisions, multilingue, API, white-label) réservées à Pro, payant par site.</t>
  </si>
  <si>
    <t xml:space="preserve">SEO de base (meta, sitemap, redirections) non natif : SEO Pro payant ou addon tiers.</t>
  </si>
  <si>
    <t xml:space="preserve">Pas de corbeille, d'autosave, de diff de révisions ni de workflow éditorial multi-étapes.</t>
  </si>
  <si>
    <t xml:space="preserve">API REST/GraphQL en lecture seule et pas de webhooks natifs.</t>
  </si>
  <si>
    <t xml:space="preserve">Pas d'installeur web ni de mise à jour depuis l'admin ; mutualisé peu adapté.</t>
  </si>
  <si>
    <t xml:space="preserve">Flat-file peu adapté aux très gros volumes sans Eloquent Driver.</t>
  </si>
  <si>
    <t xml:space="preserve">Tailor : schémas YAML qui génèrent tables, formulaires, listes, navigation et permissions sans code</t>
  </si>
  <si>
    <t xml:space="preserve">Vraie application Laravel : plugins, Eloquent, queues, scheduler et paquets Laravel directement utilisables</t>
  </si>
  <si>
    <t xml:space="preserve">Multisite et multilingue très complets dans le cœur (groupes, modes sync/locale, URL traduites, plugins par site)</t>
  </si>
  <si>
    <t xml:space="preserve">Framework AJAX déclaratif (Larajax) et turbo router, utilisables sans build JS</t>
  </si>
  <si>
    <t xml:space="preserve">Thèmes en fichiers (versionnables) avec option base de données pour le multi-instance</t>
  </si>
  <si>
    <t xml:space="preserve">Soumissions utilisateur natives (4.4) avec modération, anti-spam et notifications</t>
  </si>
  <si>
    <t xml:space="preserve">Outillage IA officiel (Boost + MCP) et debugbar dédiée</t>
  </si>
  <si>
    <t xml:space="preserve">Backend soigné : mode document, mode sombre, white-label, tableaux de bord par rôle</t>
  </si>
  <si>
    <t xml:space="preserve">Déclarer les types de contenu en YAML/PHP versionnable et générer automatiquement migrations, ressources Filament et permissions</t>
  </si>
  <si>
    <t xml:space="preserve">Variantes de types (entry, stream, structure, single, global, submission, mixin) avec comportements prêts à l'emploi</t>
  </si>
  <si>
    <t xml:space="preserve">Modes de synchronisation multisite par type (sync, all, locale) et repeaters translatable: sync</t>
  </si>
  <si>
    <t xml:space="preserve">File de modération des soumissions front avec balayage spam par IP et purge automatique</t>
  </si>
  <si>
    <t xml:space="preserve">Permissions générées par type, incluant « entrées d'autres auteurs » et séparation brouillon/publication</t>
  </si>
  <si>
    <t xml:space="preserve">Pagefinder : sélecteur unifié de liens internes résolvant les URL des pages et entrées</t>
  </si>
  <si>
    <t xml:space="preserve">Seeding de thème/starter (contenu, médias, blueprints) importable en une commande</t>
  </si>
  <si>
    <t xml:space="preserve">Serveur MCP exposant schémas, plugins et structure du thème aux agents IA</t>
  </si>
  <si>
    <t xml:space="preserve">Pas d'API REST/GraphQL générée : le mode headless demande de coder les endpoints</t>
  </si>
  <si>
    <t xml:space="preserve">Historique des versions Tailor non terminé : ni diff ni restauration dans l'interface</t>
  </si>
  <si>
    <t xml:space="preserve">SEO et sitemap reposant sur des plugins (RainLab.Sitemap non testé sur v4)</t>
  </si>
  <si>
    <t xml:space="preserve">Licence propriétaire payante pour les mises à jour, écosystème réduit (~175 plugins v4)</t>
  </si>
  <si>
    <t xml:space="preserve">Pas de constructeur visuel de schémas ni d'éditeur de blocs moderne, de workflow éditorial ou de collaboration temps réel</t>
  </si>
  <si>
    <t xml:space="preserve">Pas de 2FA admin native ni de journal d'audit complet</t>
  </si>
  <si>
    <t xml:space="preserve">Flat-file pur : tout le site (contenu, config, comptes) tient dans user/, versionnable dans Git et déployable sans base de données.</t>
  </si>
  <si>
    <t xml:space="preserve">Architecture API-first en 2.0 : Admin2 est une SPA qui passe uniquement par l'API REST publique.</t>
  </si>
  <si>
    <t xml:space="preserve">IA et agents pris au sérieux : serveur MCP officiel, pages servies en Markdown, llms.txt, outils MCP déclarés par plugin.</t>
  </si>
  <si>
    <t xml:space="preserve">Traitement d'images riche à la volée : actions chaînables, WebP/AVIF, srcset Retina, filigrane, métadonnées en sidecar.</t>
  </si>
  <si>
    <t xml:space="preserve">Sécurité du contenu éditeur poussée : bac à sable Twig configurable, scan XSS à l'enregistrement, avis de sécurité réguliers.</t>
  </si>
  <si>
    <t xml:space="preserve">Environnements par dossier (user/env) avec sauvegardes différentielles et .env natif.</t>
  </si>
  <si>
    <t xml:space="preserve">Édition collaborative temps réel (CRDT Yjs) disponible gratuitement via Sync.</t>
  </si>
  <si>
    <t xml:space="preserve">Très léger à héberger : fonctionne sur mutualisé, avec des contournements prévus pour les hébergeurs restrictifs.</t>
  </si>
  <si>
    <t xml:space="preserve">Servir chaque entrée en Markdown (.md ou Accept: text/markdown) avec un llms.txt, pour les agents IA.</t>
  </si>
  <si>
    <t xml:space="preserve">Faire déclarer leurs outils MCP aux plugins via un manifeste, puis les exposer automatiquement par un serveur MCP.</t>
  </si>
  <si>
    <t xml:space="preserve">Permissions par entrée dans le contenu (groupes et lettres crudpl) héritées par les enfants.</t>
  </si>
  <si>
    <t xml:space="preserve">Concurrence optimiste par ETag/If-Match sur l'API et l'admin pour éviter les écrasements.</t>
  </si>
  <si>
    <t xml:space="preserve">Surcharges de config par environnement dans l'admin, en n'écrivant que les clés qui diffèrent.</t>
  </si>
  <si>
    <t xml:space="preserve">Métadonnées des médias en fichier compagnon versionnable, interrogeables en requête (filterBy, sortBy).</t>
  </si>
  <si>
    <t xml:space="preserve">Sonde de tableau de bord qui vérifie si des dossiers sensibles sont accessibles publiquement.</t>
  </si>
  <si>
    <t xml:space="preserve">Formats de sortie multiples par entrée (.json, .rss, .md) via une convention de template.</t>
  </si>
  <si>
    <t xml:space="preserve">Fonctions éditoriales clés payantes : WYSIWYG/blocs (Editor Pro), révisions (Revisions Pro), SEO avancé, IA.</t>
  </si>
  <si>
    <t xml:space="preserve">Aucun workflow éditorial (statuts personnalisés, validation, relecteurs) ni corbeille.</t>
  </si>
  <si>
    <t xml:space="preserve">Modélisation relationnelle faible : relations Flex à coder, pas de reverse lookup ni de requêtes riches.</t>
  </si>
  <si>
    <t xml:space="preserve">Multisite qualifié de préliminaire et traduction par fichier entier, pas par champ.</t>
  </si>
  <si>
    <t xml:space="preserve">Rupture 1.x vers 2.0 : l'admin classique n'est plus supporté et les plugins doivent être portés vers Admin2/API.</t>
  </si>
  <si>
    <t xml:space="preserve">Pas de GraphQL, de SDK client ni de stockage distant (S3) officiels.</t>
  </si>
  <si>
    <t xml:space="preserve">Config 100 % code TypeScript : schéma, accès, hooks versionnés et types générés automatiquement.</t>
  </si>
  <si>
    <t xml:space="preserve">Contrôle d'accès par fonction très fin (collection, document via contrainte where, champ, locale).</t>
  </si>
  <si>
    <t xml:space="preserve">Trois API générées (REST, GraphQL, Local API typée) à partir d'un seul schéma.</t>
  </si>
  <si>
    <t xml:space="preserve">Versions complètes : brouillons, autosave, diff, restauration, publication/dépublication programmée.</t>
  </si>
  <si>
    <t xml:space="preserve">Jobs Queue intégrée (tasks, workflows, cron) réutilisée par le cœur et les plugins.</t>
  </si>
  <si>
    <t xml:space="preserve">Admin React entièrement remplaçable composant par composant, avec dashboard modulaire.</t>
  </si>
  <si>
    <t xml:space="preserve">Écosystème de plugins officiels cohérent (SEO, form builder, redirects, search, multi-tenant, MCP, ecommerce).</t>
  </si>
  <si>
    <t xml:space="preserve">Live Preview temps réel et Locked Documents pour l'édition sereine.</t>
  </si>
  <si>
    <t xml:space="preserve">Fonctions d'accès retournant soit un booléen soit une contrainte de requête (scope Eloquent) pour les permissions par entrée.</t>
  </si>
  <si>
    <t xml:space="preserve">Champ virtuel join pour afficher et éditer les relations inverses dans les ressources Filament.</t>
  </si>
  <si>
    <t xml:space="preserve">Versions avec diff champ par champ, autosave et schedulePublish branché sur les queues Laravel.</t>
  </si>
  <si>
    <t xml:space="preserve">Locked Documents : verrou automatique pendant l'édition avec prise de contrôle.</t>
  </si>
  <si>
    <t xml:space="preserve">Query Presets : vues de liste enregistrées et partageables avec permissions.</t>
  </si>
  <si>
    <t xml:space="preserve">Plugin MCP exposant les modèles aux agents IA avec opérations autorisées par collection.</t>
  </si>
  <si>
    <t xml:space="preserve">Statut de publication par locale et bouton « copier vers une locale ».</t>
  </si>
  <si>
    <t xml:space="preserve">Corbeille avec permissions distinctes pour suppression douce et définitive.</t>
  </si>
  <si>
    <t xml:space="preserve">Aucune modélisation no-code : tout changement de schéma requiert un développeur et un déploiement.</t>
  </si>
  <si>
    <t xml:space="preserve">Pas de routage, thèmes, sitemap ni SEO technique côté CMS : tout repose sur le front Next.js.</t>
  </si>
  <si>
    <t xml:space="preserve">Fonctions éditoriales avancées (workflows, SSO, IA, édition visuelle, collaboration) réservées à l'Enterprise.</t>
  </si>
  <si>
    <t xml:space="preserve">Pas de 2FA, d'audit log ni de rôles prêts à l'emploi dans la version libre.</t>
  </si>
  <si>
    <t xml:space="preserve">Hébergement Node.js requis, incompatible avec le mutualisé PHP ; Payload Cloud en pause après le rachat par Figma.</t>
  </si>
  <si>
    <t xml:space="preserve">Plusieurs fonctions récentes encore en bêta (Folders, dashboard, localizeStatus, SDK).</t>
  </si>
  <si>
    <t xml:space="preserve">Double distribution : CMS complet ou simple plugin greffé sur un panel Filament existant, avec le même package.</t>
  </si>
  <si>
    <t xml:space="preserve">Expérience d'édition par blocs soignée au-dessus du RichEditor Tiptap de Filament : slash commands, outline, chrome par bloc, repli.</t>
  </si>
  <si>
    <t xml:space="preserve">Workflow éditorial complet en core : relecture/approbation, révisions avec diff, snapshots épinglés, liens d'aperçu expirables.</t>
  </si>
  <si>
    <t xml:space="preserve">SEO technique très complet d'emblée : sitemaps index, JSON-LD, hreflang, robots.txt éditable, RSS, llms.txt.</t>
  </si>
  <si>
    <t xml:space="preserve">API REST headless avec abilities Sanctum doublées des permissions Shield et webhooks signés anti-SSRF.</t>
  </si>
  <si>
    <t xml:space="preserve">Updater intégré sécurisé (signature Ed25519, backups, quarantaine des fichiers modifiés) rare dans l'écosystème Laravel.</t>
  </si>
  <si>
    <t xml:space="preserve">Accès direct à tout l'écosystème de plugins Filament en plus des plugins TallCMS.</t>
  </si>
  <si>
    <t xml:space="preserve">Pile multisite/SaaS (domaines vérifiés, plans, quotas, Stripe) pour des offres site-builder.</t>
  </si>
  <si>
    <t xml:space="preserve">Proposer le CMS à la fois comme application standalone et comme plugin Filament installable dans une app existante.</t>
  </si>
  <si>
    <t xml:space="preserve">Étendre le RichEditor Filament avec des blocs custom, une palette slash, un outline drag-and-drop et des métadonnées de bloc (catégorie, icône, mots-clés).</t>
  </si>
  <si>
    <t xml:space="preserve">Révisions automatiques avant/après avec hash, plus snapshots manuels épinglés et diff visuel des blocs.</t>
  </si>
  <si>
    <t xml:space="preserve">Jetons d'aperçu partageables à durée limitée et révocables, soumis à une permission dédiée.</t>
  </si>
  <si>
    <t xml:space="preserve">Héritage Global Defaults / overrides par site qui ne stocke que les valeurs divergentes.</t>
  </si>
  <si>
    <t xml:space="preserve">Double autorisation API : abilities du jeton + policies Shield, webhooks HMAC avec validation DNS au moment de l'envoi.</t>
  </si>
  <si>
    <t xml:space="preserve">Widget « Content Health » (contenus non revus depuis N mois, méta manquantes) et champs de relecture experte façon E-E-A-T.</t>
  </si>
  <si>
    <t xml:space="preserve">Updater signé avec sauvegarde, détection de fichiers modifiés et rollback pour les installs sans accès SSH.</t>
  </si>
  <si>
    <t xml:space="preserve">Pas de modélisation de contenu : seulement Pages et Articles, sans types ni champs personnalisés dans l'admin.</t>
  </si>
  <si>
    <t xml:space="preserve">Projet très jeune (premier commit décembre 2025) avec communauté réduite et rythme de versions majeures élevé.</t>
  </si>
  <si>
    <t xml:space="preserve">Recherche basique (LIKE via Scout database), sans facettes ni moteur externe intégré.</t>
  </si>
  <si>
    <t xml:space="preserve">Formulaires limités au bloc Contact (pas de form builder, upload, logique conditionnelle, export ni captcha).</t>
  </si>
  <si>
    <t xml:space="preserve">Aucun outil RGPD, journal d'audit ou export/import de contenu en core ; interface traduite seulement en anglais et allemand.</t>
  </si>
  <si>
    <t xml:space="preserve">Fonctions clés (multisite, blocs avancés, GA4, e-mail marketing) réservées aux add-ons payants.</t>
  </si>
  <si>
    <t xml:space="preserve">S'installe comme simple plugin dans un panneau Filament existant, sans imposer d'application dédiée.</t>
  </si>
  <si>
    <t xml:space="preserve">Multilingue au niveau des champs dès le départ (spatie/laravel-translatable + sélecteur de locale).</t>
  </si>
  <si>
    <t xml:space="preserve">Éditeur de contenu interchangeable via une interface minimale (Markdown, RichEditor, TinyMCE, tout plugin Filament).</t>
  </si>
  <si>
    <t xml:space="preserve">Constructeur de menus intégré avec types de liens extensibles.</t>
  </si>
  <si>
    <t xml:space="preserve">Très modulaire : chaque ressource activable, masquable ou remplaçable, modèles et énums surchargeables par panneau.</t>
  </si>
  <si>
    <t xml:space="preserve">Front-end Livewire prêt à l'emploi (blog, pages, tags, recherche surlignée, articles liés) ou mode headless.</t>
  </si>
  <si>
    <t xml:space="preserve">Écosystème Zeus cohérent : formulaires Bolt insérables dans le contenu, import WordPress Rhea, URL courtes Helen.</t>
  </si>
  <si>
    <t xml:space="preserve">Interface ContentEditor (component() + render()) pour rendre l'éditeur configurable sans toucher aux ressources.</t>
  </si>
  <si>
    <t xml:space="preserve">Chaîne de parseurs de contenu configurables pour des shortcodes type &lt;bolt&gt;slug&lt;/bolt&gt; injectant des composants Livewire.</t>
  </si>
  <si>
    <t xml:space="preserve">API fluide du plugin : activer/masquer/remplacer chaque ressource et surcharger les modèles par panneau.</t>
  </si>
  <si>
    <t xml:space="preserve">Navigation builder par handle avec itemType() extensible pour lier n'importe quel modèle.</t>
  </si>
  <si>
    <t xml:space="preserve">Statuts de contenu sous forme d'énum PHP remplaçable (HasLabel/HasColor/HasIcon) directement exploitée par Filament.</t>
  </si>
  <si>
    <t xml:space="preserve">Mise en avant temporisée (sticky_until) et contenus protégés par mot de passe, simples et utiles.</t>
  </si>
  <si>
    <t xml:space="preserve">Taxonomies multiples typées sur une seule table de tags polymorphe.</t>
  </si>
  <si>
    <t xml:space="preserve">Types de contenu et champs figés : pas de modélisation de contenu ni de blocs, ce n'est qu'un blog/pages.</t>
  </si>
  <si>
    <t xml:space="preserve">Pas de révisions, de workflow d'approbation, de permissions ni d'API : beaucoup reste à coder.</t>
  </si>
  <si>
    <t xml:space="preserve">SEO minimal : pas de sitemap, meta title, canonique éditable, hreflang ni JSON-LD.</t>
  </si>
  <si>
    <t xml:space="preserve">Sécurité perfectible : mots de passe de contenus stockés en clair, assainissement du HTML rudimentaire.</t>
  </si>
  <si>
    <t xml:space="preserve">Documentation très courte, petite communauté, releases rares et paquets satellites (Rhea, Artemis) en retard de version.</t>
  </si>
  <si>
    <t xml:space="preserve">Interface non traduite en français pour les libellés Sky (anglais, arabe, turc).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</si>
</sst>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</fonts>
  <fills count="68">
    <fill>
      <patternFill patternType="none"/>
    </fill>
    <fill>
      <patternFill patternType="gray125"/>
    </fill>
    <fill>
      <patternFill patternType="solid">
        <fgColor rgb="FFC6EFCE"/>
        <bgColor rgb="FFDDEBF7"/>
      </patternFill>
    </fill>
    <fill>
      <patternFill patternType="solid">
        <fgColor rgb="FFDDEBF7"/>
        <bgColor rgb="FFEDEDED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4CCCC"/>
        <bgColor rgb="FFF8CBAD"/>
      </patternFill>
    </fill>
    <fill>
      <patternFill patternType="solid">
        <fgColor rgb="FFEDEDED"/>
        <bgColor rgb="FFDDEBF7"/>
      </patternFill>
    </fill>
    <fill>
      <patternFill patternType="solid">
        <fgColor rgb="FFFFFFFF"/>
        <bgColor rgb="FFEDEDED"/>
      </patternFill>
    </fill>
    <fill>
      <patternFill patternType="solid">
        <fgColor rgb="FF163B77"/>
        <bgColor rgb="FF000000"/>
      </patternFill>
    </fill>
    <fill>
      <patternFill patternType="darkGray">
        <fgColor rgb="FFE8E487"/>
        <bgColor rgb="FFE2E287"/>
      </patternFill>
    </fill>
    <fill>
      <patternFill patternType="solid">
        <fgColor rgb="FFCBDB8A"/>
        <bgColor rgb="FFC8DA8A"/>
      </patternFill>
    </fill>
    <fill>
      <patternFill patternType="solid">
        <fgColor rgb="FFFFEA85"/>
        <bgColor rgb="FFFFEB85"/>
      </patternFill>
    </fill>
    <fill>
      <patternFill patternType="solid">
        <fgColor rgb="FFC8DA8A"/>
        <bgColor rgb="FFCBDB8A"/>
      </patternFill>
    </fill>
    <fill>
      <patternFill patternType="solid">
        <fgColor rgb="FFEDE586"/>
        <bgColor rgb="FFEEE686"/>
      </patternFill>
    </fill>
    <fill>
      <patternFill patternType="darkGray">
        <fgColor rgb="FFD2DD8A"/>
        <bgColor rgb="FFCBDB8A"/>
      </patternFill>
    </fill>
    <fill>
      <patternFill patternType="solid">
        <fgColor rgb="FFFEE48C"/>
        <bgColor rgb="FFFEE58C"/>
      </patternFill>
    </fill>
    <fill>
      <patternFill patternType="mediumGray">
        <fgColor rgb="FFE2E287"/>
        <bgColor rgb="FFE8E487"/>
      </patternFill>
    </fill>
    <fill>
      <patternFill patternType="solid">
        <fgColor rgb="FFDDE088"/>
        <bgColor rgb="FFE2E287"/>
      </patternFill>
    </fill>
    <fill>
      <patternFill patternType="solid">
        <fgColor rgb="FFF8E985"/>
        <bgColor rgb="FFF7E985"/>
      </patternFill>
    </fill>
    <fill>
      <patternFill patternType="solid">
        <fgColor rgb="FFEBE586"/>
        <bgColor rgb="FFEDE586"/>
      </patternFill>
    </fill>
    <fill>
      <patternFill patternType="solid">
        <fgColor rgb="FFE8E487"/>
        <bgColor rgb="FFEBE586"/>
      </patternFill>
    </fill>
    <fill>
      <patternFill patternType="solid">
        <fgColor rgb="FFE2E287"/>
        <bgColor rgb="FFDDE088"/>
      </patternFill>
    </fill>
    <fill>
      <patternFill patternType="solid">
        <fgColor rgb="FFF1E786"/>
        <bgColor rgb="FFF3E785"/>
      </patternFill>
    </fill>
    <fill>
      <patternFill patternType="solid">
        <fgColor rgb="FFEFE686"/>
        <bgColor rgb="FFEEE686"/>
      </patternFill>
    </fill>
    <fill>
      <patternFill patternType="solid">
        <fgColor rgb="FFFFE986"/>
        <bgColor rgb="FFFEE987"/>
      </patternFill>
    </fill>
    <fill>
      <patternFill patternType="solid">
        <fgColor rgb="FFFFEB85"/>
        <bgColor rgb="FFFFEB84"/>
      </patternFill>
    </fill>
    <fill>
      <patternFill patternType="solid">
        <fgColor rgb="FFFCDE95"/>
        <bgColor rgb="FFFCDE94"/>
      </patternFill>
    </fill>
    <fill>
      <patternFill patternType="solid">
        <fgColor rgb="FFFDE092"/>
        <bgColor rgb="FFFCDF94"/>
      </patternFill>
    </fill>
    <fill>
      <patternFill patternType="solid">
        <fgColor rgb="FFB8D58C"/>
        <bgColor rgb="FFBAD58C"/>
      </patternFill>
    </fill>
    <fill>
      <patternFill patternType="solid">
        <fgColor rgb="FFFEE987"/>
        <bgColor rgb="FFFFE986"/>
      </patternFill>
    </fill>
    <fill>
      <patternFill patternType="darkGray">
        <fgColor rgb="FFD2DD8A"/>
        <bgColor rgb="FFCBDB8A"/>
      </patternFill>
    </fill>
    <fill>
      <patternFill patternType="darkGray">
        <fgColor rgb="FFC2D88C"/>
        <bgColor rgb="FFC8DA8A"/>
      </patternFill>
    </fill>
    <fill>
      <patternFill patternType="solid">
        <fgColor rgb="FFFCDF94"/>
        <bgColor rgb="FFFCDE94"/>
      </patternFill>
    </fill>
    <fill>
      <patternFill patternType="solid">
        <fgColor rgb="FFFBDA9A"/>
        <bgColor rgb="FFFBD99B"/>
      </patternFill>
    </fill>
    <fill>
      <patternFill patternType="solid">
        <fgColor rgb="FFE8E487"/>
        <bgColor rgb="FFEBE586"/>
      </patternFill>
    </fill>
    <fill>
      <patternFill patternType="solid">
        <fgColor rgb="FFF7E985"/>
        <bgColor rgb="FFF8E985"/>
      </patternFill>
    </fill>
    <fill>
      <patternFill patternType="mediumGray">
        <fgColor rgb="FFB8D58C"/>
        <bgColor rgb="FFBAD58C"/>
      </patternFill>
    </fill>
    <fill>
      <patternFill patternType="solid">
        <fgColor rgb="FFFEE888"/>
        <bgColor rgb="FFFEE987"/>
      </patternFill>
    </fill>
    <fill>
      <patternFill patternType="solid">
        <fgColor rgb="FFFCDC97"/>
        <bgColor rgb="FFFCDD96"/>
      </patternFill>
    </fill>
    <fill>
      <patternFill patternType="solid">
        <fgColor rgb="FFFFEB84"/>
        <bgColor rgb="FFFFEB85"/>
      </patternFill>
    </fill>
    <fill>
      <patternFill patternType="solid">
        <fgColor rgb="FFBAD58C"/>
        <bgColor rgb="FFB8D58C"/>
      </patternFill>
    </fill>
    <fill>
      <patternFill patternType="solid">
        <fgColor rgb="FFEEE686"/>
        <bgColor rgb="FFEFE686"/>
      </patternFill>
    </fill>
    <fill>
      <patternFill patternType="solid">
        <fgColor rgb="FFCBDB8A"/>
        <bgColor rgb="FFC8DA8A"/>
      </patternFill>
    </fill>
    <fill>
      <patternFill patternType="solid">
        <fgColor rgb="FFFEE58C"/>
        <bgColor rgb="FFFEE48C"/>
      </patternFill>
    </fill>
    <fill>
      <patternFill patternType="solid">
        <fgColor rgb="FFFCDE94"/>
        <bgColor rgb="FFFCDE95"/>
      </patternFill>
    </fill>
    <fill>
      <patternFill patternType="darkGray">
        <fgColor rgb="FFD2DD8A"/>
        <bgColor rgb="FFDDE088"/>
      </patternFill>
    </fill>
    <fill>
      <patternFill patternType="solid">
        <fgColor rgb="FFFDE38E"/>
        <bgColor rgb="FFFEE48C"/>
      </patternFill>
    </fill>
    <fill>
      <patternFill patternType="mediumGray">
        <fgColor rgb="FFC2D88C"/>
        <bgColor rgb="FFBAD58C"/>
      </patternFill>
    </fill>
    <fill>
      <patternFill patternType="solid">
        <fgColor rgb="FFFCDB98"/>
        <bgColor rgb="FFFCDC97"/>
      </patternFill>
    </fill>
    <fill>
      <patternFill patternType="darkGray">
        <fgColor rgb="FFEBE586"/>
        <bgColor rgb="FFE8E487"/>
      </patternFill>
    </fill>
    <fill>
      <patternFill patternType="solid">
        <fgColor rgb="FFA9D08E"/>
        <bgColor rgb="FFB8D58C"/>
      </patternFill>
    </fill>
    <fill>
      <patternFill patternType="solid">
        <fgColor rgb="FFFAD69F"/>
        <bgColor rgb="FFFAD4A1"/>
      </patternFill>
    </fill>
    <fill>
      <patternFill patternType="darkGray">
        <fgColor rgb="FFC8DA8A"/>
        <bgColor rgb="FFC2D88C"/>
      </patternFill>
    </fill>
    <fill>
      <patternFill patternType="solid">
        <fgColor rgb="FFF8CBAD"/>
        <bgColor rgb="FFF9D1A5"/>
      </patternFill>
    </fill>
    <fill>
      <patternFill patternType="solid">
        <fgColor rgb="FFFEE68A"/>
        <bgColor rgb="FFFEE789"/>
      </patternFill>
    </fill>
    <fill>
      <patternFill patternType="darkGray">
        <fgColor rgb="FFDDE088"/>
        <bgColor rgb="FFD2DD8A"/>
      </patternFill>
    </fill>
    <fill>
      <patternFill patternType="solid">
        <fgColor rgb="FFF3E785"/>
        <bgColor rgb="FFF1E786"/>
      </patternFill>
    </fill>
    <fill>
      <patternFill patternType="solid">
        <fgColor rgb="FFFCDD96"/>
        <bgColor rgb="FFFCDC97"/>
      </patternFill>
    </fill>
    <fill>
      <patternFill patternType="solid">
        <fgColor rgb="FFC2D88C"/>
        <bgColor rgb="FFC8DA8A"/>
      </patternFill>
    </fill>
    <fill>
      <patternFill patternType="solid">
        <fgColor rgb="FFFEE789"/>
        <bgColor rgb="FFFEE68A"/>
      </patternFill>
    </fill>
    <fill>
      <patternFill patternType="solid">
        <fgColor rgb="FFF5E885"/>
        <bgColor rgb="FFF3E785"/>
      </patternFill>
    </fill>
    <fill>
      <patternFill patternType="solid">
        <fgColor rgb="FFFAD2A4"/>
        <bgColor rgb="FFF9D1A5"/>
      </patternFill>
    </fill>
    <fill>
      <patternFill patternType="solid">
        <fgColor rgb="FFFBD89D"/>
        <bgColor rgb="FFFBD99B"/>
      </patternFill>
    </fill>
    <fill>
      <patternFill patternType="solid">
        <fgColor rgb="FFFBD99B"/>
        <bgColor rgb="FFFBDA9A"/>
      </patternFill>
    </fill>
    <fill>
      <patternFill patternType="solid">
        <fgColor rgb="FFFAD4A1"/>
        <bgColor rgb="FFFAD69F"/>
      </patternFill>
    </fill>
    <fill>
      <patternFill patternType="solid">
        <fgColor rgb="FFFFD966"/>
        <bgColor rgb="FFFEE48C"/>
      </patternFill>
    </fill>
    <fill>
      <patternFill patternType="solid">
        <fgColor rgb="FFF9D1A5"/>
        <bgColor rgb="FFFAD2A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4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2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5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9D08E"/>
          <bgColor rgb="FF000000"/>
        </patternFill>
      </fill>
    </dxf>
    <dxf>
      <fill>
        <patternFill patternType="solid">
          <fgColor rgb="FFBBD68C"/>
          <bgColor rgb="FF000000"/>
        </patternFill>
      </fill>
    </dxf>
    <dxf>
      <fill>
        <patternFill patternType="solid">
          <fgColor rgb="FFCCDB8A"/>
          <bgColor rgb="FF000000"/>
        </patternFill>
      </fill>
    </dxf>
    <dxf>
      <fill>
        <patternFill patternType="solid">
          <fgColor rgb="FFDDE188"/>
          <bgColor rgb="FF000000"/>
        </patternFill>
      </fill>
    </dxf>
    <dxf>
      <fill>
        <patternFill patternType="solid">
          <fgColor rgb="FFEEE68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9D1A5"/>
          <bgColor rgb="FF000000"/>
        </patternFill>
      </fill>
    </dxf>
    <dxf>
      <fill>
        <patternFill patternType="solid">
          <fgColor rgb="FFFAD79D"/>
          <bgColor rgb="FF000000"/>
        </patternFill>
      </fill>
    </dxf>
    <dxf>
      <fill>
        <patternFill patternType="solid">
          <fgColor rgb="FFFCDE95"/>
          <bgColor rgb="FF000000"/>
        </patternFill>
      </fill>
    </dxf>
    <dxf>
      <fill>
        <patternFill patternType="solid">
          <fgColor rgb="FFFDE48D"/>
          <bgColor rgb="FF000000"/>
        </patternFill>
      </fill>
    </dxf>
    <dxf>
      <fill>
        <patternFill patternType="solid">
          <fgColor rgb="FFFFEB84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D966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DDEBF7"/>
        </patternFill>
      </fill>
    </dxf>
    <dxf>
      <fill>
        <patternFill>
          <bgColor rgb="FFFFF2CC"/>
        </patternFill>
      </fill>
    </dxf>
    <dxf>
      <fill>
        <patternFill>
          <bgColor rgb="FFEDEDED"/>
        </patternFill>
      </fill>
    </dxf>
    <dxf>
      <font>
        <name val="Arial"/>
        <charset val="1"/>
        <family val="0"/>
        <b val="1"/>
      </font>
      <fill>
        <patternFill>
          <bgColor rgb="FFFFD966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DE38E"/>
      <rgbColor rgb="FFEEE686"/>
      <rgbColor rgb="FFFCE4D6"/>
      <rgbColor rgb="FFFFEB84"/>
      <rgbColor rgb="FFFCDE94"/>
      <rgbColor rgb="FFEBE586"/>
      <rgbColor rgb="FFFEE68A"/>
      <rgbColor rgb="FFF3E785"/>
      <rgbColor rgb="FFFEE888"/>
      <rgbColor rgb="FFD2DD8A"/>
      <rgbColor rgb="FFFEE48C"/>
      <rgbColor rgb="FFEFE686"/>
      <rgbColor rgb="FFBFBFBF"/>
      <rgbColor rgb="FFC8DA8A"/>
      <rgbColor rgb="FFC2D88C"/>
      <rgbColor rgb="FFFBD99B"/>
      <rgbColor rgb="FFFFF2CC"/>
      <rgbColor rgb="FFDDEBF7"/>
      <rgbColor rgb="FFF8E985"/>
      <rgbColor rgb="FFFAD4A1"/>
      <rgbColor rgb="FFFCDD96"/>
      <rgbColor rgb="FFF4CCCC"/>
      <rgbColor rgb="FFFEE987"/>
      <rgbColor rgb="FFFCDF94"/>
      <rgbColor rgb="FFFFEA85"/>
      <rgbColor rgb="FFEDE586"/>
      <rgbColor rgb="FFFEE58C"/>
      <rgbColor rgb="FFF7E985"/>
      <rgbColor rgb="FFF1E786"/>
      <rgbColor rgb="FFFFE986"/>
      <rgbColor rgb="FFE8E487"/>
      <rgbColor rgb="FFEDEDED"/>
      <rgbColor rgb="FFC6EFCE"/>
      <rgbColor rgb="FFFFEB85"/>
      <rgbColor rgb="FFA9D08E"/>
      <rgbColor rgb="FFF8CBAD"/>
      <rgbColor rgb="FFFAD2A4"/>
      <rgbColor rgb="FFF9D1A5"/>
      <rgbColor rgb="FFFCDB98"/>
      <rgbColor rgb="FFCBDB8A"/>
      <rgbColor rgb="FFB8D58C"/>
      <rgbColor rgb="FFFFD966"/>
      <rgbColor rgb="FFFAD69F"/>
      <rgbColor rgb="FFFBD89D"/>
      <rgbColor rgb="FFE2E287"/>
      <rgbColor rgb="FFBAD58C"/>
      <rgbColor rgb="FF163B77"/>
      <rgbColor rgb="FFDDE088"/>
      <rgbColor rgb="FFFEE789"/>
      <rgbColor rgb="FFF5E885"/>
      <rgbColor rgb="FFFCDC97"/>
      <rgbColor rgb="FFFBDA9A"/>
      <rgbColor rgb="FFFCDE95"/>
      <rgbColor rgb="FFFDE09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Details" displayName="Details" ref="A1:G2111" headerRowCount="1" totalsRowCount="0" totalsRowShown="0">
  <autoFilter ref="A1:G2111"/>
  <tableColumns count="7">
    <tableColumn id="1" name="Bloc"/>
    <tableColumn id="2" name="Catégorie"/>
    <tableColumn id="3" name="Fonctionnalité"/>
    <tableColumn id="4" name="CMS"/>
    <tableColumn id="5" name="Statut"/>
    <tableColumn id="6" name="Détail"/>
    <tableColumn id="7" name="Source"/>
  </tableColumns>
</table>
</file>

<file path=xl/tables/table2.xml><?xml version="1.0" encoding="utf-8"?>
<table xmlns="http://schemas.openxmlformats.org/spreadsheetml/2006/main" id="2" name="HorsGrille" displayName="HorsGrille" ref="A1:F298" headerRowCount="1" totalsRowCount="0" totalsRowShown="0">
  <autoFilter ref="A1:F298"/>
  <tableColumns count="6">
    <tableColumn id="1" name="CMS"/>
    <tableColumn id="2" name="Catégorie"/>
    <tableColumn id="3" name="Fonctionnalité"/>
    <tableColumn id="4" name="Statut"/>
    <tableColumn id="5" name="Détail"/>
    <tableColumn id="6" name="Source"/>
  </tableColumns>
</table>
</file>

<file path=xl/tables/table3.xml><?xml version="1.0" encoding="utf-8"?>
<table xmlns="http://schemas.openxmlformats.org/spreadsheetml/2006/main" id="3" name="Inspirations" displayName="Inspirations" ref="A1:C218" headerRowCount="1" totalsRowCount="0" totalsRowShown="0">
  <autoFilter ref="A1:C218"/>
  <tableColumns count="3">
    <tableColumn id="1" name="CMS"/>
    <tableColumn id="2" name="Type"/>
    <tableColumn id="3" name="Éléme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ordpress.org/plugins/secure-custom-fields/" TargetMode="External"/><Relationship Id="rId2" Type="http://schemas.openxmlformats.org/officeDocument/2006/relationships/hyperlink" Target="https://www.drupal.org/docs/user_guide/en/structure-content-type.html" TargetMode="External"/><Relationship Id="rId3" Type="http://schemas.openxmlformats.org/officeDocument/2006/relationships/hyperlink" Target="https://craftcms.com/docs/5.x/reference/element-types/entries.html" TargetMode="External"/><Relationship Id="rId4" Type="http://schemas.openxmlformats.org/officeDocument/2006/relationships/hyperlink" Target="https://getkirby.com/docs/guide/blueprints/introduction" TargetMode="External"/><Relationship Id="rId5" Type="http://schemas.openxmlformats.org/officeDocument/2006/relationships/hyperlink" Target="https://statamic.dev/content-modeling/collections" TargetMode="External"/><Relationship Id="rId6" Type="http://schemas.openxmlformats.org/officeDocument/2006/relationships/hyperlink" Target="https://docs.octobercms.com/4.x/cms/tailor/introduction.html" TargetMode="External"/><Relationship Id="rId7" Type="http://schemas.openxmlformats.org/officeDocument/2006/relationships/hyperlink" Target="https://github.com/trilbymedia/grav-plugin-flex-objects" TargetMode="External"/><Relationship Id="rId8" Type="http://schemas.openxmlformats.org/officeDocument/2006/relationships/hyperlink" Target="https://payloadcms.com/docs/configuration/collections" TargetMode="External"/><Relationship Id="rId9" Type="http://schemas.openxmlformats.org/officeDocument/2006/relationships/hyperlink" Target="https://github.com/tallcms/tallcms/blob/main/docs/site-pages-posts.md" TargetMode="External"/><Relationship Id="rId10" Type="http://schemas.openxmlformats.org/officeDocument/2006/relationships/hyperlink" Target="https://larazeus.com/docs/sky/v5/introduction" TargetMode="External"/><Relationship Id="rId11" Type="http://schemas.openxmlformats.org/officeDocument/2006/relationships/hyperlink" Target="https://developer.wordpress.org/plugins/post-types/registering-custom-post-types/" TargetMode="External"/><Relationship Id="rId12" Type="http://schemas.openxmlformats.org/officeDocument/2006/relationships/hyperlink" Target="https://www.drupal.org/docs/configuration-management" TargetMode="External"/><Relationship Id="rId13" Type="http://schemas.openxmlformats.org/officeDocument/2006/relationships/hyperlink" Target="https://craftcms.com/docs/5.x/system/project-config.html" TargetMode="External"/><Relationship Id="rId14" Type="http://schemas.openxmlformats.org/officeDocument/2006/relationships/hyperlink" Target="https://getkirby.com/docs/guide/blueprints/introduction" TargetMode="External"/><Relationship Id="rId15" Type="http://schemas.openxmlformats.org/officeDocument/2006/relationships/hyperlink" Target="https://statamic.dev/content-modeling/blueprints" TargetMode="External"/><Relationship Id="rId16" Type="http://schemas.openxmlformats.org/officeDocument/2006/relationships/hyperlink" Target="https://docs.octobercms.com/4.x/cms/tailor/blueprints.html" TargetMode="External"/><Relationship Id="rId17" Type="http://schemas.openxmlformats.org/officeDocument/2006/relationships/hyperlink" Target="https://learn.getgrav.org/20/forms/blueprints/fields-available" TargetMode="External"/><Relationship Id="rId18" Type="http://schemas.openxmlformats.org/officeDocument/2006/relationships/hyperlink" Target="https://payloadcms.com/docs/configuration/collections" TargetMode="External"/><Relationship Id="rId19" Type="http://schemas.openxmlformats.org/officeDocument/2006/relationships/hyperlink" Target="https://github.com/tallcms/tallcms/blob/main/docs/ref-architecture.md" TargetMode="External"/><Relationship Id="rId20" Type="http://schemas.openxmlformats.org/officeDocument/2006/relationships/hyperlink" Target="https://larazeus.com/docs/sky/v5/advanced/models" TargetMode="External"/><Relationship Id="rId21" Type="http://schemas.openxmlformats.org/officeDocument/2006/relationships/hyperlink" Target="https://wordpress.org/plugins/secure-custom-fields/" TargetMode="External"/><Relationship Id="rId22" Type="http://schemas.openxmlformats.org/officeDocument/2006/relationships/hyperlink" Target="https://www.drupal.org/docs/user_guide/en/structure-fields.html" TargetMode="External"/><Relationship Id="rId23" Type="http://schemas.openxmlformats.org/officeDocument/2006/relationships/hyperlink" Target="https://craftcms.com/docs/5.x/reference/field-types/" TargetMode="External"/><Relationship Id="rId24" Type="http://schemas.openxmlformats.org/officeDocument/2006/relationships/hyperlink" Target="https://getkirby.com/docs/reference/panel/fields" TargetMode="External"/><Relationship Id="rId25" Type="http://schemas.openxmlformats.org/officeDocument/2006/relationships/hyperlink" Target="https://statamic.dev/fieldtypes/all-fieldtypes" TargetMode="External"/><Relationship Id="rId26" Type="http://schemas.openxmlformats.org/officeDocument/2006/relationships/hyperlink" Target="https://docs.octobercms.com/4.x/element/form-fields.html" TargetMode="External"/><Relationship Id="rId27" Type="http://schemas.openxmlformats.org/officeDocument/2006/relationships/hyperlink" Target="https://learn.getgrav.org/20/forms/blueprints/fields-available" TargetMode="External"/><Relationship Id="rId28" Type="http://schemas.openxmlformats.org/officeDocument/2006/relationships/hyperlink" Target="https://payloadcms.com/docs/fields/overview" TargetMode="External"/><Relationship Id="rId29" Type="http://schemas.openxmlformats.org/officeDocument/2006/relationships/hyperlink" Target="https://github.com/tallcms/tallcms/blob/main/docs/dev-blocks.md" TargetMode="External"/><Relationship Id="rId30" Type="http://schemas.openxmlformats.org/officeDocument/2006/relationships/hyperlink" Target="https://github.com/lara-zeus/sky/blob/main/src/Filament/Resources/PostResource.php" TargetMode="External"/><Relationship Id="rId31" Type="http://schemas.openxmlformats.org/officeDocument/2006/relationships/hyperlink" Target="https://wordpress.org/plugins/secure-custom-fields/" TargetMode="External"/><Relationship Id="rId32" Type="http://schemas.openxmlformats.org/officeDocument/2006/relationships/hyperlink" Target="https://www.drupal.org/project/paragraphs" TargetMode="External"/><Relationship Id="rId33" Type="http://schemas.openxmlformats.org/officeDocument/2006/relationships/hyperlink" Target="https://craftcms.com/docs/5.x/reference/field-types/matrix.html" TargetMode="External"/><Relationship Id="rId34" Type="http://schemas.openxmlformats.org/officeDocument/2006/relationships/hyperlink" Target="https://getkirby.com/docs/reference/panel/fields" TargetMode="External"/><Relationship Id="rId35" Type="http://schemas.openxmlformats.org/officeDocument/2006/relationships/hyperlink" Target="https://statamic.dev/fieldtypes/replicator" TargetMode="External"/><Relationship Id="rId36" Type="http://schemas.openxmlformats.org/officeDocument/2006/relationships/hyperlink" Target="https://docs.octobercms.com/4.x/element/form/widget-repeater.html" TargetMode="External"/><Relationship Id="rId37" Type="http://schemas.openxmlformats.org/officeDocument/2006/relationships/hyperlink" Target="https://learn.getgrav.org/20/forms/blueprints/fields-available" TargetMode="External"/><Relationship Id="rId38" Type="http://schemas.openxmlformats.org/officeDocument/2006/relationships/hyperlink" Target="https://payloadcms.com/docs/fields/array" TargetMode="External"/><Relationship Id="rId39" Type="http://schemas.openxmlformats.org/officeDocument/2006/relationships/hyperlink" Target="https://github.com/tallcms/tallcms/blob/main/docs/dev-blocks.md" TargetMode="External"/><Relationship Id="rId40" Type="http://schemas.openxmlformats.org/officeDocument/2006/relationships/hyperlink" Target="https://github.com/lara-zeus/sky/blob/main/src/Filament/Resources/PostResource.php" TargetMode="External"/><Relationship Id="rId41" Type="http://schemas.openxmlformats.org/officeDocument/2006/relationships/hyperlink" Target="https://wordpress.org/plugins/secure-custom-fields/" TargetMode="External"/><Relationship Id="rId42" Type="http://schemas.openxmlformats.org/officeDocument/2006/relationships/hyperlink" Target="https://www.drupal.org/docs/user_guide/en/structure-reference-fields.html" TargetMode="External"/><Relationship Id="rId43" Type="http://schemas.openxmlformats.org/officeDocument/2006/relationships/hyperlink" Target="https://craftcms.com/docs/5.x/system/relations.html" TargetMode="External"/><Relationship Id="rId44" Type="http://schemas.openxmlformats.org/officeDocument/2006/relationships/hyperlink" Target="https://getkirby.com/docs/reference/panel/fields/pages" TargetMode="External"/><Relationship Id="rId45" Type="http://schemas.openxmlformats.org/officeDocument/2006/relationships/hyperlink" Target="https://statamic.dev/content-modeling/relationships" TargetMode="External"/><Relationship Id="rId46" Type="http://schemas.openxmlformats.org/officeDocument/2006/relationships/hyperlink" Target="https://docs.octobercms.com/4.x/element/content/field-entries.html" TargetMode="External"/><Relationship Id="rId47" Type="http://schemas.openxmlformats.org/officeDocument/2006/relationships/hyperlink" Target="https://github.com/trilbymedia/grav-plugin-flex-objects" TargetMode="External"/><Relationship Id="rId48" Type="http://schemas.openxmlformats.org/officeDocument/2006/relationships/hyperlink" Target="https://payloadcms.com/docs/fields/relationship" TargetMode="External"/><Relationship Id="rId49" Type="http://schemas.openxmlformats.org/officeDocument/2006/relationships/hyperlink" Target="https://github.com/tallcms/tallcms/blob/main/docs/site-pages-posts.md" TargetMode="External"/><Relationship Id="rId50" Type="http://schemas.openxmlformats.org/officeDocument/2006/relationships/hyperlink" Target="https://github.com/lara-zeus/sky/blob/main/src/Models/Post.php" TargetMode="External"/><Relationship Id="rId51" Type="http://schemas.openxmlformats.org/officeDocument/2006/relationships/hyperlink" Target="https://wordpress.org/plugins/secure-custom-fields/" TargetMode="External"/><Relationship Id="rId52" Type="http://schemas.openxmlformats.org/officeDocument/2006/relationships/hyperlink" Target="https://www.drupal.org/project/cer" TargetMode="External"/><Relationship Id="rId53" Type="http://schemas.openxmlformats.org/officeDocument/2006/relationships/hyperlink" Target="https://craftcms.com/docs/5.x/system/relations.html" TargetMode="External"/><Relationship Id="rId54" Type="http://schemas.openxmlformats.org/officeDocument/2006/relationships/hyperlink" Target="https://getkirby.com/docs/guide/uuids" TargetMode="External"/><Relationship Id="rId55" Type="http://schemas.openxmlformats.org/officeDocument/2006/relationships/hyperlink" Target="https://statamic.com/addons/cboxdk/reverse-relationships" TargetMode="External"/><Relationship Id="rId56" Type="http://schemas.openxmlformats.org/officeDocument/2006/relationships/hyperlink" Target="https://docs.octobercms.com/4.x/element/content/field-entries.html" TargetMode="External"/><Relationship Id="rId57" Type="http://schemas.openxmlformats.org/officeDocument/2006/relationships/hyperlink" Target="https://github.com/trilbymedia/grav-plugin-flex-objects" TargetMode="External"/><Relationship Id="rId58" Type="http://schemas.openxmlformats.org/officeDocument/2006/relationships/hyperlink" Target="https://payloadcms.com/docs/fields/join" TargetMode="External"/><Relationship Id="rId59" Type="http://schemas.openxmlformats.org/officeDocument/2006/relationships/hyperlink" Target="https://github.com/tallcms/tallcms/blob/main/docs/dev-api.md" TargetMode="External"/><Relationship Id="rId60" Type="http://schemas.openxmlformats.org/officeDocument/2006/relationships/hyperlink" Target="https://github.com/lara-zeus/sky/blob/main/src/Models/Tag.php" TargetMode="External"/><Relationship Id="rId61" Type="http://schemas.openxmlformats.org/officeDocument/2006/relationships/hyperlink" Target="https://developer.wordpress.org/plugins/taxonomies/" TargetMode="External"/><Relationship Id="rId62" Type="http://schemas.openxmlformats.org/officeDocument/2006/relationships/hyperlink" Target="https://www.drupal.org/docs/user_guide/en/structure-taxonomy.html" TargetMode="External"/><Relationship Id="rId63" Type="http://schemas.openxmlformats.org/officeDocument/2006/relationships/hyperlink" Target="https://craftcms.com/docs/5.x/reference/element-types/categories.html" TargetMode="External"/><Relationship Id="rId64" Type="http://schemas.openxmlformats.org/officeDocument/2006/relationships/hyperlink" Target="https://getkirby.com/docs/reference/panel/fields/tags" TargetMode="External"/><Relationship Id="rId65" Type="http://schemas.openxmlformats.org/officeDocument/2006/relationships/hyperlink" Target="https://statamic.dev/content-modeling/taxonomies" TargetMode="External"/><Relationship Id="rId66" Type="http://schemas.openxmlformats.org/officeDocument/2006/relationships/hyperlink" Target="https://docs.octobercms.com/4.x/cms/tailor/introduction.html" TargetMode="External"/><Relationship Id="rId67" Type="http://schemas.openxmlformats.org/officeDocument/2006/relationships/hyperlink" Target="https://learn.getgrav.org/20/content/headers" TargetMode="External"/><Relationship Id="rId68" Type="http://schemas.openxmlformats.org/officeDocument/2006/relationships/hyperlink" Target="https://payloadcms.com/docs/fields/relationship" TargetMode="External"/><Relationship Id="rId69" Type="http://schemas.openxmlformats.org/officeDocument/2006/relationships/hyperlink" Target="https://github.com/tallcms/tallcms/blob/main/docs/site-pages-posts.md" TargetMode="External"/><Relationship Id="rId70" Type="http://schemas.openxmlformats.org/officeDocument/2006/relationships/hyperlink" Target="https://larazeus.com/docs/sky/v5/getting-started/configuration" TargetMode="External"/><Relationship Id="rId71" Type="http://schemas.openxmlformats.org/officeDocument/2006/relationships/hyperlink" Target="https://developer.wordpress.org/reference/functions/register_post_type/" TargetMode="External"/><Relationship Id="rId72" Type="http://schemas.openxmlformats.org/officeDocument/2006/relationships/hyperlink" Target="https://www.drupal.org/project/entity_hierarchy" TargetMode="External"/><Relationship Id="rId73" Type="http://schemas.openxmlformats.org/officeDocument/2006/relationships/hyperlink" Target="https://craftcms.com/docs/5.x/reference/element-types/entries.html" TargetMode="External"/><Relationship Id="rId74" Type="http://schemas.openxmlformats.org/officeDocument/2006/relationships/hyperlink" Target="https://getkirby.com/releases/4" TargetMode="External"/><Relationship Id="rId75" Type="http://schemas.openxmlformats.org/officeDocument/2006/relationships/hyperlink" Target="https://statamic.dev/content-modeling/structures" TargetMode="External"/><Relationship Id="rId76" Type="http://schemas.openxmlformats.org/officeDocument/2006/relationships/hyperlink" Target="https://docs.octobercms.com/4.x/cms/tailor/blueprints.html" TargetMode="External"/><Relationship Id="rId77" Type="http://schemas.openxmlformats.org/officeDocument/2006/relationships/hyperlink" Target="https://learn.getgrav.org/20/content/headers" TargetMode="External"/><Relationship Id="rId78" Type="http://schemas.openxmlformats.org/officeDocument/2006/relationships/hyperlink" Target="https://payloadcms.com/docs/plugins/nested-docs" TargetMode="External"/><Relationship Id="rId79" Type="http://schemas.openxmlformats.org/officeDocument/2006/relationships/hyperlink" Target="https://github.com/tallcms/tallcms/blob/main/docs/site-pages-posts.md" TargetMode="External"/><Relationship Id="rId80" Type="http://schemas.openxmlformats.org/officeDocument/2006/relationships/hyperlink" Target="https://github.com/lara-zeus/sky/blob/main/src/Filament/Resources/PageResource.php" TargetMode="External"/><Relationship Id="rId81" Type="http://schemas.openxmlformats.org/officeDocument/2006/relationships/hyperlink" Target="https://wordpress.org/plugins/secure-custom-fields/" TargetMode="External"/><Relationship Id="rId82" Type="http://schemas.openxmlformats.org/officeDocument/2006/relationships/hyperlink" Target="https://www.drupal.org/docs/user_guide/en/structure-field-reuse.html" TargetMode="External"/><Relationship Id="rId83" Type="http://schemas.openxmlformats.org/officeDocument/2006/relationships/hyperlink" Target="https://craftcms.com/docs/5.x/reference/element-types/entries.html" TargetMode="External"/><Relationship Id="rId84" Type="http://schemas.openxmlformats.org/officeDocument/2006/relationships/hyperlink" Target="https://getkirby.com/docs/guide/blueprints/extending-blueprints" TargetMode="External"/><Relationship Id="rId85" Type="http://schemas.openxmlformats.org/officeDocument/2006/relationships/hyperlink" Target="https://statamic.dev/content-modeling/fieldsets" TargetMode="External"/><Relationship Id="rId86" Type="http://schemas.openxmlformats.org/officeDocument/2006/relationships/hyperlink" Target="https://docs.octobercms.com/4.x/element/content/field-mixin.html" TargetMode="External"/><Relationship Id="rId87" Type="http://schemas.openxmlformats.org/officeDocument/2006/relationships/hyperlink" Target="https://learn.getgrav.org/20/forms/blueprints/fields-available" TargetMode="External"/><Relationship Id="rId88" Type="http://schemas.openxmlformats.org/officeDocument/2006/relationships/hyperlink" Target="https://payloadcms.com/docs/fields/blocks" TargetMode="External"/><Relationship Id="rId89" Type="http://schemas.openxmlformats.org/officeDocument/2006/relationships/hyperlink" Target="https://wordpress.org/plugins/secure-custom-fields/" TargetMode="External"/><Relationship Id="rId90" Type="http://schemas.openxmlformats.org/officeDocument/2006/relationships/hyperlink" Target="https://www.drupal.org/project/config_pages" TargetMode="External"/><Relationship Id="rId91" Type="http://schemas.openxmlformats.org/officeDocument/2006/relationships/hyperlink" Target="https://craftcms.com/docs/5.x/reference/element-types/globals.html" TargetMode="External"/><Relationship Id="rId92" Type="http://schemas.openxmlformats.org/officeDocument/2006/relationships/hyperlink" Target="https://getkirby.com/docs/reference/panel/blueprints/site" TargetMode="External"/><Relationship Id="rId93" Type="http://schemas.openxmlformats.org/officeDocument/2006/relationships/hyperlink" Target="https://statamic.dev/content-modeling/globals" TargetMode="External"/><Relationship Id="rId94" Type="http://schemas.openxmlformats.org/officeDocument/2006/relationships/hyperlink" Target="https://docs.octobercms.com/4.x/cms/tailor/blueprints.html" TargetMode="External"/><Relationship Id="rId95" Type="http://schemas.openxmlformats.org/officeDocument/2006/relationships/hyperlink" Target="https://learn.getgrav.org/17/basics/grav-configuration" TargetMode="External"/><Relationship Id="rId96" Type="http://schemas.openxmlformats.org/officeDocument/2006/relationships/hyperlink" Target="https://payloadcms.com/docs/configuration/globals" TargetMode="External"/><Relationship Id="rId97" Type="http://schemas.openxmlformats.org/officeDocument/2006/relationships/hyperlink" Target="https://github.com/tallcms/tallcms/blob/main/docs/site-settings.md" TargetMode="External"/><Relationship Id="rId98" Type="http://schemas.openxmlformats.org/officeDocument/2006/relationships/hyperlink" Target="https://github.com/lara-zeus/sky/blob/main/config/zeus-sky.php" TargetMode="External"/><Relationship Id="rId99" Type="http://schemas.openxmlformats.org/officeDocument/2006/relationships/hyperlink" Target="https://wordpress.org/plugins/secure-custom-fields/" TargetMode="External"/><Relationship Id="rId100" Type="http://schemas.openxmlformats.org/officeDocument/2006/relationships/hyperlink" Target="https://www.drupal.org/docs/drupal-apis/entity-api/entity-validation-api" TargetMode="External"/><Relationship Id="rId101" Type="http://schemas.openxmlformats.org/officeDocument/2006/relationships/hyperlink" Target="https://craftcms.com/docs/5.x/system/drafts-revisions.html" TargetMode="External"/><Relationship Id="rId102" Type="http://schemas.openxmlformats.org/officeDocument/2006/relationships/hyperlink" Target="https://getkirby.com/docs/guide/blueprints/fields" TargetMode="External"/><Relationship Id="rId103" Type="http://schemas.openxmlformats.org/officeDocument/2006/relationships/hyperlink" Target="https://statamic.dev/content-modeling/validation" TargetMode="External"/><Relationship Id="rId104" Type="http://schemas.openxmlformats.org/officeDocument/2006/relationships/hyperlink" Target="https://docs.octobercms.com/4.x/cms/tailor/content-fields.html" TargetMode="External"/><Relationship Id="rId105" Type="http://schemas.openxmlformats.org/officeDocument/2006/relationships/hyperlink" Target="https://learn.getgrav.org/20/forms/blueprints/fields-available" TargetMode="External"/><Relationship Id="rId106" Type="http://schemas.openxmlformats.org/officeDocument/2006/relationships/hyperlink" Target="https://payloadcms.com/docs/fields/overview" TargetMode="External"/><Relationship Id="rId107" Type="http://schemas.openxmlformats.org/officeDocument/2006/relationships/hyperlink" Target="https://github.com/tallcms/tallcms/blob/main/docs/dev-blocks.md" TargetMode="External"/><Relationship Id="rId108" Type="http://schemas.openxmlformats.org/officeDocument/2006/relationships/hyperlink" Target="https://github.com/lara-zeus/sky/blob/main/src/Filament/Resources/PostResource.php" TargetMode="External"/><Relationship Id="rId109" Type="http://schemas.openxmlformats.org/officeDocument/2006/relationships/hyperlink" Target="https://wordpress.org/plugins/secure-custom-fields/" TargetMode="External"/><Relationship Id="rId110" Type="http://schemas.openxmlformats.org/officeDocument/2006/relationships/hyperlink" Target="https://www.drupal.org/project/conditional_fields" TargetMode="External"/><Relationship Id="rId111" Type="http://schemas.openxmlformats.org/officeDocument/2006/relationships/hyperlink" Target="https://craftcms.com/docs/5.x/system/fields.html" TargetMode="External"/><Relationship Id="rId112" Type="http://schemas.openxmlformats.org/officeDocument/2006/relationships/hyperlink" Target="https://getkirby.com/docs/guide/blueprints/fields" TargetMode="External"/><Relationship Id="rId113" Type="http://schemas.openxmlformats.org/officeDocument/2006/relationships/hyperlink" Target="https://statamic.dev/control-panel/conditional-fields" TargetMode="External"/><Relationship Id="rId114" Type="http://schemas.openxmlformats.org/officeDocument/2006/relationships/hyperlink" Target="https://docs.octobercms.com/4.x/element/form-fields.html" TargetMode="External"/><Relationship Id="rId115" Type="http://schemas.openxmlformats.org/officeDocument/2006/relationships/hyperlink" Target="https://learn.getgrav.org/20/forms/blueprints/fields-available" TargetMode="External"/><Relationship Id="rId116" Type="http://schemas.openxmlformats.org/officeDocument/2006/relationships/hyperlink" Target="https://payloadcms.com/docs/fields/overview" TargetMode="External"/><Relationship Id="rId117" Type="http://schemas.openxmlformats.org/officeDocument/2006/relationships/hyperlink" Target="https://github.com/tallcms/tallcms/tree/main/packages/tallcms/cms/src/Filament/Blocks/ContactFormBlock.php" TargetMode="External"/><Relationship Id="rId118" Type="http://schemas.openxmlformats.org/officeDocument/2006/relationships/hyperlink" Target="https://github.com/lara-zeus/sky/blob/main/src/Filament/Resources/PostResource.php" TargetMode="External"/><Relationship Id="rId119" Type="http://schemas.openxmlformats.org/officeDocument/2006/relationships/hyperlink" Target="https://developer.wordpress.org/reference/hooks/save_post/" TargetMode="External"/><Relationship Id="rId120" Type="http://schemas.openxmlformats.org/officeDocument/2006/relationships/hyperlink" Target="https://www.drupal.org/project/computed_field" TargetMode="External"/><Relationship Id="rId121" Type="http://schemas.openxmlformats.org/officeDocument/2006/relationships/hyperlink" Target="https://github.com/craftcms/cms/blob/5.x/CHANGELOG.md" TargetMode="External"/><Relationship Id="rId122" Type="http://schemas.openxmlformats.org/officeDocument/2006/relationships/hyperlink" Target="https://getkirby.com/docs/guide/blueprints/query-language" TargetMode="External"/><Relationship Id="rId123" Type="http://schemas.openxmlformats.org/officeDocument/2006/relationships/hyperlink" Target="https://statamic.dev/content-modeling/computed-values" TargetMode="External"/><Relationship Id="rId124" Type="http://schemas.openxmlformats.org/officeDocument/2006/relationships/hyperlink" Target="https://docs.octobercms.com/4.x/element/form-fields.html" TargetMode="External"/><Relationship Id="rId125" Type="http://schemas.openxmlformats.org/officeDocument/2006/relationships/hyperlink" Target="https://learn.getgrav.org/20/forms/blueprints/fields-available" TargetMode="External"/><Relationship Id="rId126" Type="http://schemas.openxmlformats.org/officeDocument/2006/relationships/hyperlink" Target="https://payloadcms.com/docs/fields/overview" TargetMode="External"/><Relationship Id="rId127" Type="http://schemas.openxmlformats.org/officeDocument/2006/relationships/hyperlink" Target="https://github.com/tallcms/tallcms/tree/main/packages/tallcms/cms/src/Filament/Resources/CmsPages/Schemas/CmsPageForm.php" TargetMode="External"/><Relationship Id="rId128" Type="http://schemas.openxmlformats.org/officeDocument/2006/relationships/hyperlink" Target="https://github.com/lara-zeus/sky/blob/main/src/Models/Post.php" TargetMode="External"/><Relationship Id="rId129" Type="http://schemas.openxmlformats.org/officeDocument/2006/relationships/hyperlink" Target="https://wordpress.org/documentation/article/wordpress-block-editor/" TargetMode="External"/><Relationship Id="rId130" Type="http://schemas.openxmlformats.org/officeDocument/2006/relationships/hyperlink" Target="https://www.drupal.org/docs/core-modules-and-themes/core-modules/ckeditor5-module" TargetMode="External"/><Relationship Id="rId131" Type="http://schemas.openxmlformats.org/officeDocument/2006/relationships/hyperlink" Target="https://plugins.craftcms.com/ckeditor" TargetMode="External"/><Relationship Id="rId132" Type="http://schemas.openxmlformats.org/officeDocument/2006/relationships/hyperlink" Target="https://getkirby.com/docs/reference/panel/fields/writer" TargetMode="External"/><Relationship Id="rId133" Type="http://schemas.openxmlformats.org/officeDocument/2006/relationships/hyperlink" Target="https://statamic.dev/fieldtypes/bard" TargetMode="External"/><Relationship Id="rId134" Type="http://schemas.openxmlformats.org/officeDocument/2006/relationships/hyperlink" Target="https://docs.octobercms.com/4.x/element/form/widget-richeditor.html" TargetMode="External"/><Relationship Id="rId135" Type="http://schemas.openxmlformats.org/officeDocument/2006/relationships/hyperlink" Target="https://premium.getgrav.org/l/grav-premium-editor-pro" TargetMode="External"/><Relationship Id="rId136" Type="http://schemas.openxmlformats.org/officeDocument/2006/relationships/hyperlink" Target="https://payloadcms.com/docs/rich-text/overview" TargetMode="External"/><Relationship Id="rId137" Type="http://schemas.openxmlformats.org/officeDocument/2006/relationships/hyperlink" Target="https://github.com/tallcms/tallcms/blob/main/docs/ref-rich-editor.md" TargetMode="External"/><Relationship Id="rId138" Type="http://schemas.openxmlformats.org/officeDocument/2006/relationships/hyperlink" Target="https://larazeus.com/docs/sky/v5/getting-started/editor" TargetMode="External"/><Relationship Id="rId139" Type="http://schemas.openxmlformats.org/officeDocument/2006/relationships/hyperlink" Target="https://developer.wordpress.org/block-editor/" TargetMode="External"/><Relationship Id="rId140" Type="http://schemas.openxmlformats.org/officeDocument/2006/relationships/hyperlink" Target="https://www.drupal.org/docs/core-modules-and-themes/core-modules/layout-builder-module" TargetMode="External"/><Relationship Id="rId141" Type="http://schemas.openxmlformats.org/officeDocument/2006/relationships/hyperlink" Target="https://craftcms.com/docs/5.x/reference/field-types/matrix.html" TargetMode="External"/><Relationship Id="rId142" Type="http://schemas.openxmlformats.org/officeDocument/2006/relationships/hyperlink" Target="https://getkirby.com/docs/guide/page-builder" TargetMode="External"/><Relationship Id="rId143" Type="http://schemas.openxmlformats.org/officeDocument/2006/relationships/hyperlink" Target="https://statamic.dev/fieldtypes/replicator" TargetMode="External"/><Relationship Id="rId144" Type="http://schemas.openxmlformats.org/officeDocument/2006/relationships/hyperlink" Target="https://docs.octobercms.com/4.x/element/form/widget-repeater.html" TargetMode="External"/><Relationship Id="rId145" Type="http://schemas.openxmlformats.org/officeDocument/2006/relationships/hyperlink" Target="https://premium.getgrav.org/l/grav-premium-editor-pro" TargetMode="External"/><Relationship Id="rId146" Type="http://schemas.openxmlformats.org/officeDocument/2006/relationships/hyperlink" Target="https://payloadcms.com/docs/fields/blocks" TargetMode="External"/><Relationship Id="rId147" Type="http://schemas.openxmlformats.org/officeDocument/2006/relationships/hyperlink" Target="https://github.com/tallcms/tallcms/blob/main/docs/site-blocks.md" TargetMode="External"/><Relationship Id="rId148" Type="http://schemas.openxmlformats.org/officeDocument/2006/relationships/hyperlink" Target="https://larazeus.com/docs/sky/v5/getting-started/editor" TargetMode="External"/><Relationship Id="rId149" Type="http://schemas.openxmlformats.org/officeDocument/2006/relationships/hyperlink" Target="https://make.wordpress.org/core/2026/05/14/wordpress-7-0-field-guide/" TargetMode="External"/><Relationship Id="rId150" Type="http://schemas.openxmlformats.org/officeDocument/2006/relationships/hyperlink" Target="https://www.drupal.org/docs/develop/theming-drupal/using-single-directory-components" TargetMode="External"/><Relationship Id="rId151" Type="http://schemas.openxmlformats.org/officeDocument/2006/relationships/hyperlink" Target="https://craftcms.com/docs/5.x/reference/field-types/matrix.html" TargetMode="External"/><Relationship Id="rId152" Type="http://schemas.openxmlformats.org/officeDocument/2006/relationships/hyperlink" Target="https://getkirby.com/docs/reference/panel/fields/blocks" TargetMode="External"/><Relationship Id="rId153" Type="http://schemas.openxmlformats.org/officeDocument/2006/relationships/hyperlink" Target="https://statamic.dev/fieldtypes/replicator" TargetMode="External"/><Relationship Id="rId154" Type="http://schemas.openxmlformats.org/officeDocument/2006/relationships/hyperlink" Target="https://docs.octobercms.com/4.x/cms/themes/snippets.html" TargetMode="External"/><Relationship Id="rId155" Type="http://schemas.openxmlformats.org/officeDocument/2006/relationships/hyperlink" Target="https://github.com/getgrav/grav-plugin-shortcode-core" TargetMode="External"/><Relationship Id="rId156" Type="http://schemas.openxmlformats.org/officeDocument/2006/relationships/hyperlink" Target="https://payloadcms.com/docs/fields/blocks" TargetMode="External"/><Relationship Id="rId157" Type="http://schemas.openxmlformats.org/officeDocument/2006/relationships/hyperlink" Target="https://github.com/tallcms/tallcms/blob/main/docs/dev-blocks.md" TargetMode="External"/><Relationship Id="rId158" Type="http://schemas.openxmlformats.org/officeDocument/2006/relationships/hyperlink" Target="https://github.com/lara-zeus/sky/blob/main/src/Classes/BoltParser.php" TargetMode="External"/><Relationship Id="rId159" Type="http://schemas.openxmlformats.org/officeDocument/2006/relationships/hyperlink" Target="https://developer.wordpress.org/block-editor/how-to-guides/block-tutorial/nested-blocks-inner-blocks/" TargetMode="External"/><Relationship Id="rId160" Type="http://schemas.openxmlformats.org/officeDocument/2006/relationships/hyperlink" Target="https://project.pages.drupalcode.org/canvas/sdc-components/slots" TargetMode="External"/><Relationship Id="rId161" Type="http://schemas.openxmlformats.org/officeDocument/2006/relationships/hyperlink" Target="https://craftcms.com/docs/5.x/reference/field-types/matrix.html" TargetMode="External"/><Relationship Id="rId162" Type="http://schemas.openxmlformats.org/officeDocument/2006/relationships/hyperlink" Target="https://getkirby.com/docs/reference/panel/fields/blocks" TargetMode="External"/><Relationship Id="rId163" Type="http://schemas.openxmlformats.org/officeDocument/2006/relationships/hyperlink" Target="https://statamic.dev/fieldtypes/bard" TargetMode="External"/><Relationship Id="rId164" Type="http://schemas.openxmlformats.org/officeDocument/2006/relationships/hyperlink" Target="https://docs.octobercms.com/4.x/element/form/widget-repeater.html" TargetMode="External"/><Relationship Id="rId165" Type="http://schemas.openxmlformats.org/officeDocument/2006/relationships/hyperlink" Target="https://github.com/getgrav/grav-plugin-shortcode-core" TargetMode="External"/><Relationship Id="rId166" Type="http://schemas.openxmlformats.org/officeDocument/2006/relationships/hyperlink" Target="https://payloadcms.com/docs/rich-text/blocks" TargetMode="External"/><Relationship Id="rId167" Type="http://schemas.openxmlformats.org/officeDocument/2006/relationships/hyperlink" Target="https://github.com/tallcms/tallcms/blob/main/docs/ref-rich-editor.md" TargetMode="External"/><Relationship Id="rId168" Type="http://schemas.openxmlformats.org/officeDocument/2006/relationships/hyperlink" Target="https://wordpress.org/documentation/article/reusable-blocks/" TargetMode="External"/><Relationship Id="rId169" Type="http://schemas.openxmlformats.org/officeDocument/2006/relationships/hyperlink" Target="https://www.drupal.org/docs/user_guide/en/block-create-custom.html" TargetMode="External"/><Relationship Id="rId170" Type="http://schemas.openxmlformats.org/officeDocument/2006/relationships/hyperlink" Target="https://craftcms.com/docs/5.x/reference/field-types/entries.html" TargetMode="External"/><Relationship Id="rId171" Type="http://schemas.openxmlformats.org/officeDocument/2006/relationships/hyperlink" Target="https://packagist.org/packages/tobimori/kirby-global-blocks" TargetMode="External"/><Relationship Id="rId172" Type="http://schemas.openxmlformats.org/officeDocument/2006/relationships/hyperlink" Target="https://statamic.dev/content-modeling/fieldsets" TargetMode="External"/><Relationship Id="rId173" Type="http://schemas.openxmlformats.org/officeDocument/2006/relationships/hyperlink" Target="https://docs.octobercms.com/4.x/cms/themes/snippets.html" TargetMode="External"/><Relationship Id="rId174" Type="http://schemas.openxmlformats.org/officeDocument/2006/relationships/hyperlink" Target="https://github.com/getgrav/grav-plugin-page-inject" TargetMode="External"/><Relationship Id="rId175" Type="http://schemas.openxmlformats.org/officeDocument/2006/relationships/hyperlink" Target="https://payloadcms.com/docs/fields/blocks" TargetMode="External"/><Relationship Id="rId176" Type="http://schemas.openxmlformats.org/officeDocument/2006/relationships/hyperlink" Target="https://github.com/tallcms/tallcms/blob/main/docs/ref-rich-editor.md" TargetMode="External"/><Relationship Id="rId177" Type="http://schemas.openxmlformats.org/officeDocument/2006/relationships/hyperlink" Target="https://wordpress.org/documentation/article/keyboard-shortcuts-block-editor/" TargetMode="External"/><Relationship Id="rId178" Type="http://schemas.openxmlformats.org/officeDocument/2006/relationships/hyperlink" Target="https://www.drupal.org/project/markdown" TargetMode="External"/><Relationship Id="rId179" Type="http://schemas.openxmlformats.org/officeDocument/2006/relationships/hyperlink" Target="https://craftcms.com/docs/5.x/reference/twig/filters.html" TargetMode="External"/><Relationship Id="rId180" Type="http://schemas.openxmlformats.org/officeDocument/2006/relationships/hyperlink" Target="https://getkirby.com/docs/reference/system/options/markdown" TargetMode="External"/><Relationship Id="rId181" Type="http://schemas.openxmlformats.org/officeDocument/2006/relationships/hyperlink" Target="https://statamic.dev/frontend/markdown" TargetMode="External"/><Relationship Id="rId182" Type="http://schemas.openxmlformats.org/officeDocument/2006/relationships/hyperlink" Target="https://docs.octobercms.com/4.x/element/form/widget-markdown.html" TargetMode="External"/><Relationship Id="rId183" Type="http://schemas.openxmlformats.org/officeDocument/2006/relationships/hyperlink" Target="https://github.com/getgrav/grav/blob/develop/CHANGELOG.md" TargetMode="External"/><Relationship Id="rId184" Type="http://schemas.openxmlformats.org/officeDocument/2006/relationships/hyperlink" Target="https://payloadcms.com/docs/rich-text/converting-markdown" TargetMode="External"/><Relationship Id="rId185" Type="http://schemas.openxmlformats.org/officeDocument/2006/relationships/hyperlink" Target="https://larazeus.com/docs/sky/v5/getting-started/editor" TargetMode="External"/><Relationship Id="rId186" Type="http://schemas.openxmlformats.org/officeDocument/2006/relationships/hyperlink" Target="https://wordpress.org/documentation/article/site-editor/" TargetMode="External"/><Relationship Id="rId187" Type="http://schemas.openxmlformats.org/officeDocument/2006/relationships/hyperlink" Target="https://www.drupal.org/project/canvas" TargetMode="External"/><Relationship Id="rId188" Type="http://schemas.openxmlformats.org/officeDocument/2006/relationships/hyperlink" Target="https://getkirby.com/releases/6" TargetMode="External"/><Relationship Id="rId189" Type="http://schemas.openxmlformats.org/officeDocument/2006/relationships/hyperlink" Target="https://statamic.com/addons/chrisvasey/simple-statamic-toolbar" TargetMode="External"/><Relationship Id="rId190" Type="http://schemas.openxmlformats.org/officeDocument/2006/relationships/hyperlink" Target="https://octobercms.com/plugin/rainlab-editable" TargetMode="External"/><Relationship Id="rId191" Type="http://schemas.openxmlformats.org/officeDocument/2006/relationships/hyperlink" Target="https://github.com/getgrav/grav-plugin-admin2" TargetMode="External"/><Relationship Id="rId192" Type="http://schemas.openxmlformats.org/officeDocument/2006/relationships/hyperlink" Target="https://payloadcms.com/enterprise" TargetMode="External"/><Relationship Id="rId193" Type="http://schemas.openxmlformats.org/officeDocument/2006/relationships/hyperlink" Target="https://wordpress.org/documentation/article/preview-post/" TargetMode="External"/><Relationship Id="rId194" Type="http://schemas.openxmlformats.org/officeDocument/2006/relationships/hyperlink" Target="https://www.drupal.org/docs/user_guide/en/content-create.html" TargetMode="External"/><Relationship Id="rId195" Type="http://schemas.openxmlformats.org/officeDocument/2006/relationships/hyperlink" Target="https://craftcms.com/docs/5.x/system/drafts-revisions.html" TargetMode="External"/><Relationship Id="rId196" Type="http://schemas.openxmlformats.org/officeDocument/2006/relationships/hyperlink" Target="https://getkirby.com/releases/5/changes" TargetMode="External"/><Relationship Id="rId197" Type="http://schemas.openxmlformats.org/officeDocument/2006/relationships/hyperlink" Target="https://statamic.dev/control-panel/live-preview" TargetMode="External"/><Relationship Id="rId198" Type="http://schemas.openxmlformats.org/officeDocument/2006/relationships/hyperlink" Target="https://github.com/octobercms/october/blob/develop/modules/tailor/behaviors/PreviewController.php" TargetMode="External"/><Relationship Id="rId199" Type="http://schemas.openxmlformats.org/officeDocument/2006/relationships/hyperlink" Target="https://github.com/getgrav/grav-plugin-admin2/blob/develop/CHANGELOG.md" TargetMode="External"/><Relationship Id="rId200" Type="http://schemas.openxmlformats.org/officeDocument/2006/relationships/hyperlink" Target="https://payloadcms.com/docs/live-preview/overview" TargetMode="External"/><Relationship Id="rId201" Type="http://schemas.openxmlformats.org/officeDocument/2006/relationships/hyperlink" Target="https://github.com/tallcms/tallcms/blob/main/docs/ref-publishing.md" TargetMode="External"/><Relationship Id="rId202" Type="http://schemas.openxmlformats.org/officeDocument/2006/relationships/hyperlink" Target="https://github.com/lara-zeus/sky/blob/main/src/Filament/Resources/PostResource.php" TargetMode="External"/><Relationship Id="rId203" Type="http://schemas.openxmlformats.org/officeDocument/2006/relationships/hyperlink" Target="https://wordpress.org/news/2026/08/mary-lou/" TargetMode="External"/><Relationship Id="rId204" Type="http://schemas.openxmlformats.org/officeDocument/2006/relationships/hyperlink" Target="https://imagexmedia.com/blog/drupal-canvas-tour-content-authoring" TargetMode="External"/><Relationship Id="rId205" Type="http://schemas.openxmlformats.org/officeDocument/2006/relationships/hyperlink" Target="https://madebyshape.co.uk/web-design-blog/mastering-craft-cms-live-preview-a-step-by-step-guide/" TargetMode="External"/><Relationship Id="rId206" Type="http://schemas.openxmlformats.org/officeDocument/2006/relationships/hyperlink" Target="https://getkirby.com/releases/6" TargetMode="External"/><Relationship Id="rId207" Type="http://schemas.openxmlformats.org/officeDocument/2006/relationships/hyperlink" Target="https://statamic.dev/control-panel/live-preview" TargetMode="External"/><Relationship Id="rId208" Type="http://schemas.openxmlformats.org/officeDocument/2006/relationships/hyperlink" Target="https://payloadcms.com/docs/live-preview/overview" TargetMode="External"/><Relationship Id="rId209" Type="http://schemas.openxmlformats.org/officeDocument/2006/relationships/hyperlink" Target="https://github.com/tallcms/tallcms/blob/main/docs/ref-publishing.md" TargetMode="External"/><Relationship Id="rId210" Type="http://schemas.openxmlformats.org/officeDocument/2006/relationships/hyperlink" Target="https://wordpress.org/documentation/article/keyboard-shortcuts-block-editor/" TargetMode="External"/><Relationship Id="rId211" Type="http://schemas.openxmlformats.org/officeDocument/2006/relationships/hyperlink" Target="https://www.drupal.org/project/coffee" TargetMode="External"/><Relationship Id="rId212" Type="http://schemas.openxmlformats.org/officeDocument/2006/relationships/hyperlink" Target="https://craftcms.com/docs/5.x/system/control-panel.html" TargetMode="External"/><Relationship Id="rId213" Type="http://schemas.openxmlformats.org/officeDocument/2006/relationships/hyperlink" Target="https://getkirby.com/releases/4" TargetMode="External"/><Relationship Id="rId214" Type="http://schemas.openxmlformats.org/officeDocument/2006/relationships/hyperlink" Target="https://statamic.dev/control-panel/keyboard-shortcuts" TargetMode="External"/><Relationship Id="rId215" Type="http://schemas.openxmlformats.org/officeDocument/2006/relationships/hyperlink" Target="https://octobercms.com/support/article/rn-42" TargetMode="External"/><Relationship Id="rId216" Type="http://schemas.openxmlformats.org/officeDocument/2006/relationships/hyperlink" Target="https://github.com/getgrav/grav-plugin-admin2/blob/develop/CHANGELOG.md" TargetMode="External"/><Relationship Id="rId217" Type="http://schemas.openxmlformats.org/officeDocument/2006/relationships/hyperlink" Target="https://payloadcms.com/docs/rich-text/official-features" TargetMode="External"/><Relationship Id="rId218" Type="http://schemas.openxmlformats.org/officeDocument/2006/relationships/hyperlink" Target="https://github.com/tallcms/tallcms/blob/main/docs/ref-rich-editor.md" TargetMode="External"/><Relationship Id="rId219" Type="http://schemas.openxmlformats.org/officeDocument/2006/relationships/hyperlink" Target="https://filamentphp.com/docs/5.x/forms/rich-editor" TargetMode="External"/><Relationship Id="rId220" Type="http://schemas.openxmlformats.org/officeDocument/2006/relationships/hyperlink" Target="https://wordpress.org/documentation/article/revisions/" TargetMode="External"/><Relationship Id="rId221" Type="http://schemas.openxmlformats.org/officeDocument/2006/relationships/hyperlink" Target="https://www.drupal.org/project/canvas" TargetMode="External"/><Relationship Id="rId222" Type="http://schemas.openxmlformats.org/officeDocument/2006/relationships/hyperlink" Target="https://craftcms.com/docs/5.x/system/drafts-revisions.html" TargetMode="External"/><Relationship Id="rId223" Type="http://schemas.openxmlformats.org/officeDocument/2006/relationships/hyperlink" Target="https://getkirby.com/releases/5" TargetMode="External"/><Relationship Id="rId224" Type="http://schemas.openxmlformats.org/officeDocument/2006/relationships/hyperlink" Target="https://statamic.dev/content-modeling/revisions" TargetMode="External"/><Relationship Id="rId225" Type="http://schemas.openxmlformats.org/officeDocument/2006/relationships/hyperlink" Target="https://docs.octobercms.com/4.x/cms/tailor/blueprints.html" TargetMode="External"/><Relationship Id="rId226" Type="http://schemas.openxmlformats.org/officeDocument/2006/relationships/hyperlink" Target="https://github.com/getgrav/grav-plugin-admin2/blob/develop/CHANGELOG.md" TargetMode="External"/><Relationship Id="rId227" Type="http://schemas.openxmlformats.org/officeDocument/2006/relationships/hyperlink" Target="https://payloadcms.com/docs/versions/autosave" TargetMode="External"/><Relationship Id="rId228" Type="http://schemas.openxmlformats.org/officeDocument/2006/relationships/hyperlink" Target="https://github.com/tallcms/tallcms/blob/main/docs/ref-publishing.md" TargetMode="External"/><Relationship Id="rId229" Type="http://schemas.openxmlformats.org/officeDocument/2006/relationships/hyperlink" Target="https://github.com/lara-zeus/sky/blob/main/src/Enums/PostStatus.php" TargetMode="External"/><Relationship Id="rId230" Type="http://schemas.openxmlformats.org/officeDocument/2006/relationships/hyperlink" Target="https://wordpress.org/documentation/article/media-library-screen/" TargetMode="External"/><Relationship Id="rId231" Type="http://schemas.openxmlformats.org/officeDocument/2006/relationships/hyperlink" Target="https://www.drupal.org/docs/core-modules-and-themes/core-modules/media-library-module" TargetMode="External"/><Relationship Id="rId232" Type="http://schemas.openxmlformats.org/officeDocument/2006/relationships/hyperlink" Target="https://craftcms.com/docs/5.x/reference/element-types/assets.html" TargetMode="External"/><Relationship Id="rId233" Type="http://schemas.openxmlformats.org/officeDocument/2006/relationships/hyperlink" Target="https://getkirby.com/docs/guide/files" TargetMode="External"/><Relationship Id="rId234" Type="http://schemas.openxmlformats.org/officeDocument/2006/relationships/hyperlink" Target="https://statamic.dev/frontend/assets" TargetMode="External"/><Relationship Id="rId235" Type="http://schemas.openxmlformats.org/officeDocument/2006/relationships/hyperlink" Target="https://docs.octobercms.com/4.x/cms/media/introduction.html" TargetMode="External"/><Relationship Id="rId236" Type="http://schemas.openxmlformats.org/officeDocument/2006/relationships/hyperlink" Target="https://github.com/getgrav/grav-plugin-admin2/blob/develop/CHANGELOG.md" TargetMode="External"/><Relationship Id="rId237" Type="http://schemas.openxmlformats.org/officeDocument/2006/relationships/hyperlink" Target="https://payloadcms.com/docs/upload/overview" TargetMode="External"/><Relationship Id="rId238" Type="http://schemas.openxmlformats.org/officeDocument/2006/relationships/hyperlink" Target="https://github.com/tallcms/tallcms/blob/main/docs/site-media.md" TargetMode="External"/><Relationship Id="rId239" Type="http://schemas.openxmlformats.org/officeDocument/2006/relationships/hyperlink" Target="https://github.com/lara-zeus/sky/blob/main/src/Filament/Resources/PostResource.php" TargetMode="External"/><Relationship Id="rId240" Type="http://schemas.openxmlformats.org/officeDocument/2006/relationships/hyperlink" Target="https://wordpress.org/plugins/filebird/" TargetMode="External"/><Relationship Id="rId241" Type="http://schemas.openxmlformats.org/officeDocument/2006/relationships/hyperlink" Target="https://www.drupal.org/project/media_directories" TargetMode="External"/><Relationship Id="rId242" Type="http://schemas.openxmlformats.org/officeDocument/2006/relationships/hyperlink" Target="https://craftcms.com/docs/5.x/reference/element-types/assets.html" TargetMode="External"/><Relationship Id="rId243" Type="http://schemas.openxmlformats.org/officeDocument/2006/relationships/hyperlink" Target="https://plugins.getkirby.com/topics/media" TargetMode="External"/><Relationship Id="rId244" Type="http://schemas.openxmlformats.org/officeDocument/2006/relationships/hyperlink" Target="https://statamic.dev/frontend/assets" TargetMode="External"/><Relationship Id="rId245" Type="http://schemas.openxmlformats.org/officeDocument/2006/relationships/hyperlink" Target="https://docs.octobercms.com/4.x/cms/media/introduction.html" TargetMode="External"/><Relationship Id="rId246" Type="http://schemas.openxmlformats.org/officeDocument/2006/relationships/hyperlink" Target="https://github.com/getgrav/grav-mcp" TargetMode="External"/><Relationship Id="rId247" Type="http://schemas.openxmlformats.org/officeDocument/2006/relationships/hyperlink" Target="https://payloadcms.com/docs/folders/overview" TargetMode="External"/><Relationship Id="rId248" Type="http://schemas.openxmlformats.org/officeDocument/2006/relationships/hyperlink" Target="https://github.com/tallcms/tallcms/blob/main/docs/site-media.md" TargetMode="External"/><Relationship Id="rId249" Type="http://schemas.openxmlformats.org/officeDocument/2006/relationships/hyperlink" Target="https://github.com/lara-zeus/sky/blob/main/src/Filament/Resources/LibraryResource.php" TargetMode="External"/><Relationship Id="rId250" Type="http://schemas.openxmlformats.org/officeDocument/2006/relationships/hyperlink" Target="https://wordpress.org/news/2026/08/mary-lou/" TargetMode="External"/><Relationship Id="rId251" Type="http://schemas.openxmlformats.org/officeDocument/2006/relationships/hyperlink" Target="https://www.drupal.org/project/focal_point" TargetMode="External"/><Relationship Id="rId252" Type="http://schemas.openxmlformats.org/officeDocument/2006/relationships/hyperlink" Target="https://craftcms.com/docs/5.x/reference/element-types/assets.html" TargetMode="External"/><Relationship Id="rId253" Type="http://schemas.openxmlformats.org/officeDocument/2006/relationships/hyperlink" Target="https://getkirby.com/releases/4" TargetMode="External"/><Relationship Id="rId254" Type="http://schemas.openxmlformats.org/officeDocument/2006/relationships/hyperlink" Target="https://statamic.dev/frontend/assets" TargetMode="External"/><Relationship Id="rId255" Type="http://schemas.openxmlformats.org/officeDocument/2006/relationships/hyperlink" Target="https://github.com/octobercms/october/blob/develop/modules/media/widgets/MediaManager.php" TargetMode="External"/><Relationship Id="rId256" Type="http://schemas.openxmlformats.org/officeDocument/2006/relationships/hyperlink" Target="https://learn.getgrav.org/20/content/media" TargetMode="External"/><Relationship Id="rId257" Type="http://schemas.openxmlformats.org/officeDocument/2006/relationships/hyperlink" Target="https://payloadcms.com/docs/upload/overview" TargetMode="External"/><Relationship Id="rId258" Type="http://schemas.openxmlformats.org/officeDocument/2006/relationships/hyperlink" Target="https://github.com/tallcms/tallcms/tree/main/packages/tallcms/cms/src/Filament/Blocks/ImageGalleryBlock.php" TargetMode="External"/><Relationship Id="rId259" Type="http://schemas.openxmlformats.org/officeDocument/2006/relationships/hyperlink" Target="https://filamentphp.com/docs/5.x/forms/file-upload" TargetMode="External"/><Relationship Id="rId260" Type="http://schemas.openxmlformats.org/officeDocument/2006/relationships/hyperlink" Target="https://developer.wordpress.org/reference/functions/add_image_size/" TargetMode="External"/><Relationship Id="rId261" Type="http://schemas.openxmlformats.org/officeDocument/2006/relationships/hyperlink" Target="https://www.drupal.org/docs/user_guide/en/structure-image-style-create.html" TargetMode="External"/><Relationship Id="rId262" Type="http://schemas.openxmlformats.org/officeDocument/2006/relationships/hyperlink" Target="https://craftcms.com/docs/5.x/development/image-transforms.html" TargetMode="External"/><Relationship Id="rId263" Type="http://schemas.openxmlformats.org/officeDocument/2006/relationships/hyperlink" Target="https://getkirby.com/docs/guide/files/resize-images-on-the-fly" TargetMode="External"/><Relationship Id="rId264" Type="http://schemas.openxmlformats.org/officeDocument/2006/relationships/hyperlink" Target="https://statamic.dev/frontend/image-manipulation" TargetMode="External"/><Relationship Id="rId265" Type="http://schemas.openxmlformats.org/officeDocument/2006/relationships/hyperlink" Target="https://docs.octobercms.com/4.x/markup/filter/resize.html" TargetMode="External"/><Relationship Id="rId266" Type="http://schemas.openxmlformats.org/officeDocument/2006/relationships/hyperlink" Target="https://learn.getgrav.org/20/content/media" TargetMode="External"/><Relationship Id="rId267" Type="http://schemas.openxmlformats.org/officeDocument/2006/relationships/hyperlink" Target="https://payloadcms.com/docs/upload/overview" TargetMode="External"/><Relationship Id="rId268" Type="http://schemas.openxmlformats.org/officeDocument/2006/relationships/hyperlink" Target="https://github.com/tallcms/tallcms/blob/main/docs/site-media.md" TargetMode="External"/><Relationship Id="rId269" Type="http://schemas.openxmlformats.org/officeDocument/2006/relationships/hyperlink" Target="https://spatie.be/docs/laravel-medialibrary/v11/converting-images/defining-conversions" TargetMode="External"/><Relationship Id="rId270" Type="http://schemas.openxmlformats.org/officeDocument/2006/relationships/hyperlink" Target="https://wordpress.org/plugins/webp-uploads/" TargetMode="External"/><Relationship Id="rId271" Type="http://schemas.openxmlformats.org/officeDocument/2006/relationships/hyperlink" Target="https://www.drupal.org/blog/drupal-11-2-0" TargetMode="External"/><Relationship Id="rId272" Type="http://schemas.openxmlformats.org/officeDocument/2006/relationships/hyperlink" Target="https://craftcms.com/docs/5.x/development/image-transforms.html" TargetMode="External"/><Relationship Id="rId273" Type="http://schemas.openxmlformats.org/officeDocument/2006/relationships/hyperlink" Target="https://getkirby.com/docs/guide/files/resize-images-on-the-fly" TargetMode="External"/><Relationship Id="rId274" Type="http://schemas.openxmlformats.org/officeDocument/2006/relationships/hyperlink" Target="https://statamic.dev/tags/glide" TargetMode="External"/><Relationship Id="rId275" Type="http://schemas.openxmlformats.org/officeDocument/2006/relationships/hyperlink" Target="https://docs.octobercms.com/4.x/markup/filter/resize.html" TargetMode="External"/><Relationship Id="rId276" Type="http://schemas.openxmlformats.org/officeDocument/2006/relationships/hyperlink" Target="https://github.com/getgrav/grav/blob/develop/system/src/Grav/Common/Page/Medium/ImageMedium.php" TargetMode="External"/><Relationship Id="rId277" Type="http://schemas.openxmlformats.org/officeDocument/2006/relationships/hyperlink" Target="https://payloadcms.com/docs/upload/overview" TargetMode="External"/><Relationship Id="rId278" Type="http://schemas.openxmlformats.org/officeDocument/2006/relationships/hyperlink" Target="https://github.com/tallcms/tallcms/blob/main/docs/site-media.md" TargetMode="External"/><Relationship Id="rId279" Type="http://schemas.openxmlformats.org/officeDocument/2006/relationships/hyperlink" Target="https://spatie.be/docs/laravel-medialibrary/v11/converting-images/defining-conversions" TargetMode="External"/><Relationship Id="rId280" Type="http://schemas.openxmlformats.org/officeDocument/2006/relationships/hyperlink" Target="https://make.wordpress.org/core/2026/05/14/wordpress-7-0-field-guide/" TargetMode="External"/><Relationship Id="rId281" Type="http://schemas.openxmlformats.org/officeDocument/2006/relationships/hyperlink" Target="https://www.drupal.org/docs/core-modules-and-themes/core-modules/media-module" TargetMode="External"/><Relationship Id="rId282" Type="http://schemas.openxmlformats.org/officeDocument/2006/relationships/hyperlink" Target="https://craftcms.com/docs/5.x/reference/element-types/assets.html" TargetMode="External"/><Relationship Id="rId283" Type="http://schemas.openxmlformats.org/officeDocument/2006/relationships/hyperlink" Target="https://getkirby.com/docs/guide/files/file-metadata" TargetMode="External"/><Relationship Id="rId284" Type="http://schemas.openxmlformats.org/officeDocument/2006/relationships/hyperlink" Target="https://statamic.dev/frontend/assets" TargetMode="External"/><Relationship Id="rId285" Type="http://schemas.openxmlformats.org/officeDocument/2006/relationships/hyperlink" Target="https://docs.octobercms.com/4.x/element/form/widget-fileupload.html" TargetMode="External"/><Relationship Id="rId286" Type="http://schemas.openxmlformats.org/officeDocument/2006/relationships/hyperlink" Target="https://learn.getgrav.org/20/content/media" TargetMode="External"/><Relationship Id="rId287" Type="http://schemas.openxmlformats.org/officeDocument/2006/relationships/hyperlink" Target="https://payloadcms.com/docs/upload/overview" TargetMode="External"/><Relationship Id="rId288" Type="http://schemas.openxmlformats.org/officeDocument/2006/relationships/hyperlink" Target="https://github.com/tallcms/tallcms/blob/main/docs/site-media.md" TargetMode="External"/><Relationship Id="rId289" Type="http://schemas.openxmlformats.org/officeDocument/2006/relationships/hyperlink" Target="https://github.com/lara-zeus/sky/blob/main/src/Filament/Resources/PostResource.php" TargetMode="External"/><Relationship Id="rId290" Type="http://schemas.openxmlformats.org/officeDocument/2006/relationships/hyperlink" Target="https://wordpress.org/plugins/amazon-s3-and-cloudfront/" TargetMode="External"/><Relationship Id="rId291" Type="http://schemas.openxmlformats.org/officeDocument/2006/relationships/hyperlink" Target="https://www.drupal.org/project/s3fs" TargetMode="External"/><Relationship Id="rId292" Type="http://schemas.openxmlformats.org/officeDocument/2006/relationships/hyperlink" Target="https://plugins.craftcms.com/aws-s3" TargetMode="External"/><Relationship Id="rId293" Type="http://schemas.openxmlformats.org/officeDocument/2006/relationships/hyperlink" Target="https://plugins.getkirby.com/topics/media" TargetMode="External"/><Relationship Id="rId294" Type="http://schemas.openxmlformats.org/officeDocument/2006/relationships/hyperlink" Target="https://statamic.dev/frontend/assets" TargetMode="External"/><Relationship Id="rId295" Type="http://schemas.openxmlformats.org/officeDocument/2006/relationships/hyperlink" Target="https://docs.octobercms.com/4.x/cms/media/providers.html" TargetMode="External"/><Relationship Id="rId296" Type="http://schemas.openxmlformats.org/officeDocument/2006/relationships/hyperlink" Target="https://payloadcms.com/docs/upload/storage-adapters" TargetMode="External"/><Relationship Id="rId297" Type="http://schemas.openxmlformats.org/officeDocument/2006/relationships/hyperlink" Target="https://github.com/tallcms/tallcms/blob/main/docs/site-media.md" TargetMode="External"/><Relationship Id="rId298" Type="http://schemas.openxmlformats.org/officeDocument/2006/relationships/hyperlink" Target="https://larazeus.com/docs/sky/v5/getting-started/configuration" TargetMode="External"/><Relationship Id="rId299" Type="http://schemas.openxmlformats.org/officeDocument/2006/relationships/hyperlink" Target="https://wordpress.org/news/2026/08/mary-lou/" TargetMode="External"/><Relationship Id="rId300" Type="http://schemas.openxmlformats.org/officeDocument/2006/relationships/hyperlink" Target="https://www.drupal.org/docs/core-modules-and-themes/core-modules/media-module" TargetMode="External"/><Relationship Id="rId301" Type="http://schemas.openxmlformats.org/officeDocument/2006/relationships/hyperlink" Target="https://craftcms.com/docs/5.x/reference/element-types/assets.html" TargetMode="External"/><Relationship Id="rId302" Type="http://schemas.openxmlformats.org/officeDocument/2006/relationships/hyperlink" Target="https://getkirby.com/releases/5" TargetMode="External"/><Relationship Id="rId303" Type="http://schemas.openxmlformats.org/officeDocument/2006/relationships/hyperlink" Target="https://statamic.dev/frontend/assets" TargetMode="External"/><Relationship Id="rId304" Type="http://schemas.openxmlformats.org/officeDocument/2006/relationships/hyperlink" Target="https://docs.octobercms.com/4.x/cms/media/introduction.html" TargetMode="External"/><Relationship Id="rId305" Type="http://schemas.openxmlformats.org/officeDocument/2006/relationships/hyperlink" Target="https://learn.getgrav.org/20/content/media" TargetMode="External"/><Relationship Id="rId306" Type="http://schemas.openxmlformats.org/officeDocument/2006/relationships/hyperlink" Target="https://payloadcms.com/docs/upload/overview" TargetMode="External"/><Relationship Id="rId307" Type="http://schemas.openxmlformats.org/officeDocument/2006/relationships/hyperlink" Target="https://github.com/tallcms/tallcms/blob/main/docs/site-media.md" TargetMode="External"/><Relationship Id="rId308" Type="http://schemas.openxmlformats.org/officeDocument/2006/relationships/hyperlink" Target="https://larazeus.com/docs/sky/v5/advanced/addons" TargetMode="External"/><Relationship Id="rId309" Type="http://schemas.openxmlformats.org/officeDocument/2006/relationships/hyperlink" Target="https://wordpress.org/news/2026/08/mary-lou/" TargetMode="External"/><Relationship Id="rId310" Type="http://schemas.openxmlformats.org/officeDocument/2006/relationships/hyperlink" Target="https://www.drupal.org/project/dropzonejs" TargetMode="External"/><Relationship Id="rId311" Type="http://schemas.openxmlformats.org/officeDocument/2006/relationships/hyperlink" Target="https://craftcms.com/docs/5.x/reference/element-types/assets.html" TargetMode="External"/><Relationship Id="rId312" Type="http://schemas.openxmlformats.org/officeDocument/2006/relationships/hyperlink" Target="https://getkirby.com/releases/5" TargetMode="External"/><Relationship Id="rId313" Type="http://schemas.openxmlformats.org/officeDocument/2006/relationships/hyperlink" Target="https://statamic.dev/fieldtypes/assets" TargetMode="External"/><Relationship Id="rId314" Type="http://schemas.openxmlformats.org/officeDocument/2006/relationships/hyperlink" Target="https://docs.octobercms.com/4.x/element/form/widget-fileupload.html" TargetMode="External"/><Relationship Id="rId315" Type="http://schemas.openxmlformats.org/officeDocument/2006/relationships/hyperlink" Target="https://github.com/getgrav/grav-plugin-admin2/blob/develop/CHANGELOG.md" TargetMode="External"/><Relationship Id="rId316" Type="http://schemas.openxmlformats.org/officeDocument/2006/relationships/hyperlink" Target="https://payloadcms.com/docs/upload/overview" TargetMode="External"/><Relationship Id="rId317" Type="http://schemas.openxmlformats.org/officeDocument/2006/relationships/hyperlink" Target="https://github.com/tallcms/tallcms/blob/main/docs/site-media.md" TargetMode="External"/><Relationship Id="rId318" Type="http://schemas.openxmlformats.org/officeDocument/2006/relationships/hyperlink" Target="https://filamentphp.com/docs/5.x/forms/file-upload" TargetMode="External"/><Relationship Id="rId319" Type="http://schemas.openxmlformats.org/officeDocument/2006/relationships/hyperlink" Target="https://wordpress.org/plugins/media-cleaner/" TargetMode="External"/><Relationship Id="rId320" Type="http://schemas.openxmlformats.org/officeDocument/2006/relationships/hyperlink" Target="https://www.drupal.org/project/entity_usage" TargetMode="External"/><Relationship Id="rId321" Type="http://schemas.openxmlformats.org/officeDocument/2006/relationships/hyperlink" Target="https://plugins.craftcms.com/asset-cleaner" TargetMode="External"/><Relationship Id="rId322" Type="http://schemas.openxmlformats.org/officeDocument/2006/relationships/hyperlink" Target="https://plugins.getkirby.com/topics/panel" TargetMode="External"/><Relationship Id="rId323" Type="http://schemas.openxmlformats.org/officeDocument/2006/relationships/hyperlink" Target="https://statamic.com/addons/novu/unused-assets" TargetMode="External"/><Relationship Id="rId324" Type="http://schemas.openxmlformats.org/officeDocument/2006/relationships/hyperlink" Target="https://docs.octobercms.com/4.x/element/available-commands.html" TargetMode="External"/><Relationship Id="rId325" Type="http://schemas.openxmlformats.org/officeDocument/2006/relationships/hyperlink" Target="https://github.com/tallcms/tallcms/blob/main/docs/site-media.md" TargetMode="External"/><Relationship Id="rId326" Type="http://schemas.openxmlformats.org/officeDocument/2006/relationships/hyperlink" Target="https://wordpress.org/documentation/article/post-status/" TargetMode="External"/><Relationship Id="rId327" Type="http://schemas.openxmlformats.org/officeDocument/2006/relationships/hyperlink" Target="https://www.drupal.org/docs/core-modules-and-themes/core-modules/content-moderation-module" TargetMode="External"/><Relationship Id="rId328" Type="http://schemas.openxmlformats.org/officeDocument/2006/relationships/hyperlink" Target="https://craftcms.com/docs/5.x/system/drafts-revisions.html" TargetMode="External"/><Relationship Id="rId329" Type="http://schemas.openxmlformats.org/officeDocument/2006/relationships/hyperlink" Target="https://getkirby.com/docs/guide/content/publishing-workflow" TargetMode="External"/><Relationship Id="rId330" Type="http://schemas.openxmlformats.org/officeDocument/2006/relationships/hyperlink" Target="https://statamic.dev/content-modeling/collections" TargetMode="External"/><Relationship Id="rId331" Type="http://schemas.openxmlformats.org/officeDocument/2006/relationships/hyperlink" Target="https://docs.octobercms.com/4.x/cms/tailor/blueprints.html" TargetMode="External"/><Relationship Id="rId332" Type="http://schemas.openxmlformats.org/officeDocument/2006/relationships/hyperlink" Target="https://learn.getgrav.org/20/content/headers" TargetMode="External"/><Relationship Id="rId333" Type="http://schemas.openxmlformats.org/officeDocument/2006/relationships/hyperlink" Target="https://payloadcms.com/docs/versions/drafts" TargetMode="External"/><Relationship Id="rId334" Type="http://schemas.openxmlformats.org/officeDocument/2006/relationships/hyperlink" Target="https://github.com/tallcms/tallcms/blob/main/docs/ref-publishing.md" TargetMode="External"/><Relationship Id="rId335" Type="http://schemas.openxmlformats.org/officeDocument/2006/relationships/hyperlink" Target="https://github.com/lara-zeus/sky/blob/main/src/Enums/PostStatus.php" TargetMode="External"/><Relationship Id="rId336" Type="http://schemas.openxmlformats.org/officeDocument/2006/relationships/hyperlink" Target="https://wordpress.org/documentation/article/revisions/" TargetMode="External"/><Relationship Id="rId337" Type="http://schemas.openxmlformats.org/officeDocument/2006/relationships/hyperlink" Target="https://www.drupal.org/docs/user_guide/en/content-revision.html" TargetMode="External"/><Relationship Id="rId338" Type="http://schemas.openxmlformats.org/officeDocument/2006/relationships/hyperlink" Target="https://craftcms.com/docs/5.x/system/drafts-revisions.html" TargetMode="External"/><Relationship Id="rId339" Type="http://schemas.openxmlformats.org/officeDocument/2006/relationships/hyperlink" Target="https://plugins.getkirby.com/topics/versioning" TargetMode="External"/><Relationship Id="rId340" Type="http://schemas.openxmlformats.org/officeDocument/2006/relationships/hyperlink" Target="https://statamic.dev/content-modeling/revisions" TargetMode="External"/><Relationship Id="rId341" Type="http://schemas.openxmlformats.org/officeDocument/2006/relationships/hyperlink" Target="https://docs.octobercms.com/4.x/extend/database/traits.html" TargetMode="External"/><Relationship Id="rId342" Type="http://schemas.openxmlformats.org/officeDocument/2006/relationships/hyperlink" Target="https://learn.getgrav.org/20/grav-premium/revisions-pro" TargetMode="External"/><Relationship Id="rId343" Type="http://schemas.openxmlformats.org/officeDocument/2006/relationships/hyperlink" Target="https://payloadcms.com/docs/versions/overview" TargetMode="External"/><Relationship Id="rId344" Type="http://schemas.openxmlformats.org/officeDocument/2006/relationships/hyperlink" Target="https://github.com/tallcms/tallcms/blob/main/docs/ref-publishing.md" TargetMode="External"/><Relationship Id="rId345" Type="http://schemas.openxmlformats.org/officeDocument/2006/relationships/hyperlink" Target="https://github.com/lara-zeus/sky/blob/main/database/migrations/create_posts_table.php.stub" TargetMode="External"/><Relationship Id="rId346" Type="http://schemas.openxmlformats.org/officeDocument/2006/relationships/hyperlink" Target="https://make.wordpress.org/core/2026/05/14/wordpress-7-0-field-guide/" TargetMode="External"/><Relationship Id="rId347" Type="http://schemas.openxmlformats.org/officeDocument/2006/relationships/hyperlink" Target="https://www.drupal.org/project/diff" TargetMode="External"/><Relationship Id="rId348" Type="http://schemas.openxmlformats.org/officeDocument/2006/relationships/hyperlink" Target="https://craftcms.com/docs/5.x/system/drafts-revisions.html" TargetMode="External"/><Relationship Id="rId349" Type="http://schemas.openxmlformats.org/officeDocument/2006/relationships/hyperlink" Target="https://getkirby.com/releases/5/changes" TargetMode="External"/><Relationship Id="rId350" Type="http://schemas.openxmlformats.org/officeDocument/2006/relationships/hyperlink" Target="https://statamic.dev/content-modeling/revisions" TargetMode="External"/><Relationship Id="rId351" Type="http://schemas.openxmlformats.org/officeDocument/2006/relationships/hyperlink" Target="https://learn.getgrav.org/20/grav-premium/revisions-pro" TargetMode="External"/><Relationship Id="rId352" Type="http://schemas.openxmlformats.org/officeDocument/2006/relationships/hyperlink" Target="https://payloadcms.com/docs/versions/overview" TargetMode="External"/><Relationship Id="rId353" Type="http://schemas.openxmlformats.org/officeDocument/2006/relationships/hyperlink" Target="https://github.com/tallcms/tallcms/blob/main/docs/ref-publishing.md" TargetMode="External"/><Relationship Id="rId354" Type="http://schemas.openxmlformats.org/officeDocument/2006/relationships/hyperlink" Target="https://wordpress.org/documentation/article/revisions/" TargetMode="External"/><Relationship Id="rId355" Type="http://schemas.openxmlformats.org/officeDocument/2006/relationships/hyperlink" Target="https://www.drupal.org/docs/user_guide/en/content-revision.html" TargetMode="External"/><Relationship Id="rId356" Type="http://schemas.openxmlformats.org/officeDocument/2006/relationships/hyperlink" Target="https://craftcms.com/docs/5.x/system/drafts-revisions.html" TargetMode="External"/><Relationship Id="rId357" Type="http://schemas.openxmlformats.org/officeDocument/2006/relationships/hyperlink" Target="https://plugins.getkirby.com/topics/versioning" TargetMode="External"/><Relationship Id="rId358" Type="http://schemas.openxmlformats.org/officeDocument/2006/relationships/hyperlink" Target="https://statamic.dev/content-modeling/revisions" TargetMode="External"/><Relationship Id="rId359" Type="http://schemas.openxmlformats.org/officeDocument/2006/relationships/hyperlink" Target="https://github.com/octobercms/october/blob/develop/modules/tailor/classes/blueprint/EntryBlueprint.php" TargetMode="External"/><Relationship Id="rId360" Type="http://schemas.openxmlformats.org/officeDocument/2006/relationships/hyperlink" Target="https://learn.getgrav.org/20/grav-premium/revisions-pro" TargetMode="External"/><Relationship Id="rId361" Type="http://schemas.openxmlformats.org/officeDocument/2006/relationships/hyperlink" Target="https://payloadcms.com/docs/versions/overview" TargetMode="External"/><Relationship Id="rId362" Type="http://schemas.openxmlformats.org/officeDocument/2006/relationships/hyperlink" Target="https://github.com/tallcms/tallcms/blob/main/docs/ref-publishing.md" TargetMode="External"/><Relationship Id="rId363" Type="http://schemas.openxmlformats.org/officeDocument/2006/relationships/hyperlink" Target="https://wordpress.org/documentation/article/schedule-posts/" TargetMode="External"/><Relationship Id="rId364" Type="http://schemas.openxmlformats.org/officeDocument/2006/relationships/hyperlink" Target="https://www.drupal.org/project/scheduler" TargetMode="External"/><Relationship Id="rId365" Type="http://schemas.openxmlformats.org/officeDocument/2006/relationships/hyperlink" Target="https://craftcms.com/docs/5.x/reference/element-types/entries.html" TargetMode="External"/><Relationship Id="rId366" Type="http://schemas.openxmlformats.org/officeDocument/2006/relationships/hyperlink" Target="https://packagist.org/packages/mauricerenck/autopublish" TargetMode="External"/><Relationship Id="rId367" Type="http://schemas.openxmlformats.org/officeDocument/2006/relationships/hyperlink" Target="https://statamic.dev/advanced-topics/scheduling" TargetMode="External"/><Relationship Id="rId368" Type="http://schemas.openxmlformats.org/officeDocument/2006/relationships/hyperlink" Target="https://docs.octobercms.com/4.x/cms/tailor/models.html" TargetMode="External"/><Relationship Id="rId369" Type="http://schemas.openxmlformats.org/officeDocument/2006/relationships/hyperlink" Target="https://learn.getgrav.org/20/content/headers" TargetMode="External"/><Relationship Id="rId370" Type="http://schemas.openxmlformats.org/officeDocument/2006/relationships/hyperlink" Target="https://payloadcms.com/docs/versions/drafts" TargetMode="External"/><Relationship Id="rId371" Type="http://schemas.openxmlformats.org/officeDocument/2006/relationships/hyperlink" Target="https://github.com/tallcms/tallcms/blob/main/docs/site-pages-posts.md" TargetMode="External"/><Relationship Id="rId372" Type="http://schemas.openxmlformats.org/officeDocument/2006/relationships/hyperlink" Target="https://github.com/lara-zeus/sky/blob/main/src/Models/PostScope.php" TargetMode="External"/><Relationship Id="rId373" Type="http://schemas.openxmlformats.org/officeDocument/2006/relationships/hyperlink" Target="https://wordpress.org/plugins/post-expirator/" TargetMode="External"/><Relationship Id="rId374" Type="http://schemas.openxmlformats.org/officeDocument/2006/relationships/hyperlink" Target="https://www.drupal.org/project/scheduler" TargetMode="External"/><Relationship Id="rId375" Type="http://schemas.openxmlformats.org/officeDocument/2006/relationships/hyperlink" Target="https://craftcms.com/docs/5.x/reference/element-types/entries.html" TargetMode="External"/><Relationship Id="rId376" Type="http://schemas.openxmlformats.org/officeDocument/2006/relationships/hyperlink" Target="https://plugins.getkirby.com/beebmx/scheduler" TargetMode="External"/><Relationship Id="rId377" Type="http://schemas.openxmlformats.org/officeDocument/2006/relationships/hyperlink" Target="https://statamic.dev/content-modeling/collections" TargetMode="External"/><Relationship Id="rId378" Type="http://schemas.openxmlformats.org/officeDocument/2006/relationships/hyperlink" Target="https://docs.octobercms.com/4.x/cms/tailor/models.html" TargetMode="External"/><Relationship Id="rId379" Type="http://schemas.openxmlformats.org/officeDocument/2006/relationships/hyperlink" Target="https://learn.getgrav.org/20/content/headers" TargetMode="External"/><Relationship Id="rId380" Type="http://schemas.openxmlformats.org/officeDocument/2006/relationships/hyperlink" Target="https://payloadcms.com/docs/versions/drafts" TargetMode="External"/><Relationship Id="rId381" Type="http://schemas.openxmlformats.org/officeDocument/2006/relationships/hyperlink" Target="https://github.com/tallcms/tallcms/blob/main/docs/ref-publishing.md" TargetMode="External"/><Relationship Id="rId382" Type="http://schemas.openxmlformats.org/officeDocument/2006/relationships/hyperlink" Target="https://github.com/lara-zeus/sky/blob/main/database/migrations/create_posts_table.php.stub" TargetMode="External"/><Relationship Id="rId383" Type="http://schemas.openxmlformats.org/officeDocument/2006/relationships/hyperlink" Target="https://wordpress.org/documentation/article/trash-status/" TargetMode="External"/><Relationship Id="rId384" Type="http://schemas.openxmlformats.org/officeDocument/2006/relationships/hyperlink" Target="https://www.drupal.org/project/trash" TargetMode="External"/><Relationship Id="rId385" Type="http://schemas.openxmlformats.org/officeDocument/2006/relationships/hyperlink" Target="https://craftcms.com/docs/5.x/reference/element-types/entries.html" TargetMode="External"/><Relationship Id="rId386" Type="http://schemas.openxmlformats.org/officeDocument/2006/relationships/hyperlink" Target="https://plugins.getkirby.com/sigtrygg-space/kirby-trash" TargetMode="External"/><Relationship Id="rId387" Type="http://schemas.openxmlformats.org/officeDocument/2006/relationships/hyperlink" Target="https://docs.octobercms.com/4.x/cms/tailor/blueprints.html" TargetMode="External"/><Relationship Id="rId388" Type="http://schemas.openxmlformats.org/officeDocument/2006/relationships/hyperlink" Target="https://payloadcms.com/docs/trash/overview" TargetMode="External"/><Relationship Id="rId389" Type="http://schemas.openxmlformats.org/officeDocument/2006/relationships/hyperlink" Target="https://github.com/tallcms/tallcms/blob/main/docs/dev-api.md" TargetMode="External"/><Relationship Id="rId390" Type="http://schemas.openxmlformats.org/officeDocument/2006/relationships/hyperlink" Target="https://github.com/lara-zeus/sky/blob/main/src/Filament/Resources/PostResource.php" TargetMode="External"/><Relationship Id="rId391" Type="http://schemas.openxmlformats.org/officeDocument/2006/relationships/hyperlink" Target="https://developer.wordpress.org/block-editor/reference-guides/packages/packages-core-actions/" TargetMode="External"/><Relationship Id="rId392" Type="http://schemas.openxmlformats.org/officeDocument/2006/relationships/hyperlink" Target="https://www.drupal.org/project/entity_clone" TargetMode="External"/><Relationship Id="rId393" Type="http://schemas.openxmlformats.org/officeDocument/2006/relationships/hyperlink" Target="https://github.com/craftcms/cms/blob/5.x/CHANGELOG.md" TargetMode="External"/><Relationship Id="rId394" Type="http://schemas.openxmlformats.org/officeDocument/2006/relationships/hyperlink" Target="https://getkirby.com/releases/5" TargetMode="External"/><Relationship Id="rId395" Type="http://schemas.openxmlformats.org/officeDocument/2006/relationships/hyperlink" Target="https://statamic.com/blog/duplicating" TargetMode="External"/><Relationship Id="rId396" Type="http://schemas.openxmlformats.org/officeDocument/2006/relationships/hyperlink" Target="https://github.com/octobercms/october/blob/develop/modules/tailor/controllers/Entries.php" TargetMode="External"/><Relationship Id="rId397" Type="http://schemas.openxmlformats.org/officeDocument/2006/relationships/hyperlink" Target="https://github.com/getgrav/grav-plugin-api" TargetMode="External"/><Relationship Id="rId398" Type="http://schemas.openxmlformats.org/officeDocument/2006/relationships/hyperlink" Target="https://payloadcms.com/docs/configuration/collections" TargetMode="External"/><Relationship Id="rId399" Type="http://schemas.openxmlformats.org/officeDocument/2006/relationships/hyperlink" Target="https://github.com/tallcms/tallcms/blob/main/docs/ref-rich-editor.md" TargetMode="External"/><Relationship Id="rId400" Type="http://schemas.openxmlformats.org/officeDocument/2006/relationships/hyperlink" Target="https://github.com/lara-zeus/sky/blob/main/src/Filament/Resources/PostResource.php" TargetMode="External"/><Relationship Id="rId401" Type="http://schemas.openxmlformats.org/officeDocument/2006/relationships/hyperlink" Target="https://wordpress.org/documentation/article/posts-screen/" TargetMode="External"/><Relationship Id="rId402" Type="http://schemas.openxmlformats.org/officeDocument/2006/relationships/hyperlink" Target="https://www.drupal.org/docs/user_guide/en/content-edit.html" TargetMode="External"/><Relationship Id="rId403" Type="http://schemas.openxmlformats.org/officeDocument/2006/relationships/hyperlink" Target="https://craftcms.com/docs/5.x/system/searching.html" TargetMode="External"/><Relationship Id="rId404" Type="http://schemas.openxmlformats.org/officeDocument/2006/relationships/hyperlink" Target="https://getkirby.com/releases/4" TargetMode="External"/><Relationship Id="rId405" Type="http://schemas.openxmlformats.org/officeDocument/2006/relationships/hyperlink" Target="https://statamic.dev/frontend/search" TargetMode="External"/><Relationship Id="rId406" Type="http://schemas.openxmlformats.org/officeDocument/2006/relationships/hyperlink" Target="https://docs.octobercms.com/4.x/extend/lists/list-controller.html" TargetMode="External"/><Relationship Id="rId407" Type="http://schemas.openxmlformats.org/officeDocument/2006/relationships/hyperlink" Target="https://github.com/getgrav/grav-plugin-admin2/blob/develop/CHANGELOG.md" TargetMode="External"/><Relationship Id="rId408" Type="http://schemas.openxmlformats.org/officeDocument/2006/relationships/hyperlink" Target="https://payloadcms.com/docs/configuration/collections" TargetMode="External"/><Relationship Id="rId409" Type="http://schemas.openxmlformats.org/officeDocument/2006/relationships/hyperlink" Target="https://github.com/tallcms/tallcms/blob/main/docs/ref-search.md" TargetMode="External"/><Relationship Id="rId410" Type="http://schemas.openxmlformats.org/officeDocument/2006/relationships/hyperlink" Target="https://github.com/lara-zeus/sky/blob/main/src/Filament/Resources/PostResource.php" TargetMode="External"/><Relationship Id="rId411" Type="http://schemas.openxmlformats.org/officeDocument/2006/relationships/hyperlink" Target="https://wordpress.org/documentation/article/search-block/" TargetMode="External"/><Relationship Id="rId412" Type="http://schemas.openxmlformats.org/officeDocument/2006/relationships/hyperlink" Target="https://www.drupal.org/node/3488826" TargetMode="External"/><Relationship Id="rId413" Type="http://schemas.openxmlformats.org/officeDocument/2006/relationships/hyperlink" Target="https://craftcms.com/docs/5.x/system/searching.html" TargetMode="External"/><Relationship Id="rId414" Type="http://schemas.openxmlformats.org/officeDocument/2006/relationships/hyperlink" Target="https://getkirby.com/docs/reference/objects/cms/pages/search" TargetMode="External"/><Relationship Id="rId415" Type="http://schemas.openxmlformats.org/officeDocument/2006/relationships/hyperlink" Target="https://statamic.dev/frontend/search" TargetMode="External"/><Relationship Id="rId416" Type="http://schemas.openxmlformats.org/officeDocument/2006/relationships/hyperlink" Target="https://octobercms.com/plugin/offline-sitesearch" TargetMode="External"/><Relationship Id="rId417" Type="http://schemas.openxmlformats.org/officeDocument/2006/relationships/hyperlink" Target="https://github.com/getgrav/grav-plugin-simplesearch" TargetMode="External"/><Relationship Id="rId418" Type="http://schemas.openxmlformats.org/officeDocument/2006/relationships/hyperlink" Target="https://payloadcms.com/docs/plugins/search" TargetMode="External"/><Relationship Id="rId419" Type="http://schemas.openxmlformats.org/officeDocument/2006/relationships/hyperlink" Target="https://github.com/tallcms/tallcms/blob/main/docs/ref-search.md" TargetMode="External"/><Relationship Id="rId420" Type="http://schemas.openxmlformats.org/officeDocument/2006/relationships/hyperlink" Target="https://github.com/lara-zeus/sky/blob/main/src/Livewire/Posts.php" TargetMode="External"/><Relationship Id="rId421" Type="http://schemas.openxmlformats.org/officeDocument/2006/relationships/hyperlink" Target="https://developer.wordpress.org/reference/classes/wp_query/" TargetMode="External"/><Relationship Id="rId422" Type="http://schemas.openxmlformats.org/officeDocument/2006/relationships/hyperlink" Target="https://www.drupal.org/project/search_api" TargetMode="External"/><Relationship Id="rId423" Type="http://schemas.openxmlformats.org/officeDocument/2006/relationships/hyperlink" Target="https://craftcms.com/docs/5.x/system/searching.html" TargetMode="External"/><Relationship Id="rId424" Type="http://schemas.openxmlformats.org/officeDocument/2006/relationships/hyperlink" Target="https://getkirby.com/docs/reference/objects/cms/pages/search" TargetMode="External"/><Relationship Id="rId425" Type="http://schemas.openxmlformats.org/officeDocument/2006/relationships/hyperlink" Target="https://statamic.dev/frontend/search" TargetMode="External"/><Relationship Id="rId426" Type="http://schemas.openxmlformats.org/officeDocument/2006/relationships/hyperlink" Target="https://octobercms.com/plugin/offline-sitesearch" TargetMode="External"/><Relationship Id="rId427" Type="http://schemas.openxmlformats.org/officeDocument/2006/relationships/hyperlink" Target="https://github.com/trilbymedia/grav-plugin-tntsearch" TargetMode="External"/><Relationship Id="rId428" Type="http://schemas.openxmlformats.org/officeDocument/2006/relationships/hyperlink" Target="https://payloadcms.com/docs/queries/overview" TargetMode="External"/><Relationship Id="rId429" Type="http://schemas.openxmlformats.org/officeDocument/2006/relationships/hyperlink" Target="https://github.com/tallcms/tallcms/blob/main/docs/ref-search.md" TargetMode="External"/><Relationship Id="rId430" Type="http://schemas.openxmlformats.org/officeDocument/2006/relationships/hyperlink" Target="https://github.com/lara-zeus/sky/blob/main/src/Models/PostScope.php" TargetMode="External"/><Relationship Id="rId431" Type="http://schemas.openxmlformats.org/officeDocument/2006/relationships/hyperlink" Target="https://wordpress.org/plugins/relevanssi/" TargetMode="External"/><Relationship Id="rId432" Type="http://schemas.openxmlformats.org/officeDocument/2006/relationships/hyperlink" Target="https://www.drupal.org/project/search_api" TargetMode="External"/><Relationship Id="rId433" Type="http://schemas.openxmlformats.org/officeDocument/2006/relationships/hyperlink" Target="https://craftcms.com/docs/5.x/system/searching.html" TargetMode="External"/><Relationship Id="rId434" Type="http://schemas.openxmlformats.org/officeDocument/2006/relationships/hyperlink" Target="https://plugins.getkirby.com/topics/search" TargetMode="External"/><Relationship Id="rId435" Type="http://schemas.openxmlformats.org/officeDocument/2006/relationships/hyperlink" Target="https://statamic.dev/frontend/search" TargetMode="External"/><Relationship Id="rId436" Type="http://schemas.openxmlformats.org/officeDocument/2006/relationships/hyperlink" Target="https://octobercms.com/plugin/offline-sitesearch" TargetMode="External"/><Relationship Id="rId437" Type="http://schemas.openxmlformats.org/officeDocument/2006/relationships/hyperlink" Target="https://github.com/trilbymedia/grav-plugin-tntsearch" TargetMode="External"/><Relationship Id="rId438" Type="http://schemas.openxmlformats.org/officeDocument/2006/relationships/hyperlink" Target="https://payloadcms.com/docs/database/indexes" TargetMode="External"/><Relationship Id="rId439" Type="http://schemas.openxmlformats.org/officeDocument/2006/relationships/hyperlink" Target="https://github.com/tallcms/tallcms/blob/main/docs/ref-search.md" TargetMode="External"/><Relationship Id="rId440" Type="http://schemas.openxmlformats.org/officeDocument/2006/relationships/hyperlink" Target="https://github.com/lara-zeus/sky/blob/main/src/Models/PostScope.php" TargetMode="External"/><Relationship Id="rId441" Type="http://schemas.openxmlformats.org/officeDocument/2006/relationships/hyperlink" Target="https://jetpack.com/support/search/" TargetMode="External"/><Relationship Id="rId442" Type="http://schemas.openxmlformats.org/officeDocument/2006/relationships/hyperlink" Target="https://www.drupal.org/project/search_api_solr" TargetMode="External"/><Relationship Id="rId443" Type="http://schemas.openxmlformats.org/officeDocument/2006/relationships/hyperlink" Target="https://plugins.craftcms.com/scout" TargetMode="External"/><Relationship Id="rId444" Type="http://schemas.openxmlformats.org/officeDocument/2006/relationships/hyperlink" Target="https://plugins.getkirby.com/topics/search" TargetMode="External"/><Relationship Id="rId445" Type="http://schemas.openxmlformats.org/officeDocument/2006/relationships/hyperlink" Target="https://statamic.dev/frontend/search" TargetMode="External"/><Relationship Id="rId446" Type="http://schemas.openxmlformats.org/officeDocument/2006/relationships/hyperlink" Target="https://docs.octobercms.com/4.x/extend/resources/using-laravel-packages.html" TargetMode="External"/><Relationship Id="rId447" Type="http://schemas.openxmlformats.org/officeDocument/2006/relationships/hyperlink" Target="https://premium.getgrav.org/l/grav-premium-algolia-pro" TargetMode="External"/><Relationship Id="rId448" Type="http://schemas.openxmlformats.org/officeDocument/2006/relationships/hyperlink" Target="https://github.com/fronttribe/typesense-search" TargetMode="External"/><Relationship Id="rId449" Type="http://schemas.openxmlformats.org/officeDocument/2006/relationships/hyperlink" Target="https://github.com/tallcms/tallcms/blob/main/docs/ref-search.md" TargetMode="External"/><Relationship Id="rId450" Type="http://schemas.openxmlformats.org/officeDocument/2006/relationships/hyperlink" Target="https://jetpack.com/support/search/" TargetMode="External"/><Relationship Id="rId451" Type="http://schemas.openxmlformats.org/officeDocument/2006/relationships/hyperlink" Target="https://www.drupal.org/project/facets" TargetMode="External"/><Relationship Id="rId452" Type="http://schemas.openxmlformats.org/officeDocument/2006/relationships/hyperlink" Target="https://craftcms.com/docs/5.x/system/elements.html" TargetMode="External"/><Relationship Id="rId453" Type="http://schemas.openxmlformats.org/officeDocument/2006/relationships/hyperlink" Target="https://getkirby.com/docs/cookbook/collections/filtering" TargetMode="External"/><Relationship Id="rId454" Type="http://schemas.openxmlformats.org/officeDocument/2006/relationships/hyperlink" Target="https://statamic.dev/frontend/search" TargetMode="External"/><Relationship Id="rId455" Type="http://schemas.openxmlformats.org/officeDocument/2006/relationships/hyperlink" Target="https://docs.octobercms.com/4.x/element/filter-scopes.html" TargetMode="External"/><Relationship Id="rId456" Type="http://schemas.openxmlformats.org/officeDocument/2006/relationships/hyperlink" Target="https://learn.getgrav.org/20/grav-premium/yetisearch-pro" TargetMode="External"/><Relationship Id="rId457" Type="http://schemas.openxmlformats.org/officeDocument/2006/relationships/hyperlink" Target="https://payloadcms.com/docs/queries/overview" TargetMode="External"/><Relationship Id="rId458" Type="http://schemas.openxmlformats.org/officeDocument/2006/relationships/hyperlink" Target="https://github.com/tallcms/tallcms/blob/main/docs/ref-search.md" TargetMode="External"/><Relationship Id="rId459" Type="http://schemas.openxmlformats.org/officeDocument/2006/relationships/hyperlink" Target="https://github.com/lara-zeus/sky/blob/main/src/Filament/Resources/PostResource.php" TargetMode="External"/><Relationship Id="rId460" Type="http://schemas.openxmlformats.org/officeDocument/2006/relationships/hyperlink" Target="https://jetpack.com/support/jetpack-blocks/contact-form/" TargetMode="External"/><Relationship Id="rId461" Type="http://schemas.openxmlformats.org/officeDocument/2006/relationships/hyperlink" Target="https://www.drupal.org/project/webform" TargetMode="External"/><Relationship Id="rId462" Type="http://schemas.openxmlformats.org/officeDocument/2006/relationships/hyperlink" Target="https://verbb.io/craft-plugins/formie" TargetMode="External"/><Relationship Id="rId463" Type="http://schemas.openxmlformats.org/officeDocument/2006/relationships/hyperlink" Target="https://plugins.getkirby.com/tobimori/dreamform" TargetMode="External"/><Relationship Id="rId464" Type="http://schemas.openxmlformats.org/officeDocument/2006/relationships/hyperlink" Target="https://statamic.dev/frontend/forms" TargetMode="External"/><Relationship Id="rId465" Type="http://schemas.openxmlformats.org/officeDocument/2006/relationships/hyperlink" Target="https://octobercms.com/support/article/rn-43" TargetMode="External"/><Relationship Id="rId466" Type="http://schemas.openxmlformats.org/officeDocument/2006/relationships/hyperlink" Target="https://github.com/getgrav/grav-plugin-form" TargetMode="External"/><Relationship Id="rId467" Type="http://schemas.openxmlformats.org/officeDocument/2006/relationships/hyperlink" Target="https://payloadcms.com/docs/plugins/form-builder" TargetMode="External"/><Relationship Id="rId468" Type="http://schemas.openxmlformats.org/officeDocument/2006/relationships/hyperlink" Target="https://github.com/tallcms/tallcms/blob/main/docs/site-blocks-contact-form.md" TargetMode="External"/><Relationship Id="rId469" Type="http://schemas.openxmlformats.org/officeDocument/2006/relationships/hyperlink" Target="https://github.com/lara-zeus/bolt" TargetMode="External"/><Relationship Id="rId470" Type="http://schemas.openxmlformats.org/officeDocument/2006/relationships/hyperlink" Target="https://jetpack.com/support/jetpack-blocks/contact-form/" TargetMode="External"/><Relationship Id="rId471" Type="http://schemas.openxmlformats.org/officeDocument/2006/relationships/hyperlink" Target="https://project.pages.drupalcode.org/drupal_cms/customize/contact-form/" TargetMode="External"/><Relationship Id="rId472" Type="http://schemas.openxmlformats.org/officeDocument/2006/relationships/hyperlink" Target="https://verbb.io/craft-plugins/formie" TargetMode="External"/><Relationship Id="rId473" Type="http://schemas.openxmlformats.org/officeDocument/2006/relationships/hyperlink" Target="https://plugins.getkirby.com/tobimori/dreamform" TargetMode="External"/><Relationship Id="rId474" Type="http://schemas.openxmlformats.org/officeDocument/2006/relationships/hyperlink" Target="https://statamic.dev/frontend/forms" TargetMode="External"/><Relationship Id="rId475" Type="http://schemas.openxmlformats.org/officeDocument/2006/relationships/hyperlink" Target="https://docs.octobercms.com/4.x/cms/tailor/blueprints.html" TargetMode="External"/><Relationship Id="rId476" Type="http://schemas.openxmlformats.org/officeDocument/2006/relationships/hyperlink" Target="https://learn.getgrav.org/20/forms/forms/reference-form-actions" TargetMode="External"/><Relationship Id="rId477" Type="http://schemas.openxmlformats.org/officeDocument/2006/relationships/hyperlink" Target="https://payloadcms.com/docs/plugins/form-builder" TargetMode="External"/><Relationship Id="rId478" Type="http://schemas.openxmlformats.org/officeDocument/2006/relationships/hyperlink" Target="https://github.com/tallcms/tallcms/blob/main/docs/site-blocks-contact-form.md" TargetMode="External"/><Relationship Id="rId479" Type="http://schemas.openxmlformats.org/officeDocument/2006/relationships/hyperlink" Target="https://github.com/lara-zeus/bolt" TargetMode="External"/><Relationship Id="rId480" Type="http://schemas.openxmlformats.org/officeDocument/2006/relationships/hyperlink" Target="https://jetpack.com/support/jetpack-blocks/contact-form/" TargetMode="External"/><Relationship Id="rId481" Type="http://schemas.openxmlformats.org/officeDocument/2006/relationships/hyperlink" Target="https://www.drupal.org/project/webform" TargetMode="External"/><Relationship Id="rId482" Type="http://schemas.openxmlformats.org/officeDocument/2006/relationships/hyperlink" Target="https://plugins.craftcms.com/contact-form" TargetMode="External"/><Relationship Id="rId483" Type="http://schemas.openxmlformats.org/officeDocument/2006/relationships/hyperlink" Target="https://plugins.getkirby.com/topics/forms" TargetMode="External"/><Relationship Id="rId484" Type="http://schemas.openxmlformats.org/officeDocument/2006/relationships/hyperlink" Target="https://statamic.dev/frontend/forms" TargetMode="External"/><Relationship Id="rId485" Type="http://schemas.openxmlformats.org/officeDocument/2006/relationships/hyperlink" Target="https://docs.octobercms.com/4.x/cms/tailor/blueprints.html" TargetMode="External"/><Relationship Id="rId486" Type="http://schemas.openxmlformats.org/officeDocument/2006/relationships/hyperlink" Target="https://learn.getgrav.org/20/forms/forms/reference-form-actions" TargetMode="External"/><Relationship Id="rId487" Type="http://schemas.openxmlformats.org/officeDocument/2006/relationships/hyperlink" Target="https://payloadcms.com/docs/plugins/form-builder" TargetMode="External"/><Relationship Id="rId488" Type="http://schemas.openxmlformats.org/officeDocument/2006/relationships/hyperlink" Target="https://github.com/tallcms/tallcms/blob/main/docs/site-blocks-contact-form.md" TargetMode="External"/><Relationship Id="rId489" Type="http://schemas.openxmlformats.org/officeDocument/2006/relationships/hyperlink" Target="https://github.com/lara-zeus/bolt" TargetMode="External"/><Relationship Id="rId490" Type="http://schemas.openxmlformats.org/officeDocument/2006/relationships/hyperlink" Target="https://jetpack.com/support/jetpack-blocks/contact-form/" TargetMode="External"/><Relationship Id="rId491" Type="http://schemas.openxmlformats.org/officeDocument/2006/relationships/hyperlink" Target="https://www.drupal.org/project/honeypot" TargetMode="External"/><Relationship Id="rId492" Type="http://schemas.openxmlformats.org/officeDocument/2006/relationships/hyperlink" Target="https://github.com/craftcms/contact-form-honeypot" TargetMode="External"/><Relationship Id="rId493" Type="http://schemas.openxmlformats.org/officeDocument/2006/relationships/hyperlink" Target="https://plugins.getkirby.com/topics/forms" TargetMode="External"/><Relationship Id="rId494" Type="http://schemas.openxmlformats.org/officeDocument/2006/relationships/hyperlink" Target="https://statamic.dev/frontend/forms" TargetMode="External"/><Relationship Id="rId495" Type="http://schemas.openxmlformats.org/officeDocument/2006/relationships/hyperlink" Target="https://octobercms.com/support/article/rn-43" TargetMode="External"/><Relationship Id="rId496" Type="http://schemas.openxmlformats.org/officeDocument/2006/relationships/hyperlink" Target="https://github.com/getgrav/grav-plugin-form/blob/develop/CHANGELOG.md" TargetMode="External"/><Relationship Id="rId497" Type="http://schemas.openxmlformats.org/officeDocument/2006/relationships/hyperlink" Target="https://github.com/tallcms/tallcms/tree/main/packages/tallcms/cms/src/Http/Controllers/ContactFormController.php" TargetMode="External"/><Relationship Id="rId498" Type="http://schemas.openxmlformats.org/officeDocument/2006/relationships/hyperlink" Target="https://jetpack.com/support/jetpack-blocks/contact-form/" TargetMode="External"/><Relationship Id="rId499" Type="http://schemas.openxmlformats.org/officeDocument/2006/relationships/hyperlink" Target="https://www.drupal.org/project/webform" TargetMode="External"/><Relationship Id="rId500" Type="http://schemas.openxmlformats.org/officeDocument/2006/relationships/hyperlink" Target="https://verbb.io/craft-plugins/formie" TargetMode="External"/><Relationship Id="rId501" Type="http://schemas.openxmlformats.org/officeDocument/2006/relationships/hyperlink" Target="https://plugins.getkirby.com/tobimori/dreamform" TargetMode="External"/><Relationship Id="rId502" Type="http://schemas.openxmlformats.org/officeDocument/2006/relationships/hyperlink" Target="https://statamic.dev/control-panel/conditional-fields" TargetMode="External"/><Relationship Id="rId503" Type="http://schemas.openxmlformats.org/officeDocument/2006/relationships/hyperlink" Target="https://docs.octobercms.com/4.x/cms/tailor/blueprints.html" TargetMode="External"/><Relationship Id="rId504" Type="http://schemas.openxmlformats.org/officeDocument/2006/relationships/hyperlink" Target="https://github.com/getgrav/grav-plugin-form/blob/develop/CHANGELOG.md" TargetMode="External"/><Relationship Id="rId505" Type="http://schemas.openxmlformats.org/officeDocument/2006/relationships/hyperlink" Target="https://payloadcms.com/docs/plugins/form-builder" TargetMode="External"/><Relationship Id="rId506" Type="http://schemas.openxmlformats.org/officeDocument/2006/relationships/hyperlink" Target="https://github.com/tallcms/tallcms/blob/main/docs/site-blocks-contact-form.md" TargetMode="External"/><Relationship Id="rId507" Type="http://schemas.openxmlformats.org/officeDocument/2006/relationships/hyperlink" Target="https://github.com/lara-zeus/bolt" TargetMode="External"/><Relationship Id="rId508" Type="http://schemas.openxmlformats.org/officeDocument/2006/relationships/hyperlink" Target="https://jetpack.com/support/jetpack-blocks/contact-form/" TargetMode="External"/><Relationship Id="rId509" Type="http://schemas.openxmlformats.org/officeDocument/2006/relationships/hyperlink" Target="https://www.drupal.org/project/webform" TargetMode="External"/><Relationship Id="rId510" Type="http://schemas.openxmlformats.org/officeDocument/2006/relationships/hyperlink" Target="https://github.com/craftcms/contact-form" TargetMode="External"/><Relationship Id="rId511" Type="http://schemas.openxmlformats.org/officeDocument/2006/relationships/hyperlink" Target="https://plugins.getkirby.com/tobimori/dreamform" TargetMode="External"/><Relationship Id="rId512" Type="http://schemas.openxmlformats.org/officeDocument/2006/relationships/hyperlink" Target="https://statamic.dev/frontend/forms" TargetMode="External"/><Relationship Id="rId513" Type="http://schemas.openxmlformats.org/officeDocument/2006/relationships/hyperlink" Target="https://octobercms.com/support/article/rn-43" TargetMode="External"/><Relationship Id="rId514" Type="http://schemas.openxmlformats.org/officeDocument/2006/relationships/hyperlink" Target="https://github.com/getgrav/grav-plugin-form/blob/develop/CHANGELOG.md" TargetMode="External"/><Relationship Id="rId515" Type="http://schemas.openxmlformats.org/officeDocument/2006/relationships/hyperlink" Target="https://payloadcms.com/docs/plugins/form-builder" TargetMode="External"/><Relationship Id="rId516" Type="http://schemas.openxmlformats.org/officeDocument/2006/relationships/hyperlink" Target="https://github.com/tallcms/tallcms/tree/main/packages/tallcms/cms/src/Filament/Blocks/ContactFormBlock.php" TargetMode="External"/><Relationship Id="rId517" Type="http://schemas.openxmlformats.org/officeDocument/2006/relationships/hyperlink" Target="https://github.com/lara-zeus/bolt" TargetMode="External"/><Relationship Id="rId518" Type="http://schemas.openxmlformats.org/officeDocument/2006/relationships/hyperlink" Target="https://jetpack.com/support/jetpack-blocks/contact-form/" TargetMode="External"/><Relationship Id="rId519" Type="http://schemas.openxmlformats.org/officeDocument/2006/relationships/hyperlink" Target="https://www.drupal.org/project/webform" TargetMode="External"/><Relationship Id="rId520" Type="http://schemas.openxmlformats.org/officeDocument/2006/relationships/hyperlink" Target="https://verbb.io/craft-plugins/formie" TargetMode="External"/><Relationship Id="rId521" Type="http://schemas.openxmlformats.org/officeDocument/2006/relationships/hyperlink" Target="https://plugins.getkirby.com/tobimori/dreamform" TargetMode="External"/><Relationship Id="rId522" Type="http://schemas.openxmlformats.org/officeDocument/2006/relationships/hyperlink" Target="https://statamic.dev/frontend/forms" TargetMode="External"/><Relationship Id="rId523" Type="http://schemas.openxmlformats.org/officeDocument/2006/relationships/hyperlink" Target="https://octobercms.com/support/article/rn-42" TargetMode="External"/><Relationship Id="rId524" Type="http://schemas.openxmlformats.org/officeDocument/2006/relationships/hyperlink" Target="https://learn.getgrav.org/20/forms/forms/reference-form-actions" TargetMode="External"/><Relationship Id="rId525" Type="http://schemas.openxmlformats.org/officeDocument/2006/relationships/hyperlink" Target="https://payloadcms.com/docs/plugins/import-export" TargetMode="External"/><Relationship Id="rId526" Type="http://schemas.openxmlformats.org/officeDocument/2006/relationships/hyperlink" Target="https://github.com/tallcms/tallcms/tree/main/packages/tallcms/cms/src/Filament/Resources/TallcmsContactSubmissions" TargetMode="External"/><Relationship Id="rId527" Type="http://schemas.openxmlformats.org/officeDocument/2006/relationships/hyperlink" Target="https://github.com/lara-zeus/bolt" TargetMode="External"/><Relationship Id="rId528" Type="http://schemas.openxmlformats.org/officeDocument/2006/relationships/hyperlink" Target="https://developer.wordpress.org/plugins/users/roles-and-capabilities/" TargetMode="External"/><Relationship Id="rId529" Type="http://schemas.openxmlformats.org/officeDocument/2006/relationships/hyperlink" Target="https://www.drupal.org/docs/user_guide/en/user-new-role.html" TargetMode="External"/><Relationship Id="rId530" Type="http://schemas.openxmlformats.org/officeDocument/2006/relationships/hyperlink" Target="https://craftcms.com/pricing" TargetMode="External"/><Relationship Id="rId531" Type="http://schemas.openxmlformats.org/officeDocument/2006/relationships/hyperlink" Target="https://getkirby.com/docs/guide/users/permissions" TargetMode="External"/><Relationship Id="rId532" Type="http://schemas.openxmlformats.org/officeDocument/2006/relationships/hyperlink" Target="https://statamic.dev/getting-started/licensing" TargetMode="External"/><Relationship Id="rId533" Type="http://schemas.openxmlformats.org/officeDocument/2006/relationships/hyperlink" Target="https://docs.octobercms.com/4.x/extend/backend/permissions.html" TargetMode="External"/><Relationship Id="rId534" Type="http://schemas.openxmlformats.org/officeDocument/2006/relationships/hyperlink" Target="https://github.com/getgrav/grav-plugin-api" TargetMode="External"/><Relationship Id="rId535" Type="http://schemas.openxmlformats.org/officeDocument/2006/relationships/hyperlink" Target="https://payloadcms.com/docs/access-control/overview" TargetMode="External"/><Relationship Id="rId536" Type="http://schemas.openxmlformats.org/officeDocument/2006/relationships/hyperlink" Target="https://github.com/tallcms/tallcms/blob/main/docs/ref-roles-authorization.md" TargetMode="External"/><Relationship Id="rId537" Type="http://schemas.openxmlformats.org/officeDocument/2006/relationships/hyperlink" Target="https://filamentphp.com/plugins/bezhansalleh-shield" TargetMode="External"/><Relationship Id="rId538" Type="http://schemas.openxmlformats.org/officeDocument/2006/relationships/hyperlink" Target="https://developer.wordpress.org/plugins/users/roles-and-capabilities/" TargetMode="External"/><Relationship Id="rId539" Type="http://schemas.openxmlformats.org/officeDocument/2006/relationships/hyperlink" Target="https://www.drupal.org/node/3385551" TargetMode="External"/><Relationship Id="rId540" Type="http://schemas.openxmlformats.org/officeDocument/2006/relationships/hyperlink" Target="https://craftcms.com/docs/5.x/system/user-management.html" TargetMode="External"/><Relationship Id="rId541" Type="http://schemas.openxmlformats.org/officeDocument/2006/relationships/hyperlink" Target="https://getkirby.com/docs/guide/users/permissions" TargetMode="External"/><Relationship Id="rId542" Type="http://schemas.openxmlformats.org/officeDocument/2006/relationships/hyperlink" Target="https://statamic.dev/control-panel/permissions" TargetMode="External"/><Relationship Id="rId543" Type="http://schemas.openxmlformats.org/officeDocument/2006/relationships/hyperlink" Target="https://docs.octobercms.com/4.x/extend/backend/permissions.html" TargetMode="External"/><Relationship Id="rId544" Type="http://schemas.openxmlformats.org/officeDocument/2006/relationships/hyperlink" Target="https://github.com/getgrav/grav-plugin-api" TargetMode="External"/><Relationship Id="rId545" Type="http://schemas.openxmlformats.org/officeDocument/2006/relationships/hyperlink" Target="https://payloadcms.com/docs/access-control/collections" TargetMode="External"/><Relationship Id="rId546" Type="http://schemas.openxmlformats.org/officeDocument/2006/relationships/hyperlink" Target="https://github.com/tallcms/tallcms/blob/main/docs/ref-roles-authorization.md" TargetMode="External"/><Relationship Id="rId547" Type="http://schemas.openxmlformats.org/officeDocument/2006/relationships/hyperlink" Target="https://filamentphp.com/docs/5.x/resources/overview" TargetMode="External"/><Relationship Id="rId548" Type="http://schemas.openxmlformats.org/officeDocument/2006/relationships/hyperlink" Target="https://www.acf-extended.com/" TargetMode="External"/><Relationship Id="rId549" Type="http://schemas.openxmlformats.org/officeDocument/2006/relationships/hyperlink" Target="https://www.drupal.org/project/field_permissions" TargetMode="External"/><Relationship Id="rId550" Type="http://schemas.openxmlformats.org/officeDocument/2006/relationships/hyperlink" Target="https://craftcms.com/docs/5.x/system/user-management.html" TargetMode="External"/><Relationship Id="rId551" Type="http://schemas.openxmlformats.org/officeDocument/2006/relationships/hyperlink" Target="https://getkirby.com/docs/guide/blueprints/extending-blueprints" TargetMode="External"/><Relationship Id="rId552" Type="http://schemas.openxmlformats.org/officeDocument/2006/relationships/hyperlink" Target="https://statamic.dev/control-panel/permissions" TargetMode="External"/><Relationship Id="rId553" Type="http://schemas.openxmlformats.org/officeDocument/2006/relationships/hyperlink" Target="https://docs.octobercms.com/4.x/element/form-fields.html" TargetMode="External"/><Relationship Id="rId554" Type="http://schemas.openxmlformats.org/officeDocument/2006/relationships/hyperlink" Target="https://github.com/trilbymedia/grav-plugin-flex-objects" TargetMode="External"/><Relationship Id="rId555" Type="http://schemas.openxmlformats.org/officeDocument/2006/relationships/hyperlink" Target="https://payloadcms.com/docs/access-control/fields" TargetMode="External"/><Relationship Id="rId556" Type="http://schemas.openxmlformats.org/officeDocument/2006/relationships/hyperlink" Target="https://developer.wordpress.org/plugins/users/roles-and-capabilities/" TargetMode="External"/><Relationship Id="rId557" Type="http://schemas.openxmlformats.org/officeDocument/2006/relationships/hyperlink" Target="https://www.drupal.org/docs/administering-a-drupal-site/managing-access" TargetMode="External"/><Relationship Id="rId558" Type="http://schemas.openxmlformats.org/officeDocument/2006/relationships/hyperlink" Target="https://craftcms.com/docs/5.x/system/user-management.html" TargetMode="External"/><Relationship Id="rId559" Type="http://schemas.openxmlformats.org/officeDocument/2006/relationships/hyperlink" Target="https://getkirby.com/docs/guide/users/permissions" TargetMode="External"/><Relationship Id="rId560" Type="http://schemas.openxmlformats.org/officeDocument/2006/relationships/hyperlink" Target="https://statamic.dev/control-panel/permissions" TargetMode="External"/><Relationship Id="rId561" Type="http://schemas.openxmlformats.org/officeDocument/2006/relationships/hyperlink" Target="https://github.com/octobercms/october/blob/develop/modules/tailor/classes/PermissionItem.php" TargetMode="External"/><Relationship Id="rId562" Type="http://schemas.openxmlformats.org/officeDocument/2006/relationships/hyperlink" Target="https://github.com/getgrav/grav-plugin-api" TargetMode="External"/><Relationship Id="rId563" Type="http://schemas.openxmlformats.org/officeDocument/2006/relationships/hyperlink" Target="https://payloadcms.com/docs/access-control/overview" TargetMode="External"/><Relationship Id="rId564" Type="http://schemas.openxmlformats.org/officeDocument/2006/relationships/hyperlink" Target="https://github.com/tallcms/tallcms/blob/main/docs/ref-roles-authorization.md" TargetMode="External"/><Relationship Id="rId565" Type="http://schemas.openxmlformats.org/officeDocument/2006/relationships/hyperlink" Target="https://github.com/lara-zeus/sky/blob/main/src/Livewire/Post.php" TargetMode="External"/><Relationship Id="rId566" Type="http://schemas.openxmlformats.org/officeDocument/2006/relationships/hyperlink" Target="https://wordpress.org/documentation/article/settings-general-screen/" TargetMode="External"/><Relationship Id="rId567" Type="http://schemas.openxmlformats.org/officeDocument/2006/relationships/hyperlink" Target="https://www.drupal.org/docs/user_guide/en/user-registration.html" TargetMode="External"/><Relationship Id="rId568" Type="http://schemas.openxmlformats.org/officeDocument/2006/relationships/hyperlink" Target="https://craftcms.com/docs/5.x/system/user-management.html" TargetMode="External"/><Relationship Id="rId569" Type="http://schemas.openxmlformats.org/officeDocument/2006/relationships/hyperlink" Target="https://getkirby.com/docs/guide/users/permissions" TargetMode="External"/><Relationship Id="rId570" Type="http://schemas.openxmlformats.org/officeDocument/2006/relationships/hyperlink" Target="https://statamic.dev/control-panel/users" TargetMode="External"/><Relationship Id="rId571" Type="http://schemas.openxmlformats.org/officeDocument/2006/relationships/hyperlink" Target="https://octobercms.com/plugin/rainlab-user" TargetMode="External"/><Relationship Id="rId572" Type="http://schemas.openxmlformats.org/officeDocument/2006/relationships/hyperlink" Target="https://github.com/getgrav/grav-plugin-login" TargetMode="External"/><Relationship Id="rId573" Type="http://schemas.openxmlformats.org/officeDocument/2006/relationships/hyperlink" Target="https://payloadcms.com/docs/authentication/overview" TargetMode="External"/><Relationship Id="rId574" Type="http://schemas.openxmlformats.org/officeDocument/2006/relationships/hyperlink" Target="https://github.com/tallcms/tallcms/blob/main/docs/site-multisite.md" TargetMode="External"/><Relationship Id="rId575" Type="http://schemas.openxmlformats.org/officeDocument/2006/relationships/hyperlink" Target="https://larazeus.com/docs/sky/v5/getting-started/configuration" TargetMode="External"/><Relationship Id="rId576" Type="http://schemas.openxmlformats.org/officeDocument/2006/relationships/hyperlink" Target="https://wordpress.org/plugins/two-factor/" TargetMode="External"/><Relationship Id="rId577" Type="http://schemas.openxmlformats.org/officeDocument/2006/relationships/hyperlink" Target="https://www.drupal.org/project/tfa" TargetMode="External"/><Relationship Id="rId578" Type="http://schemas.openxmlformats.org/officeDocument/2006/relationships/hyperlink" Target="https://craftcms.com/docs/5.x/system/user-management.html" TargetMode="External"/><Relationship Id="rId579" Type="http://schemas.openxmlformats.org/officeDocument/2006/relationships/hyperlink" Target="https://getkirby.com/docs/guide/authentication/two-factor-auth" TargetMode="External"/><Relationship Id="rId580" Type="http://schemas.openxmlformats.org/officeDocument/2006/relationships/hyperlink" Target="https://statamic.dev/control-panel/users" TargetMode="External"/><Relationship Id="rId581" Type="http://schemas.openxmlformats.org/officeDocument/2006/relationships/hyperlink" Target="https://octobercms.com/plugin/vdlp-twofactorauthentication" TargetMode="External"/><Relationship Id="rId582" Type="http://schemas.openxmlformats.org/officeDocument/2006/relationships/hyperlink" Target="https://github.com/getgrav/grav-plugin-login" TargetMode="External"/><Relationship Id="rId583" Type="http://schemas.openxmlformats.org/officeDocument/2006/relationships/hyperlink" Target="https://app.unpkg.com/payload-totp@3.0.0-beta.3/files/README.md" TargetMode="External"/><Relationship Id="rId584" Type="http://schemas.openxmlformats.org/officeDocument/2006/relationships/hyperlink" Target="https://tallcms.com/" TargetMode="External"/><Relationship Id="rId585" Type="http://schemas.openxmlformats.org/officeDocument/2006/relationships/hyperlink" Target="https://filamentphp.com/docs/5.x/users/multi-factor-authentication" TargetMode="External"/><Relationship Id="rId586" Type="http://schemas.openxmlformats.org/officeDocument/2006/relationships/hyperlink" Target="https://jetpack.com/support/sso/" TargetMode="External"/><Relationship Id="rId587" Type="http://schemas.openxmlformats.org/officeDocument/2006/relationships/hyperlink" Target="https://www.drupal.org/project/openid_connect" TargetMode="External"/><Relationship Id="rId588" Type="http://schemas.openxmlformats.org/officeDocument/2006/relationships/hyperlink" Target="https://craftcms.com/pricing" TargetMode="External"/><Relationship Id="rId589" Type="http://schemas.openxmlformats.org/officeDocument/2006/relationships/hyperlink" Target="https://plugins.getkirby.com/topics/authentication" TargetMode="External"/><Relationship Id="rId590" Type="http://schemas.openxmlformats.org/officeDocument/2006/relationships/hyperlink" Target="https://statamic.dev/advanced-topics/oauth" TargetMode="External"/><Relationship Id="rId591" Type="http://schemas.openxmlformats.org/officeDocument/2006/relationships/hyperlink" Target="https://octobercms.com/plugins?search=oauth" TargetMode="External"/><Relationship Id="rId592" Type="http://schemas.openxmlformats.org/officeDocument/2006/relationships/hyperlink" Target="https://github.com/trilbymedia/grav-plugin-login-oauth2" TargetMode="External"/><Relationship Id="rId593" Type="http://schemas.openxmlformats.org/officeDocument/2006/relationships/hyperlink" Target="https://payloadcms.com/enterprise" TargetMode="External"/><Relationship Id="rId594" Type="http://schemas.openxmlformats.org/officeDocument/2006/relationships/hyperlink" Target="https://github.com/tallcms/tallcms/blob/main/docs/ref-filament-ecosystem.md" TargetMode="External"/><Relationship Id="rId595" Type="http://schemas.openxmlformats.org/officeDocument/2006/relationships/hyperlink" Target="https://larazeus.com/docs/sky/v5/advanced/models" TargetMode="External"/><Relationship Id="rId596" Type="http://schemas.openxmlformats.org/officeDocument/2006/relationships/hyperlink" Target="https://wordpress.org/plugins/user-switching/" TargetMode="External"/><Relationship Id="rId597" Type="http://schemas.openxmlformats.org/officeDocument/2006/relationships/hyperlink" Target="https://www.drupal.org/project/masquerade" TargetMode="External"/><Relationship Id="rId598" Type="http://schemas.openxmlformats.org/officeDocument/2006/relationships/hyperlink" Target="https://craftcms.com/docs/5.x/system/user-management.html" TargetMode="External"/><Relationship Id="rId599" Type="http://schemas.openxmlformats.org/officeDocument/2006/relationships/hyperlink" Target="https://getkirby.com/docs/guide/users/permissions" TargetMode="External"/><Relationship Id="rId600" Type="http://schemas.openxmlformats.org/officeDocument/2006/relationships/hyperlink" Target="https://statamic.dev/control-panel/users" TargetMode="External"/><Relationship Id="rId601" Type="http://schemas.openxmlformats.org/officeDocument/2006/relationships/hyperlink" Target="https://github.com/octobercms/october/blob/develop/modules/backend/controllers/UserRoles.php" TargetMode="External"/><Relationship Id="rId602" Type="http://schemas.openxmlformats.org/officeDocument/2006/relationships/hyperlink" Target="https://github.com/tallcms/tallcms/blob/main/docs/ref-filament-ecosystem.md" TargetMode="External"/><Relationship Id="rId603" Type="http://schemas.openxmlformats.org/officeDocument/2006/relationships/hyperlink" Target="https://filamentphp.com/plugins/joseph-szobody-impersonate" TargetMode="External"/><Relationship Id="rId604" Type="http://schemas.openxmlformats.org/officeDocument/2006/relationships/hyperlink" Target="https://wordpress.org/plugins/groups/" TargetMode="External"/><Relationship Id="rId605" Type="http://schemas.openxmlformats.org/officeDocument/2006/relationships/hyperlink" Target="https://www.drupal.org/project/group" TargetMode="External"/><Relationship Id="rId606" Type="http://schemas.openxmlformats.org/officeDocument/2006/relationships/hyperlink" Target="https://craftcms.com/pricing" TargetMode="External"/><Relationship Id="rId607" Type="http://schemas.openxmlformats.org/officeDocument/2006/relationships/hyperlink" Target="https://getkirby.com/docs/guide/users/permissions" TargetMode="External"/><Relationship Id="rId608" Type="http://schemas.openxmlformats.org/officeDocument/2006/relationships/hyperlink" Target="https://statamic.dev/control-panel/user-groups" TargetMode="External"/><Relationship Id="rId609" Type="http://schemas.openxmlformats.org/officeDocument/2006/relationships/hyperlink" Target="https://docs.octobercms.com/4.x/extend/backend/users.html" TargetMode="External"/><Relationship Id="rId610" Type="http://schemas.openxmlformats.org/officeDocument/2006/relationships/hyperlink" Target="https://github.com/getgrav/grav-plugin-api" TargetMode="External"/><Relationship Id="rId611" Type="http://schemas.openxmlformats.org/officeDocument/2006/relationships/hyperlink" Target="https://payloadcms.com/docs/plugins/multi-tenant" TargetMode="External"/><Relationship Id="rId612" Type="http://schemas.openxmlformats.org/officeDocument/2006/relationships/hyperlink" Target="https://developer.wordpress.org/reference/functions/register_post_status/" TargetMode="External"/><Relationship Id="rId613" Type="http://schemas.openxmlformats.org/officeDocument/2006/relationships/hyperlink" Target="https://www.drupal.org/docs/core-modules-and-themes/core-modules/workflows-module" TargetMode="External"/><Relationship Id="rId614" Type="http://schemas.openxmlformats.org/officeDocument/2006/relationships/hyperlink" Target="https://craftcms.com/docs/5.x/system/elements.html" TargetMode="External"/><Relationship Id="rId615" Type="http://schemas.openxmlformats.org/officeDocument/2006/relationships/hyperlink" Target="https://getkirby.com/docs/guide/content/publishing-workflow" TargetMode="External"/><Relationship Id="rId616" Type="http://schemas.openxmlformats.org/officeDocument/2006/relationships/hyperlink" Target="https://statamic.dev/content-modeling/collections" TargetMode="External"/><Relationship Id="rId617" Type="http://schemas.openxmlformats.org/officeDocument/2006/relationships/hyperlink" Target="https://github.com/octobercms/october/blob/develop/modules/tailor/models/entryrecord/HasStatusScopes.php" TargetMode="External"/><Relationship Id="rId618" Type="http://schemas.openxmlformats.org/officeDocument/2006/relationships/hyperlink" Target="https://github.com/getgrav/grav-plugin-admin2/blob/develop/CHANGELOG.md" TargetMode="External"/><Relationship Id="rId619" Type="http://schemas.openxmlformats.org/officeDocument/2006/relationships/hyperlink" Target="https://payloadcms.com/docs/versions/drafts" TargetMode="External"/><Relationship Id="rId620" Type="http://schemas.openxmlformats.org/officeDocument/2006/relationships/hyperlink" Target="https://github.com/tallcms/tallcms/tree/main/packages/tallcms/cms/src/Enums/ContentStatus.php" TargetMode="External"/><Relationship Id="rId621" Type="http://schemas.openxmlformats.org/officeDocument/2006/relationships/hyperlink" Target="https://larazeus.com/docs/sky/v5/getting-started/upgrade" TargetMode="External"/><Relationship Id="rId622" Type="http://schemas.openxmlformats.org/officeDocument/2006/relationships/hyperlink" Target="https://wordpress.org/documentation/article/post-status/" TargetMode="External"/><Relationship Id="rId623" Type="http://schemas.openxmlformats.org/officeDocument/2006/relationships/hyperlink" Target="https://www.drupal.org/docs/core-modules-and-themes/core-modules/content-moderation-module" TargetMode="External"/><Relationship Id="rId624" Type="http://schemas.openxmlformats.org/officeDocument/2006/relationships/hyperlink" Target="https://verbb.io/craft-plugins/workflow" TargetMode="External"/><Relationship Id="rId625" Type="http://schemas.openxmlformats.org/officeDocument/2006/relationships/hyperlink" Target="https://getkirby.com/docs/guide/content/publishing-workflow" TargetMode="External"/><Relationship Id="rId626" Type="http://schemas.openxmlformats.org/officeDocument/2006/relationships/hyperlink" Target="https://statamic.dev/control-panel/permissions" TargetMode="External"/><Relationship Id="rId627" Type="http://schemas.openxmlformats.org/officeDocument/2006/relationships/hyperlink" Target="https://github.com/octobercms/october/blob/develop/modules/tailor/controllers/Entries.php" TargetMode="External"/><Relationship Id="rId628" Type="http://schemas.openxmlformats.org/officeDocument/2006/relationships/hyperlink" Target="https://github.com/getgrav/grav-plugin-api" TargetMode="External"/><Relationship Id="rId629" Type="http://schemas.openxmlformats.org/officeDocument/2006/relationships/hyperlink" Target="https://payloadcms.com/enterprise" TargetMode="External"/><Relationship Id="rId630" Type="http://schemas.openxmlformats.org/officeDocument/2006/relationships/hyperlink" Target="https://github.com/tallcms/tallcms/blob/main/docs/ref-publishing.md" TargetMode="External"/><Relationship Id="rId631" Type="http://schemas.openxmlformats.org/officeDocument/2006/relationships/hyperlink" Target="https://github.com/lara-zeus/sky/blob/main/src/Enums/PostStatus.php" TargetMode="External"/><Relationship Id="rId632" Type="http://schemas.openxmlformats.org/officeDocument/2006/relationships/hyperlink" Target="https://wordpress.org/plugins/publishpress/" TargetMode="External"/><Relationship Id="rId633" Type="http://schemas.openxmlformats.org/officeDocument/2006/relationships/hyperlink" Target="https://www.drupal.org/project/moderation_note" TargetMode="External"/><Relationship Id="rId634" Type="http://schemas.openxmlformats.org/officeDocument/2006/relationships/hyperlink" Target="https://verbb.io/craft-plugins/workflow/docs/feature-tour/reviewers" TargetMode="External"/><Relationship Id="rId635" Type="http://schemas.openxmlformats.org/officeDocument/2006/relationships/hyperlink" Target="https://getkirby.com/docs/guide/content/publishing-workflow" TargetMode="External"/><Relationship Id="rId636" Type="http://schemas.openxmlformats.org/officeDocument/2006/relationships/hyperlink" Target="https://statamic.com/roadmap" TargetMode="External"/><Relationship Id="rId637" Type="http://schemas.openxmlformats.org/officeDocument/2006/relationships/hyperlink" Target="https://payloadcms.com/enterprise" TargetMode="External"/><Relationship Id="rId638" Type="http://schemas.openxmlformats.org/officeDocument/2006/relationships/hyperlink" Target="https://github.com/tallcms/tallcms/blob/main/docs/ref-publishing.md" TargetMode="External"/><Relationship Id="rId639" Type="http://schemas.openxmlformats.org/officeDocument/2006/relationships/hyperlink" Target="https://wordpress.org/news/2026/08/mary-lou/" TargetMode="External"/><Relationship Id="rId640" Type="http://schemas.openxmlformats.org/officeDocument/2006/relationships/hyperlink" Target="https://www.drupal.org/project/moderation_note" TargetMode="External"/><Relationship Id="rId641" Type="http://schemas.openxmlformats.org/officeDocument/2006/relationships/hyperlink" Target="https://craftcms.com/docs/5.x/system/drafts-revisions.html" TargetMode="External"/><Relationship Id="rId642" Type="http://schemas.openxmlformats.org/officeDocument/2006/relationships/hyperlink" Target="https://getkirby.com/docs/guide/content/publishing-workflow" TargetMode="External"/><Relationship Id="rId643" Type="http://schemas.openxmlformats.org/officeDocument/2006/relationships/hyperlink" Target="https://github.com/octobercms/october/blob/develop/modules/tailor/vuecomponents/DraftNotes.php" TargetMode="External"/><Relationship Id="rId644" Type="http://schemas.openxmlformats.org/officeDocument/2006/relationships/hyperlink" Target="https://learn.getgrav.org/20/grav-premium" TargetMode="External"/><Relationship Id="rId645" Type="http://schemas.openxmlformats.org/officeDocument/2006/relationships/hyperlink" Target="https://payloadcms.com/enterprise" TargetMode="External"/><Relationship Id="rId646" Type="http://schemas.openxmlformats.org/officeDocument/2006/relationships/hyperlink" Target="https://github.com/tallcms/tallcms/blob/main/docs/ref-publishing.md" TargetMode="External"/><Relationship Id="rId647" Type="http://schemas.openxmlformats.org/officeDocument/2006/relationships/hyperlink" Target="https://larazeus.com/docs/sky/v5/introduction" TargetMode="External"/><Relationship Id="rId648" Type="http://schemas.openxmlformats.org/officeDocument/2006/relationships/hyperlink" Target="https://developer.wordpress.org/plugins/javascript/heartbeat-api/" TargetMode="External"/><Relationship Id="rId649" Type="http://schemas.openxmlformats.org/officeDocument/2006/relationships/hyperlink" Target="https://www.drupal.org/project/content_lock" TargetMode="External"/><Relationship Id="rId650" Type="http://schemas.openxmlformats.org/officeDocument/2006/relationships/hyperlink" Target="https://craftcms.com/docs/5.x/system/control-panel.html" TargetMode="External"/><Relationship Id="rId651" Type="http://schemas.openxmlformats.org/officeDocument/2006/relationships/hyperlink" Target="https://getkirby.com/docs/guide/content/publishing-workflow" TargetMode="External"/><Relationship Id="rId652" Type="http://schemas.openxmlformats.org/officeDocument/2006/relationships/hyperlink" Target="https://statamic.dev/control-panel/multi-user-collaboration" TargetMode="External"/><Relationship Id="rId653" Type="http://schemas.openxmlformats.org/officeDocument/2006/relationships/hyperlink" Target="https://github.com/octobercms/october/blob/develop/modules/editor/vuecomponents/EditorConflictResolver.php" TargetMode="External"/><Relationship Id="rId654" Type="http://schemas.openxmlformats.org/officeDocument/2006/relationships/hyperlink" Target="https://github.com/getgrav/grav-plugin-api" TargetMode="External"/><Relationship Id="rId655" Type="http://schemas.openxmlformats.org/officeDocument/2006/relationships/hyperlink" Target="https://payloadcms.com/docs/admin/locked-documents" TargetMode="External"/><Relationship Id="rId656" Type="http://schemas.openxmlformats.org/officeDocument/2006/relationships/hyperlink" Target="https://make.wordpress.org/core/tag/collaboration/" TargetMode="External"/><Relationship Id="rId657" Type="http://schemas.openxmlformats.org/officeDocument/2006/relationships/hyperlink" Target="https://www.drupal.org/project/ckeditor5_premium_features" TargetMode="External"/><Relationship Id="rId658" Type="http://schemas.openxmlformats.org/officeDocument/2006/relationships/hyperlink" Target="https://github.com/craftcms/cms/blob/5.x/CHANGELOG.md" TargetMode="External"/><Relationship Id="rId659" Type="http://schemas.openxmlformats.org/officeDocument/2006/relationships/hyperlink" Target="https://getkirby.com/releases/5" TargetMode="External"/><Relationship Id="rId660" Type="http://schemas.openxmlformats.org/officeDocument/2006/relationships/hyperlink" Target="https://github.com/statamic/collaboration" TargetMode="External"/><Relationship Id="rId661" Type="http://schemas.openxmlformats.org/officeDocument/2006/relationships/hyperlink" Target="https://github.com/getgrav/grav-plugin-sync" TargetMode="External"/><Relationship Id="rId662" Type="http://schemas.openxmlformats.org/officeDocument/2006/relationships/hyperlink" Target="https://payloadcms.com/enterprise" TargetMode="External"/><Relationship Id="rId663" Type="http://schemas.openxmlformats.org/officeDocument/2006/relationships/hyperlink" Target="https://wordpress.org/news/2026/08/mary-lou/" TargetMode="External"/><Relationship Id="rId664" Type="http://schemas.openxmlformats.org/officeDocument/2006/relationships/hyperlink" Target="https://www.drupal.org/project/message" TargetMode="External"/><Relationship Id="rId665" Type="http://schemas.openxmlformats.org/officeDocument/2006/relationships/hyperlink" Target="https://getkirby.com/releases/5" TargetMode="External"/><Relationship Id="rId666" Type="http://schemas.openxmlformats.org/officeDocument/2006/relationships/hyperlink" Target="https://statamic.dev/control-panel/toast-notifications" TargetMode="External"/><Relationship Id="rId667" Type="http://schemas.openxmlformats.org/officeDocument/2006/relationships/hyperlink" Target="https://octobercms.com/author/RainLab" TargetMode="External"/><Relationship Id="rId668" Type="http://schemas.openxmlformats.org/officeDocument/2006/relationships/hyperlink" Target="https://github.com/getgrav/grav-plugin-admin2" TargetMode="External"/><Relationship Id="rId669" Type="http://schemas.openxmlformats.org/officeDocument/2006/relationships/hyperlink" Target="https://payloadcms.com/enterprise" TargetMode="External"/><Relationship Id="rId670" Type="http://schemas.openxmlformats.org/officeDocument/2006/relationships/hyperlink" Target="https://github.com/tallcms/tallcms/blob/main/docs/ref-publishing.md" TargetMode="External"/><Relationship Id="rId671" Type="http://schemas.openxmlformats.org/officeDocument/2006/relationships/hyperlink" Target="https://filamentphp.com/docs/5.x/notifications/database-notifications" TargetMode="External"/><Relationship Id="rId672" Type="http://schemas.openxmlformats.org/officeDocument/2006/relationships/hyperlink" Target="https://wordpress.org/plugins/bnfw/" TargetMode="External"/><Relationship Id="rId673" Type="http://schemas.openxmlformats.org/officeDocument/2006/relationships/hyperlink" Target="https://www.drupal.org/project/easy_email" TargetMode="External"/><Relationship Id="rId674" Type="http://schemas.openxmlformats.org/officeDocument/2006/relationships/hyperlink" Target="https://craftcms.com/docs/5.x/system/mail.html" TargetMode="External"/><Relationship Id="rId675" Type="http://schemas.openxmlformats.org/officeDocument/2006/relationships/hyperlink" Target="https://getkirby.com/docs/guide/emails" TargetMode="External"/><Relationship Id="rId676" Type="http://schemas.openxmlformats.org/officeDocument/2006/relationships/hyperlink" Target="https://statamic.dev/frontend/forms" TargetMode="External"/><Relationship Id="rId677" Type="http://schemas.openxmlformats.org/officeDocument/2006/relationships/hyperlink" Target="https://docs.octobercms.com/4.x/extend/system/sending-mail.html" TargetMode="External"/><Relationship Id="rId678" Type="http://schemas.openxmlformats.org/officeDocument/2006/relationships/hyperlink" Target="https://github.com/getgrav/grav-plugin-email" TargetMode="External"/><Relationship Id="rId679" Type="http://schemas.openxmlformats.org/officeDocument/2006/relationships/hyperlink" Target="https://payloadcms.com/docs/authentication/email" TargetMode="External"/><Relationship Id="rId680" Type="http://schemas.openxmlformats.org/officeDocument/2006/relationships/hyperlink" Target="https://github.com/tallcms/tallcms/tree/main/packages/tallcms/cms/src/Mail" TargetMode="External"/><Relationship Id="rId681" Type="http://schemas.openxmlformats.org/officeDocument/2006/relationships/hyperlink" Target="https://developer.wordpress.org/reference/hooks/phpmailer_init/" TargetMode="External"/><Relationship Id="rId682" Type="http://schemas.openxmlformats.org/officeDocument/2006/relationships/hyperlink" Target="https://www.drupal.org/node/3369935" TargetMode="External"/><Relationship Id="rId683" Type="http://schemas.openxmlformats.org/officeDocument/2006/relationships/hyperlink" Target="https://craftcms.com/docs/5.x/system/mail.html" TargetMode="External"/><Relationship Id="rId684" Type="http://schemas.openxmlformats.org/officeDocument/2006/relationships/hyperlink" Target="https://getkirby.com/docs/guide/emails" TargetMode="External"/><Relationship Id="rId685" Type="http://schemas.openxmlformats.org/officeDocument/2006/relationships/hyperlink" Target="https://statamic.dev/advanced-topics/email" TargetMode="External"/><Relationship Id="rId686" Type="http://schemas.openxmlformats.org/officeDocument/2006/relationships/hyperlink" Target="https://docs.octobercms.com/4.x/setup/mail-config.html" TargetMode="External"/><Relationship Id="rId687" Type="http://schemas.openxmlformats.org/officeDocument/2006/relationships/hyperlink" Target="https://github.com/getgrav/grav-plugin-email" TargetMode="External"/><Relationship Id="rId688" Type="http://schemas.openxmlformats.org/officeDocument/2006/relationships/hyperlink" Target="https://payloadcms.com/docs/email/overview" TargetMode="External"/><Relationship Id="rId689" Type="http://schemas.openxmlformats.org/officeDocument/2006/relationships/hyperlink" Target="https://github.com/tallcms/tallcms/blob/main/docs/gs-installation.md" TargetMode="External"/><Relationship Id="rId690" Type="http://schemas.openxmlformats.org/officeDocument/2006/relationships/hyperlink" Target="https://laravel.com/docs/mail" TargetMode="External"/><Relationship Id="rId691" Type="http://schemas.openxmlformats.org/officeDocument/2006/relationships/hyperlink" Target="https://jetpack.com/newsletter/" TargetMode="External"/><Relationship Id="rId692" Type="http://schemas.openxmlformats.org/officeDocument/2006/relationships/hyperlink" Target="https://www.drupal.org/project/simplenews" TargetMode="External"/><Relationship Id="rId693" Type="http://schemas.openxmlformats.org/officeDocument/2006/relationships/hyperlink" Target="https://plugins.craftcms.com/campaign" TargetMode="External"/><Relationship Id="rId694" Type="http://schemas.openxmlformats.org/officeDocument/2006/relationships/hyperlink" Target="https://github.com/bnomei/kirby-mailjet" TargetMode="External"/><Relationship Id="rId695" Type="http://schemas.openxmlformats.org/officeDocument/2006/relationships/hyperlink" Target="https://statamic.com/newsletter/2026-08" TargetMode="External"/><Relationship Id="rId696" Type="http://schemas.openxmlformats.org/officeDocument/2006/relationships/hyperlink" Target="https://octobercms.com/author/Responsiv" TargetMode="External"/><Relationship Id="rId697" Type="http://schemas.openxmlformats.org/officeDocument/2006/relationships/hyperlink" Target="https://learn.getgrav.org/20/grav-premium/mailroom" TargetMode="External"/><Relationship Id="rId698" Type="http://schemas.openxmlformats.org/officeDocument/2006/relationships/hyperlink" Target="https://github.com/tallcms/tallcms/blob/main/docs/ref-pro-email-marketing.md" TargetMode="External"/><Relationship Id="rId699" Type="http://schemas.openxmlformats.org/officeDocument/2006/relationships/hyperlink" Target="https://wordpress.org/plugins/wp-webhooks/" TargetMode="External"/><Relationship Id="rId700" Type="http://schemas.openxmlformats.org/officeDocument/2006/relationships/hyperlink" Target="https://www.drupal.org/project/eca" TargetMode="External"/><Relationship Id="rId701" Type="http://schemas.openxmlformats.org/officeDocument/2006/relationships/hyperlink" Target="https://plugins.craftcms.com/webhooks" TargetMode="External"/><Relationship Id="rId702" Type="http://schemas.openxmlformats.org/officeDocument/2006/relationships/hyperlink" Target="https://plugins.getkirby.com/topics/routing" TargetMode="External"/><Relationship Id="rId703" Type="http://schemas.openxmlformats.org/officeDocument/2006/relationships/hyperlink" Target="https://statamic.com/addons/gydo-makkinga/hooker" TargetMode="External"/><Relationship Id="rId704" Type="http://schemas.openxmlformats.org/officeDocument/2006/relationships/hyperlink" Target="https://github.com/getgrav/grav-plugin-api" TargetMode="External"/><Relationship Id="rId705" Type="http://schemas.openxmlformats.org/officeDocument/2006/relationships/hyperlink" Target="https://payloadcms.com/docs/hooks/collections" TargetMode="External"/><Relationship Id="rId706" Type="http://schemas.openxmlformats.org/officeDocument/2006/relationships/hyperlink" Target="https://github.com/tallcms/tallcms/blob/main/docs/dev-api.md" TargetMode="External"/><Relationship Id="rId707" Type="http://schemas.openxmlformats.org/officeDocument/2006/relationships/hyperlink" Target="https://wordpress.org/about/roadmap/" TargetMode="External"/><Relationship Id="rId708" Type="http://schemas.openxmlformats.org/officeDocument/2006/relationships/hyperlink" Target="https://www.drupal.org/docs/multilingual-guide" TargetMode="External"/><Relationship Id="rId709" Type="http://schemas.openxmlformats.org/officeDocument/2006/relationships/hyperlink" Target="https://craftcms.com/docs/5.x/system/sites.html" TargetMode="External"/><Relationship Id="rId710" Type="http://schemas.openxmlformats.org/officeDocument/2006/relationships/hyperlink" Target="https://getkirby.com/docs/guide/languages" TargetMode="External"/><Relationship Id="rId711" Type="http://schemas.openxmlformats.org/officeDocument/2006/relationships/hyperlink" Target="https://statamic.dev/control-panel/multi-site" TargetMode="External"/><Relationship Id="rId712" Type="http://schemas.openxmlformats.org/officeDocument/2006/relationships/hyperlink" Target="https://docs.octobercms.com/4.x/cms/multisite/multisite.html" TargetMode="External"/><Relationship Id="rId713" Type="http://schemas.openxmlformats.org/officeDocument/2006/relationships/hyperlink" Target="https://learn.getgrav.org/17/basics/grav-configuration" TargetMode="External"/><Relationship Id="rId714" Type="http://schemas.openxmlformats.org/officeDocument/2006/relationships/hyperlink" Target="https://payloadcms.com/docs/configuration/localization" TargetMode="External"/><Relationship Id="rId715" Type="http://schemas.openxmlformats.org/officeDocument/2006/relationships/hyperlink" Target="https://github.com/tallcms/tallcms/blob/main/docs/ref-i18n.md" TargetMode="External"/><Relationship Id="rId716" Type="http://schemas.openxmlformats.org/officeDocument/2006/relationships/hyperlink" Target="https://larazeus.com/docs/sky/v5/getting-started/installation" TargetMode="External"/><Relationship Id="rId717" Type="http://schemas.openxmlformats.org/officeDocument/2006/relationships/hyperlink" Target="https://wpml.org/" TargetMode="External"/><Relationship Id="rId718" Type="http://schemas.openxmlformats.org/officeDocument/2006/relationships/hyperlink" Target="https://www.drupal.org/docs/multilingual-guide" TargetMode="External"/><Relationship Id="rId719" Type="http://schemas.openxmlformats.org/officeDocument/2006/relationships/hyperlink" Target="https://craftcms.com/docs/5.x/system/sites.html" TargetMode="External"/><Relationship Id="rId720" Type="http://schemas.openxmlformats.org/officeDocument/2006/relationships/hyperlink" Target="https://getkirby.com/docs/guide/languages/translating-content" TargetMode="External"/><Relationship Id="rId721" Type="http://schemas.openxmlformats.org/officeDocument/2006/relationships/hyperlink" Target="https://statamic.dev/control-panel/multi-site" TargetMode="External"/><Relationship Id="rId722" Type="http://schemas.openxmlformats.org/officeDocument/2006/relationships/hyperlink" Target="https://octobercms.com/support/article/rn-41" TargetMode="External"/><Relationship Id="rId723" Type="http://schemas.openxmlformats.org/officeDocument/2006/relationships/hyperlink" Target="https://github.com/getgrav/grav-plugin-api" TargetMode="External"/><Relationship Id="rId724" Type="http://schemas.openxmlformats.org/officeDocument/2006/relationships/hyperlink" Target="https://payloadcms.com/docs/configuration/localization" TargetMode="External"/><Relationship Id="rId725" Type="http://schemas.openxmlformats.org/officeDocument/2006/relationships/hyperlink" Target="https://github.com/tallcms/tallcms/blob/main/docs/ref-i18n.md" TargetMode="External"/><Relationship Id="rId726" Type="http://schemas.openxmlformats.org/officeDocument/2006/relationships/hyperlink" Target="https://github.com/lara-zeus/sky/blob/main/src/Models/Post.php" TargetMode="External"/><Relationship Id="rId727" Type="http://schemas.openxmlformats.org/officeDocument/2006/relationships/hyperlink" Target="https://wpml.org/" TargetMode="External"/><Relationship Id="rId728" Type="http://schemas.openxmlformats.org/officeDocument/2006/relationships/hyperlink" Target="https://www.drupal.org/project/tmgmt" TargetMode="External"/><Relationship Id="rId729" Type="http://schemas.openxmlformats.org/officeDocument/2006/relationships/hyperlink" Target="https://craftcms.com/docs/5.x/system/sites.html" TargetMode="External"/><Relationship Id="rId730" Type="http://schemas.openxmlformats.org/officeDocument/2006/relationships/hyperlink" Target="https://plugins.getkirby.com/topics/internationalisation" TargetMode="External"/><Relationship Id="rId731" Type="http://schemas.openxmlformats.org/officeDocument/2006/relationships/hyperlink" Target="https://statamic.dev/control-panel/multi-site" TargetMode="External"/><Relationship Id="rId732" Type="http://schemas.openxmlformats.org/officeDocument/2006/relationships/hyperlink" Target="https://docs.octobercms.com/4.x/cms/multisite/tailor.html" TargetMode="External"/><Relationship Id="rId733" Type="http://schemas.openxmlformats.org/officeDocument/2006/relationships/hyperlink" Target="https://github.com/getgrav/grav-plugin-admin2" TargetMode="External"/><Relationship Id="rId734" Type="http://schemas.openxmlformats.org/officeDocument/2006/relationships/hyperlink" Target="https://payloadcms.com/docs/configuration/localization" TargetMode="External"/><Relationship Id="rId735" Type="http://schemas.openxmlformats.org/officeDocument/2006/relationships/hyperlink" Target="https://github.com/tallcms/tallcms/blob/main/docs/ref-i18n.md" TargetMode="External"/><Relationship Id="rId736" Type="http://schemas.openxmlformats.org/officeDocument/2006/relationships/hyperlink" Target="https://github.com/lara-zeus/sky/blob/main/src/Models/Post.php" TargetMode="External"/><Relationship Id="rId737" Type="http://schemas.openxmlformats.org/officeDocument/2006/relationships/hyperlink" Target="https://wpml.org/" TargetMode="External"/><Relationship Id="rId738" Type="http://schemas.openxmlformats.org/officeDocument/2006/relationships/hyperlink" Target="https://www.drupal.org/docs/multilingual-guide" TargetMode="External"/><Relationship Id="rId739" Type="http://schemas.openxmlformats.org/officeDocument/2006/relationships/hyperlink" Target="https://craftcms.com/docs/5.x/system/sites.html" TargetMode="External"/><Relationship Id="rId740" Type="http://schemas.openxmlformats.org/officeDocument/2006/relationships/hyperlink" Target="https://getkirby.com/docs/guide/languages/translating-content" TargetMode="External"/><Relationship Id="rId741" Type="http://schemas.openxmlformats.org/officeDocument/2006/relationships/hyperlink" Target="https://statamic.dev/content-modeling/data-inheritance" TargetMode="External"/><Relationship Id="rId742" Type="http://schemas.openxmlformats.org/officeDocument/2006/relationships/hyperlink" Target="https://docs.octobercms.com/4.x/extend/multisite/translatable.html" TargetMode="External"/><Relationship Id="rId743" Type="http://schemas.openxmlformats.org/officeDocument/2006/relationships/hyperlink" Target="https://learn.getgrav.org/17/basics/grav-configuration" TargetMode="External"/><Relationship Id="rId744" Type="http://schemas.openxmlformats.org/officeDocument/2006/relationships/hyperlink" Target="https://payloadcms.com/docs/configuration/localization" TargetMode="External"/><Relationship Id="rId745" Type="http://schemas.openxmlformats.org/officeDocument/2006/relationships/hyperlink" Target="https://github.com/tallcms/tallcms/blob/main/docs/ref-i18n.md" TargetMode="External"/><Relationship Id="rId746" Type="http://schemas.openxmlformats.org/officeDocument/2006/relationships/hyperlink" Target="https://spatie.be/docs/laravel-translatable/v6/basic-usage/handling-missing-translations" TargetMode="External"/><Relationship Id="rId747" Type="http://schemas.openxmlformats.org/officeDocument/2006/relationships/hyperlink" Target="https://wordpress.org/documentation/article/create-a-network/" TargetMode="External"/><Relationship Id="rId748" Type="http://schemas.openxmlformats.org/officeDocument/2006/relationships/hyperlink" Target="https://www.drupal.org/docs/getting-started/multisite-drupal" TargetMode="External"/><Relationship Id="rId749" Type="http://schemas.openxmlformats.org/officeDocument/2006/relationships/hyperlink" Target="https://craftcms.com/docs/5.x/system/sites.html" TargetMode="External"/><Relationship Id="rId750" Type="http://schemas.openxmlformats.org/officeDocument/2006/relationships/hyperlink" Target="https://getkirby.com/docs/guide/configuration" TargetMode="External"/><Relationship Id="rId751" Type="http://schemas.openxmlformats.org/officeDocument/2006/relationships/hyperlink" Target="https://statamic.dev/control-panel/multi-site" TargetMode="External"/><Relationship Id="rId752" Type="http://schemas.openxmlformats.org/officeDocument/2006/relationships/hyperlink" Target="https://docs.octobercms.com/4.x/cms/multisite/multisite.html" TargetMode="External"/><Relationship Id="rId753" Type="http://schemas.openxmlformats.org/officeDocument/2006/relationships/hyperlink" Target="https://learn.getgrav.org/20/advanced/multisite-setup" TargetMode="External"/><Relationship Id="rId754" Type="http://schemas.openxmlformats.org/officeDocument/2006/relationships/hyperlink" Target="https://payloadcms.com/docs/plugins/multi-tenant" TargetMode="External"/><Relationship Id="rId755" Type="http://schemas.openxmlformats.org/officeDocument/2006/relationships/hyperlink" Target="https://github.com/tallcms/tallcms/blob/main/docs/site-multisite.md" TargetMode="External"/><Relationship Id="rId756" Type="http://schemas.openxmlformats.org/officeDocument/2006/relationships/hyperlink" Target="https://larazeus.com/docs/sky/v5/getting-started/configuration" TargetMode="External"/><Relationship Id="rId757" Type="http://schemas.openxmlformats.org/officeDocument/2006/relationships/hyperlink" Target="https://wordpress.org/plugins/threewp-broadcast/" TargetMode="External"/><Relationship Id="rId758" Type="http://schemas.openxmlformats.org/officeDocument/2006/relationships/hyperlink" Target="https://www.drupal.org/project/domain" TargetMode="External"/><Relationship Id="rId759" Type="http://schemas.openxmlformats.org/officeDocument/2006/relationships/hyperlink" Target="https://craftcms.com/docs/5.x/system/sites.html" TargetMode="External"/><Relationship Id="rId760" Type="http://schemas.openxmlformats.org/officeDocument/2006/relationships/hyperlink" Target="https://statamic.dev/control-panel/multi-site" TargetMode="External"/><Relationship Id="rId761" Type="http://schemas.openxmlformats.org/officeDocument/2006/relationships/hyperlink" Target="https://docs.octobercms.com/4.x/cms/multisite/tailor.html" TargetMode="External"/><Relationship Id="rId762" Type="http://schemas.openxmlformats.org/officeDocument/2006/relationships/hyperlink" Target="https://learn.getgrav.org/20/advanced/multisite-setup" TargetMode="External"/><Relationship Id="rId763" Type="http://schemas.openxmlformats.org/officeDocument/2006/relationships/hyperlink" Target="https://payloadcms.com/docs/plugins/multi-tenant" TargetMode="External"/><Relationship Id="rId764" Type="http://schemas.openxmlformats.org/officeDocument/2006/relationships/hyperlink" Target="https://github.com/tallcms/tallcms/blob/main/docs/site-multisite.md" TargetMode="External"/><Relationship Id="rId765" Type="http://schemas.openxmlformats.org/officeDocument/2006/relationships/hyperlink" Target="https://developer.wordpress.org/themes/advanced-topics/right-to-left-language-support/" TargetMode="External"/><Relationship Id="rId766" Type="http://schemas.openxmlformats.org/officeDocument/2006/relationships/hyperlink" Target="https://www.drupal.org/docs/multilingual-guide" TargetMode="External"/><Relationship Id="rId767" Type="http://schemas.openxmlformats.org/officeDocument/2006/relationships/hyperlink" Target="https://craftcms.com/docs/5.x/system/control-panel.html" TargetMode="External"/><Relationship Id="rId768" Type="http://schemas.openxmlformats.org/officeDocument/2006/relationships/hyperlink" Target="https://getkirby.com/docs/guide/languages" TargetMode="External"/><Relationship Id="rId769" Type="http://schemas.openxmlformats.org/officeDocument/2006/relationships/hyperlink" Target="https://statamic.dev/control-panel/multi-site" TargetMode="External"/><Relationship Id="rId770" Type="http://schemas.openxmlformats.org/officeDocument/2006/relationships/hyperlink" Target="https://github.com/getgrav/grav-plugin-admin2/blob/develop/CHANGELOG.md" TargetMode="External"/><Relationship Id="rId771" Type="http://schemas.openxmlformats.org/officeDocument/2006/relationships/hyperlink" Target="https://payloadcms.com/docs/configuration/localization" TargetMode="External"/><Relationship Id="rId772" Type="http://schemas.openxmlformats.org/officeDocument/2006/relationships/hyperlink" Target="https://github.com/tallcms/tallcms/blob/main/docs/ref-i18n.md" TargetMode="External"/><Relationship Id="rId773" Type="http://schemas.openxmlformats.org/officeDocument/2006/relationships/hyperlink" Target="https://github.com/lara-zeus/sky/blob/main/resources/lang/ar" TargetMode="External"/><Relationship Id="rId774" Type="http://schemas.openxmlformats.org/officeDocument/2006/relationships/hyperlink" Target="https://wordpress.org/documentation/article/settings-permalinks-screen/" TargetMode="External"/><Relationship Id="rId775" Type="http://schemas.openxmlformats.org/officeDocument/2006/relationships/hyperlink" Target="https://www.drupal.org/docs/user_guide/en/content-paths.html" TargetMode="External"/><Relationship Id="rId776" Type="http://schemas.openxmlformats.org/officeDocument/2006/relationships/hyperlink" Target="https://craftcms.com/docs/5.x/reference/element-types/entries.html" TargetMode="External"/><Relationship Id="rId777" Type="http://schemas.openxmlformats.org/officeDocument/2006/relationships/hyperlink" Target="https://getkirby.com/docs/guide/uuids" TargetMode="External"/><Relationship Id="rId778" Type="http://schemas.openxmlformats.org/officeDocument/2006/relationships/hyperlink" Target="https://statamic.dev/content-modeling/routing" TargetMode="External"/><Relationship Id="rId779" Type="http://schemas.openxmlformats.org/officeDocument/2006/relationships/hyperlink" Target="https://docs.octobercms.com/4.x/cms/themes/pages.html" TargetMode="External"/><Relationship Id="rId780" Type="http://schemas.openxmlformats.org/officeDocument/2006/relationships/hyperlink" Target="https://learn.getgrav.org/20/content/headers" TargetMode="External"/><Relationship Id="rId781" Type="http://schemas.openxmlformats.org/officeDocument/2006/relationships/hyperlink" Target="https://github.com/tallcms/tallcms/blob/main/docs/site-seo.md" TargetMode="External"/><Relationship Id="rId782" Type="http://schemas.openxmlformats.org/officeDocument/2006/relationships/hyperlink" Target="https://larazeus.com/docs/sky/v5/getting-started/configuration" TargetMode="External"/><Relationship Id="rId783" Type="http://schemas.openxmlformats.org/officeDocument/2006/relationships/hyperlink" Target="https://wordpress.org/documentation/article/settings-permalinks-screen/" TargetMode="External"/><Relationship Id="rId784" Type="http://schemas.openxmlformats.org/officeDocument/2006/relationships/hyperlink" Target="https://www.drupal.org/project/pathauto" TargetMode="External"/><Relationship Id="rId785" Type="http://schemas.openxmlformats.org/officeDocument/2006/relationships/hyperlink" Target="https://craftcms.com/docs/5.x/reference/element-types/entries.html" TargetMode="External"/><Relationship Id="rId786" Type="http://schemas.openxmlformats.org/officeDocument/2006/relationships/hyperlink" Target="https://getkirby.com/docs/guide/languages" TargetMode="External"/><Relationship Id="rId787" Type="http://schemas.openxmlformats.org/officeDocument/2006/relationships/hyperlink" Target="https://statamic.dev/content-modeling/collections" TargetMode="External"/><Relationship Id="rId788" Type="http://schemas.openxmlformats.org/officeDocument/2006/relationships/hyperlink" Target="https://docs.octobercms.com/4.x/extend/database/traits.html" TargetMode="External"/><Relationship Id="rId789" Type="http://schemas.openxmlformats.org/officeDocument/2006/relationships/hyperlink" Target="https://learn.getgrav.org/20/content/headers" TargetMode="External"/><Relationship Id="rId790" Type="http://schemas.openxmlformats.org/officeDocument/2006/relationships/hyperlink" Target="https://payloadcms.com/docs/fields/text" TargetMode="External"/><Relationship Id="rId791" Type="http://schemas.openxmlformats.org/officeDocument/2006/relationships/hyperlink" Target="https://github.com/tallcms/tallcms/tree/main/packages/tallcms/cms/src/Filament/Resources/CmsPages/Schemas/CmsPageForm.php" TargetMode="External"/><Relationship Id="rId792" Type="http://schemas.openxmlformats.org/officeDocument/2006/relationships/hyperlink" Target="https://github.com/lara-zeus/sky/blob/main/src/Filament/Resources/PostResource.php" TargetMode="External"/><Relationship Id="rId793" Type="http://schemas.openxmlformats.org/officeDocument/2006/relationships/hyperlink" Target="https://developer.wordpress.org/reference/functions/register_post_type/" TargetMode="External"/><Relationship Id="rId794" Type="http://schemas.openxmlformats.org/officeDocument/2006/relationships/hyperlink" Target="https://www.drupal.org/project/pathauto" TargetMode="External"/><Relationship Id="rId795" Type="http://schemas.openxmlformats.org/officeDocument/2006/relationships/hyperlink" Target="https://craftcms.com/docs/5.x/reference/element-types/entries.html" TargetMode="External"/><Relationship Id="rId796" Type="http://schemas.openxmlformats.org/officeDocument/2006/relationships/hyperlink" Target="https://getkirby.com/docs/guide/content/creating-pages" TargetMode="External"/><Relationship Id="rId797" Type="http://schemas.openxmlformats.org/officeDocument/2006/relationships/hyperlink" Target="https://statamic.dev/content-modeling/structures" TargetMode="External"/><Relationship Id="rId798" Type="http://schemas.openxmlformats.org/officeDocument/2006/relationships/hyperlink" Target="https://docs.octobercms.com/4.x/cms/tailor/models.html" TargetMode="External"/><Relationship Id="rId799" Type="http://schemas.openxmlformats.org/officeDocument/2006/relationships/hyperlink" Target="https://learn.getgrav.org/20/content/headers" TargetMode="External"/><Relationship Id="rId800" Type="http://schemas.openxmlformats.org/officeDocument/2006/relationships/hyperlink" Target="https://payloadcms.com/docs/plugins/nested-docs" TargetMode="External"/><Relationship Id="rId801" Type="http://schemas.openxmlformats.org/officeDocument/2006/relationships/hyperlink" Target="https://github.com/tallcms/tallcms/blob/main/docs/site-pages-posts.md" TargetMode="External"/><Relationship Id="rId802" Type="http://schemas.openxmlformats.org/officeDocument/2006/relationships/hyperlink" Target="https://github.com/lara-zeus/sky/blob/main/routes/web.php" TargetMode="External"/><Relationship Id="rId803" Type="http://schemas.openxmlformats.org/officeDocument/2006/relationships/hyperlink" Target="https://developer.wordpress.org/reference/functions/add_rewrite_rule/" TargetMode="External"/><Relationship Id="rId804" Type="http://schemas.openxmlformats.org/officeDocument/2006/relationships/hyperlink" Target="https://www.drupal.org/blog/drupal-11-4-0" TargetMode="External"/><Relationship Id="rId805" Type="http://schemas.openxmlformats.org/officeDocument/2006/relationships/hyperlink" Target="https://craftcms.com/docs/5.x/system/routing.html" TargetMode="External"/><Relationship Id="rId806" Type="http://schemas.openxmlformats.org/officeDocument/2006/relationships/hyperlink" Target="https://getkirby.com/docs/guide/routing" TargetMode="External"/><Relationship Id="rId807" Type="http://schemas.openxmlformats.org/officeDocument/2006/relationships/hyperlink" Target="https://statamic.dev/content-modeling/routing" TargetMode="External"/><Relationship Id="rId808" Type="http://schemas.openxmlformats.org/officeDocument/2006/relationships/hyperlink" Target="https://docs.octobercms.com/4.x/extend/system/routing.html" TargetMode="External"/><Relationship Id="rId809" Type="http://schemas.openxmlformats.org/officeDocument/2006/relationships/hyperlink" Target="https://learn.getgrav.org/17/basics/grav-configuration" TargetMode="External"/><Relationship Id="rId810" Type="http://schemas.openxmlformats.org/officeDocument/2006/relationships/hyperlink" Target="https://payloadcms.com/docs/rest-api/overview" TargetMode="External"/><Relationship Id="rId811" Type="http://schemas.openxmlformats.org/officeDocument/2006/relationships/hyperlink" Target="https://github.com/tallcms/tallcms/blob/main/docs/dev-plugins.md" TargetMode="External"/><Relationship Id="rId812" Type="http://schemas.openxmlformats.org/officeDocument/2006/relationships/hyperlink" Target="https://github.com/lara-zeus/sky/blob/main/config/zeus-sky.php" TargetMode="External"/><Relationship Id="rId813" Type="http://schemas.openxmlformats.org/officeDocument/2006/relationships/hyperlink" Target="https://wordpress.org/plugins/redirection/" TargetMode="External"/><Relationship Id="rId814" Type="http://schemas.openxmlformats.org/officeDocument/2006/relationships/hyperlink" Target="https://www.drupal.org/project/redirect" TargetMode="External"/><Relationship Id="rId815" Type="http://schemas.openxmlformats.org/officeDocument/2006/relationships/hyperlink" Target="https://craftcms.com/docs/5.x/system/routing.html" TargetMode="External"/><Relationship Id="rId816" Type="http://schemas.openxmlformats.org/officeDocument/2006/relationships/hyperlink" Target="https://plugins.getkirby.com/topics/routing" TargetMode="External"/><Relationship Id="rId817" Type="http://schemas.openxmlformats.org/officeDocument/2006/relationships/hyperlink" Target="https://statamic.com/addons/statamic/seo-pro" TargetMode="External"/><Relationship Id="rId818" Type="http://schemas.openxmlformats.org/officeDocument/2006/relationships/hyperlink" Target="https://octobercms.com/plugin/vdlp-redirect" TargetMode="External"/><Relationship Id="rId819" Type="http://schemas.openxmlformats.org/officeDocument/2006/relationships/hyperlink" Target="https://learn.getgrav.org/20/content/headers" TargetMode="External"/><Relationship Id="rId820" Type="http://schemas.openxmlformats.org/officeDocument/2006/relationships/hyperlink" Target="https://payloadcms.com/docs/plugins/redirects" TargetMode="External"/><Relationship Id="rId821" Type="http://schemas.openxmlformats.org/officeDocument/2006/relationships/hyperlink" Target="https://github.com/tallcms/tallcms/blob/main/docs/ref-redirects.md" TargetMode="External"/><Relationship Id="rId822" Type="http://schemas.openxmlformats.org/officeDocument/2006/relationships/hyperlink" Target="https://developer.wordpress.org/reference/functions/wp_old_slug_redirect/" TargetMode="External"/><Relationship Id="rId823" Type="http://schemas.openxmlformats.org/officeDocument/2006/relationships/hyperlink" Target="https://www.drupal.org/project/redirect" TargetMode="External"/><Relationship Id="rId824" Type="http://schemas.openxmlformats.org/officeDocument/2006/relationships/hyperlink" Target="https://plugins.craftcms.com/retour" TargetMode="External"/><Relationship Id="rId825" Type="http://schemas.openxmlformats.org/officeDocument/2006/relationships/hyperlink" Target="https://plugins.getkirby.com/topics/routing" TargetMode="External"/><Relationship Id="rId826" Type="http://schemas.openxmlformats.org/officeDocument/2006/relationships/hyperlink" Target="https://statamic.com/addons/statamic/seo-pro" TargetMode="External"/><Relationship Id="rId827" Type="http://schemas.openxmlformats.org/officeDocument/2006/relationships/hyperlink" Target="https://octobercms.com/support/article/rn-43" TargetMode="External"/><Relationship Id="rId828" Type="http://schemas.openxmlformats.org/officeDocument/2006/relationships/hyperlink" Target="https://payloadcms.com/docs/plugins/redirects" TargetMode="External"/><Relationship Id="rId829" Type="http://schemas.openxmlformats.org/officeDocument/2006/relationships/hyperlink" Target="https://github.com/tallcms/tallcms/blob/main/docs/ref-redirects.md" TargetMode="External"/><Relationship Id="rId830" Type="http://schemas.openxmlformats.org/officeDocument/2006/relationships/hyperlink" Target="https://developer.wordpress.org/themes/basics/template-hierarchy/" TargetMode="External"/><Relationship Id="rId831" Type="http://schemas.openxmlformats.org/officeDocument/2006/relationships/hyperlink" Target="https://www.drupal.org/docs/user_guide/en/config-basic.html" TargetMode="External"/><Relationship Id="rId832" Type="http://schemas.openxmlformats.org/officeDocument/2006/relationships/hyperlink" Target="https://craftcms.com/docs/5.x/system/routing.html" TargetMode="External"/><Relationship Id="rId833" Type="http://schemas.openxmlformats.org/officeDocument/2006/relationships/hyperlink" Target="https://getkirby.com/docs/guide/routing" TargetMode="External"/><Relationship Id="rId834" Type="http://schemas.openxmlformats.org/officeDocument/2006/relationships/hyperlink" Target="https://statamic.dev/content-modeling/routing" TargetMode="External"/><Relationship Id="rId835" Type="http://schemas.openxmlformats.org/officeDocument/2006/relationships/hyperlink" Target="https://docs.octobercms.com/4.x/cms/themes/pages.html" TargetMode="External"/><Relationship Id="rId836" Type="http://schemas.openxmlformats.org/officeDocument/2006/relationships/hyperlink" Target="https://github.com/getgrav/grav-plugin-error" TargetMode="External"/><Relationship Id="rId837" Type="http://schemas.openxmlformats.org/officeDocument/2006/relationships/hyperlink" Target="https://laravel.com/docs/errors" TargetMode="External"/><Relationship Id="rId838" Type="http://schemas.openxmlformats.org/officeDocument/2006/relationships/hyperlink" Target="https://polylang.pro/doc/url-modifications/" TargetMode="External"/><Relationship Id="rId839" Type="http://schemas.openxmlformats.org/officeDocument/2006/relationships/hyperlink" Target="https://www.drupal.org/docs/multilingual-guide" TargetMode="External"/><Relationship Id="rId840" Type="http://schemas.openxmlformats.org/officeDocument/2006/relationships/hyperlink" Target="https://craftcms.com/docs/5.x/system/sites.html" TargetMode="External"/><Relationship Id="rId841" Type="http://schemas.openxmlformats.org/officeDocument/2006/relationships/hyperlink" Target="https://getkirby.com/docs/guide/languages" TargetMode="External"/><Relationship Id="rId842" Type="http://schemas.openxmlformats.org/officeDocument/2006/relationships/hyperlink" Target="https://statamic.dev/control-panel/multi-site" TargetMode="External"/><Relationship Id="rId843" Type="http://schemas.openxmlformats.org/officeDocument/2006/relationships/hyperlink" Target="https://docs.octobercms.com/4.x/cms/multisite/multisite.html" TargetMode="External"/><Relationship Id="rId844" Type="http://schemas.openxmlformats.org/officeDocument/2006/relationships/hyperlink" Target="https://learn.getgrav.org/17/basics/grav-configuration" TargetMode="External"/><Relationship Id="rId845" Type="http://schemas.openxmlformats.org/officeDocument/2006/relationships/hyperlink" Target="https://github.com/tallcms/tallcms/blob/main/docs/ref-i18n.md" TargetMode="External"/><Relationship Id="rId846" Type="http://schemas.openxmlformats.org/officeDocument/2006/relationships/hyperlink" Target="https://github.com/lara-zeus/sky/blob/main/routes/web.php" TargetMode="External"/><Relationship Id="rId847" Type="http://schemas.openxmlformats.org/officeDocument/2006/relationships/hyperlink" Target="https://developer.wordpress.org/reference/functions/rel_canonical/" TargetMode="External"/><Relationship Id="rId848" Type="http://schemas.openxmlformats.org/officeDocument/2006/relationships/hyperlink" Target="https://www.drupal.org/project/metatag" TargetMode="External"/><Relationship Id="rId849" Type="http://schemas.openxmlformats.org/officeDocument/2006/relationships/hyperlink" Target="https://plugins.craftcms.com/seomatic" TargetMode="External"/><Relationship Id="rId850" Type="http://schemas.openxmlformats.org/officeDocument/2006/relationships/hyperlink" Target="https://plugins.getkirby.com/topics/seo" TargetMode="External"/><Relationship Id="rId851" Type="http://schemas.openxmlformats.org/officeDocument/2006/relationships/hyperlink" Target="https://statamic.com/addons/statamic/seo-pro" TargetMode="External"/><Relationship Id="rId852" Type="http://schemas.openxmlformats.org/officeDocument/2006/relationships/hyperlink" Target="https://learn.getgrav.org/20/content/headers" TargetMode="External"/><Relationship Id="rId853" Type="http://schemas.openxmlformats.org/officeDocument/2006/relationships/hyperlink" Target="https://payloadcms.com/docs/plugins/seo" TargetMode="External"/><Relationship Id="rId854" Type="http://schemas.openxmlformats.org/officeDocument/2006/relationships/hyperlink" Target="https://github.com/tallcms/tallcms/tree/main/packages/tallcms/cms/resources/views/components/seo/meta-tags.blade.php" TargetMode="External"/><Relationship Id="rId855" Type="http://schemas.openxmlformats.org/officeDocument/2006/relationships/hyperlink" Target="https://github.com/lara-zeus/sky/blob/main/src/Livewire/Post.php" TargetMode="External"/><Relationship Id="rId856" Type="http://schemas.openxmlformats.org/officeDocument/2006/relationships/hyperlink" Target="https://developer.wordpress.org/themes/" TargetMode="External"/><Relationship Id="rId857" Type="http://schemas.openxmlformats.org/officeDocument/2006/relationships/hyperlink" Target="https://www.drupal.org/docs/develop/theming-drupal/twig-in-drupal" TargetMode="External"/><Relationship Id="rId858" Type="http://schemas.openxmlformats.org/officeDocument/2006/relationships/hyperlink" Target="https://github.com/craftcms/cms/blob/5.x/CHANGELOG.md" TargetMode="External"/><Relationship Id="rId859" Type="http://schemas.openxmlformats.org/officeDocument/2006/relationships/hyperlink" Target="https://getkirby.com/docs/guide/templates/basics" TargetMode="External"/><Relationship Id="rId860" Type="http://schemas.openxmlformats.org/officeDocument/2006/relationships/hyperlink" Target="https://statamic.dev/frontend/antlers" TargetMode="External"/><Relationship Id="rId861" Type="http://schemas.openxmlformats.org/officeDocument/2006/relationships/hyperlink" Target="https://docs.octobercms.com/4.x/markup/templating.html" TargetMode="External"/><Relationship Id="rId862" Type="http://schemas.openxmlformats.org/officeDocument/2006/relationships/hyperlink" Target="https://github.com/getgrav/grav/blob/develop/composer.json" TargetMode="External"/><Relationship Id="rId863" Type="http://schemas.openxmlformats.org/officeDocument/2006/relationships/hyperlink" Target="https://payloadcms.com/docs/getting-started/what-is-payload" TargetMode="External"/><Relationship Id="rId864" Type="http://schemas.openxmlformats.org/officeDocument/2006/relationships/hyperlink" Target="https://github.com/tallcms/tallcms/blob/main/docs/dev-themes.md" TargetMode="External"/><Relationship Id="rId865" Type="http://schemas.openxmlformats.org/officeDocument/2006/relationships/hyperlink" Target="https://larazeus.com/docs/sky/v5/introduction" TargetMode="External"/><Relationship Id="rId866" Type="http://schemas.openxmlformats.org/officeDocument/2006/relationships/hyperlink" Target="https://developer.wordpress.org/themes/basics/template-hierarchy/" TargetMode="External"/><Relationship Id="rId867" Type="http://schemas.openxmlformats.org/officeDocument/2006/relationships/hyperlink" Target="https://www.drupal.org/docs/develop/theming-drupal/twig-in-drupal/working-with-twig-templates" TargetMode="External"/><Relationship Id="rId868" Type="http://schemas.openxmlformats.org/officeDocument/2006/relationships/hyperlink" Target="https://craftcms.com/docs/5.x/system/sites.html" TargetMode="External"/><Relationship Id="rId869" Type="http://schemas.openxmlformats.org/officeDocument/2006/relationships/hyperlink" Target="https://getkirby.com/docs/guide/templates/content-representations" TargetMode="External"/><Relationship Id="rId870" Type="http://schemas.openxmlformats.org/officeDocument/2006/relationships/hyperlink" Target="https://statamic.dev/frontend/views" TargetMode="External"/><Relationship Id="rId871" Type="http://schemas.openxmlformats.org/officeDocument/2006/relationships/hyperlink" Target="https://docs.octobercms.com/4.x/cms/themes/child-themes.html" TargetMode="External"/><Relationship Id="rId872" Type="http://schemas.openxmlformats.org/officeDocument/2006/relationships/hyperlink" Target="https://learn.getgrav.org/20/content/headers" TargetMode="External"/><Relationship Id="rId873" Type="http://schemas.openxmlformats.org/officeDocument/2006/relationships/hyperlink" Target="https://github.com/tallcms/tallcms/blob/main/docs/dev-themes.md" TargetMode="External"/><Relationship Id="rId874" Type="http://schemas.openxmlformats.org/officeDocument/2006/relationships/hyperlink" Target="https://larazeus.com/docs/sky/v5/advanced/customization" TargetMode="External"/><Relationship Id="rId875" Type="http://schemas.openxmlformats.org/officeDocument/2006/relationships/hyperlink" Target="https://developer.wordpress.org/themes/templates/template-parts/" TargetMode="External"/><Relationship Id="rId876" Type="http://schemas.openxmlformats.org/officeDocument/2006/relationships/hyperlink" Target="https://www.drupal.org/docs/develop/theming-drupal/twig-in-drupal" TargetMode="External"/><Relationship Id="rId877" Type="http://schemas.openxmlformats.org/officeDocument/2006/relationships/hyperlink" Target="https://craftcms.com/docs/5.x/reference/twig/tags.html" TargetMode="External"/><Relationship Id="rId878" Type="http://schemas.openxmlformats.org/officeDocument/2006/relationships/hyperlink" Target="https://getkirby.com/docs/guide/templates/snippets" TargetMode="External"/><Relationship Id="rId879" Type="http://schemas.openxmlformats.org/officeDocument/2006/relationships/hyperlink" Target="https://statamic.dev/frontend/views" TargetMode="External"/><Relationship Id="rId880" Type="http://schemas.openxmlformats.org/officeDocument/2006/relationships/hyperlink" Target="https://docs.octobercms.com/4.x/cms/themes/layouts.html" TargetMode="External"/><Relationship Id="rId881" Type="http://schemas.openxmlformats.org/officeDocument/2006/relationships/hyperlink" Target="https://github.com/getgrav/grav/blob/develop/CHANGELOG.md" TargetMode="External"/><Relationship Id="rId882" Type="http://schemas.openxmlformats.org/officeDocument/2006/relationships/hyperlink" Target="https://github.com/tallcms/tallcms/blob/main/docs/dev-themes.md" TargetMode="External"/><Relationship Id="rId883" Type="http://schemas.openxmlformats.org/officeDocument/2006/relationships/hyperlink" Target="https://larazeus.com/docs/sky/v5/advanced/customization" TargetMode="External"/><Relationship Id="rId884" Type="http://schemas.openxmlformats.org/officeDocument/2006/relationships/hyperlink" Target="https://developer.wordpress.org/themes/patterns/" TargetMode="External"/><Relationship Id="rId885" Type="http://schemas.openxmlformats.org/officeDocument/2006/relationships/hyperlink" Target="https://www.drupal.org/docs/develop/theming-drupal/using-single-directory-components" TargetMode="External"/><Relationship Id="rId886" Type="http://schemas.openxmlformats.org/officeDocument/2006/relationships/hyperlink" Target="https://craftcms.com/docs/5.x/reference/twig/tags.html" TargetMode="External"/><Relationship Id="rId887" Type="http://schemas.openxmlformats.org/officeDocument/2006/relationships/hyperlink" Target="https://getkirby.com/docs/guide/templates/snippets" TargetMode="External"/><Relationship Id="rId888" Type="http://schemas.openxmlformats.org/officeDocument/2006/relationships/hyperlink" Target="https://statamic.dev/frontend/antlers" TargetMode="External"/><Relationship Id="rId889" Type="http://schemas.openxmlformats.org/officeDocument/2006/relationships/hyperlink" Target="https://docs.octobercms.com/4.x/cms/themes/components.html" TargetMode="External"/><Relationship Id="rId890" Type="http://schemas.openxmlformats.org/officeDocument/2006/relationships/hyperlink" Target="https://github.com/getgrav/grav-plugin-shortcode-core" TargetMode="External"/><Relationship Id="rId891" Type="http://schemas.openxmlformats.org/officeDocument/2006/relationships/hyperlink" Target="https://payloadcms.com/docs/custom-components/overview" TargetMode="External"/><Relationship Id="rId892" Type="http://schemas.openxmlformats.org/officeDocument/2006/relationships/hyperlink" Target="https://github.com/tallcms/tallcms/blob/main/docs/ref-i18n.md" TargetMode="External"/><Relationship Id="rId893" Type="http://schemas.openxmlformats.org/officeDocument/2006/relationships/hyperlink" Target="https://github.com/lara-zeus/sky/blob/main/resources/views/components/nav-item.blade.php" TargetMode="External"/><Relationship Id="rId894" Type="http://schemas.openxmlformats.org/officeDocument/2006/relationships/hyperlink" Target="https://developer.wordpress.org/themes/templates/custom-templates/" TargetMode="External"/><Relationship Id="rId895" Type="http://schemas.openxmlformats.org/officeDocument/2006/relationships/hyperlink" Target="https://www.drupal.org/docs/core-modules-and-themes/core-modules/layout-builder-module" TargetMode="External"/><Relationship Id="rId896" Type="http://schemas.openxmlformats.org/officeDocument/2006/relationships/hyperlink" Target="https://craftcms.com/docs/5.x/reference/element-types/entries.html" TargetMode="External"/><Relationship Id="rId897" Type="http://schemas.openxmlformats.org/officeDocument/2006/relationships/hyperlink" Target="https://getkirby.com/docs/reference/api/pages" TargetMode="External"/><Relationship Id="rId898" Type="http://schemas.openxmlformats.org/officeDocument/2006/relationships/hyperlink" Target="https://statamic.dev/frontend/views" TargetMode="External"/><Relationship Id="rId899" Type="http://schemas.openxmlformats.org/officeDocument/2006/relationships/hyperlink" Target="https://docs.octobercms.com/4.x/cms/themes/pages.html" TargetMode="External"/><Relationship Id="rId900" Type="http://schemas.openxmlformats.org/officeDocument/2006/relationships/hyperlink" Target="https://learn.getgrav.org/20/content/headers" TargetMode="External"/><Relationship Id="rId901" Type="http://schemas.openxmlformats.org/officeDocument/2006/relationships/hyperlink" Target="https://github.com/tallcms/tallcms/blob/main/docs/site-templates.md" TargetMode="External"/><Relationship Id="rId902" Type="http://schemas.openxmlformats.org/officeDocument/2006/relationships/hyperlink" Target="https://github.com/lara-zeus/sky/blob/main/src/Filament/Resources/PageResource.php" TargetMode="External"/><Relationship Id="rId903" Type="http://schemas.openxmlformats.org/officeDocument/2006/relationships/hyperlink" Target="https://developer.wordpress.org/themes/basics/template-tags/" TargetMode="External"/><Relationship Id="rId904" Type="http://schemas.openxmlformats.org/officeDocument/2006/relationships/hyperlink" Target="https://www.drupal.org/docs/develop/theming-drupal/twig-in-drupal/functions-in-twig-templates" TargetMode="External"/><Relationship Id="rId905" Type="http://schemas.openxmlformats.org/officeDocument/2006/relationships/hyperlink" Target="https://craftcms.com/docs/5.x/reference/twig/global-variables.html" TargetMode="External"/><Relationship Id="rId906" Type="http://schemas.openxmlformats.org/officeDocument/2006/relationships/hyperlink" Target="https://getkirby.com/docs/reference/templates/helpers" TargetMode="External"/><Relationship Id="rId907" Type="http://schemas.openxmlformats.org/officeDocument/2006/relationships/hyperlink" Target="https://statamic.dev/modifiers/all-modifiers" TargetMode="External"/><Relationship Id="rId908" Type="http://schemas.openxmlformats.org/officeDocument/2006/relationships/hyperlink" Target="https://docs.octobercms.com/4.x/markup/property/this-page.html" TargetMode="External"/><Relationship Id="rId909" Type="http://schemas.openxmlformats.org/officeDocument/2006/relationships/hyperlink" Target="https://github.com/getgrav/grav/blob/develop/CHANGELOG.md" TargetMode="External"/><Relationship Id="rId910" Type="http://schemas.openxmlformats.org/officeDocument/2006/relationships/hyperlink" Target="https://payloadcms.com/docs/local-api/overview" TargetMode="External"/><Relationship Id="rId911" Type="http://schemas.openxmlformats.org/officeDocument/2006/relationships/hyperlink" Target="https://github.com/tallcms/tallcms/blob/main/docs/site-settings.md" TargetMode="External"/><Relationship Id="rId912" Type="http://schemas.openxmlformats.org/officeDocument/2006/relationships/hyperlink" Target="https://larazeus.com/docs/sky/v5/advanced/customization" TargetMode="External"/><Relationship Id="rId913" Type="http://schemas.openxmlformats.org/officeDocument/2006/relationships/hyperlink" Target="https://wordpress.org/documentation/article/site-editor/" TargetMode="External"/><Relationship Id="rId914" Type="http://schemas.openxmlformats.org/officeDocument/2006/relationships/hyperlink" Target="https://project.pages.drupalcode.org/canvas/code-components/" TargetMode="External"/><Relationship Id="rId915" Type="http://schemas.openxmlformats.org/officeDocument/2006/relationships/hyperlink" Target="https://docs.octobercms.com/4.x/cms/themes/themes.html" TargetMode="External"/><Relationship Id="rId916" Type="http://schemas.openxmlformats.org/officeDocument/2006/relationships/hyperlink" Target="https://github.com/tallcms/tallcms/blob/main/docs/site-templates.md" TargetMode="External"/><Relationship Id="rId917" Type="http://schemas.openxmlformats.org/officeDocument/2006/relationships/hyperlink" Target="https://developer.wordpress.org/themes/" TargetMode="External"/><Relationship Id="rId918" Type="http://schemas.openxmlformats.org/officeDocument/2006/relationships/hyperlink" Target="https://www.drupal.org/docs/develop/theming-drupal" TargetMode="External"/><Relationship Id="rId919" Type="http://schemas.openxmlformats.org/officeDocument/2006/relationships/hyperlink" Target="https://getkirby.com/themes" TargetMode="External"/><Relationship Id="rId920" Type="http://schemas.openxmlformats.org/officeDocument/2006/relationships/hyperlink" Target="https://docs.octobercms.com/4.x/cms/themes/themes.html" TargetMode="External"/><Relationship Id="rId921" Type="http://schemas.openxmlformats.org/officeDocument/2006/relationships/hyperlink" Target="https://github.com/getgrav/grav-theme-quark2" TargetMode="External"/><Relationship Id="rId922" Type="http://schemas.openxmlformats.org/officeDocument/2006/relationships/hyperlink" Target="https://github.com/tallcms/tallcms/blob/main/docs/dev-themes.md" TargetMode="External"/><Relationship Id="rId923" Type="http://schemas.openxmlformats.org/officeDocument/2006/relationships/hyperlink" Target="https://github.com/lara-zeus/sky/blob/main/src/SkyServiceProvider.php" TargetMode="External"/><Relationship Id="rId924" Type="http://schemas.openxmlformats.org/officeDocument/2006/relationships/hyperlink" Target="https://developer.wordpress.org/themes/advanced-topics/child-themes/" TargetMode="External"/><Relationship Id="rId925" Type="http://schemas.openxmlformats.org/officeDocument/2006/relationships/hyperlink" Target="https://www.drupal.org/docs/develop/theming-drupal/creating-sub-themes" TargetMode="External"/><Relationship Id="rId926" Type="http://schemas.openxmlformats.org/officeDocument/2006/relationships/hyperlink" Target="https://getkirby.com/docs/guide/plugins/plugin-basics" TargetMode="External"/><Relationship Id="rId927" Type="http://schemas.openxmlformats.org/officeDocument/2006/relationships/hyperlink" Target="https://docs.octobercms.com/4.x/cms/themes/child-themes.html" TargetMode="External"/><Relationship Id="rId928" Type="http://schemas.openxmlformats.org/officeDocument/2006/relationships/hyperlink" Target="https://learn.getgrav.org/17/basics/grav-configuration" TargetMode="External"/><Relationship Id="rId929" Type="http://schemas.openxmlformats.org/officeDocument/2006/relationships/hyperlink" Target="https://github.com/tallcms/tallcms/blob/main/docs/dev-themes.md" TargetMode="External"/><Relationship Id="rId930" Type="http://schemas.openxmlformats.org/officeDocument/2006/relationships/hyperlink" Target="https://larazeus.com/docs/sky/v5/advanced/customization" TargetMode="External"/><Relationship Id="rId931" Type="http://schemas.openxmlformats.org/officeDocument/2006/relationships/hyperlink" Target="https://wordpress.org/themes/" TargetMode="External"/><Relationship Id="rId932" Type="http://schemas.openxmlformats.org/officeDocument/2006/relationships/hyperlink" Target="https://www.acquia.com/blog/pick-your-starting-point-complete-guide-drupal-site-templates-marketplace" TargetMode="External"/><Relationship Id="rId933" Type="http://schemas.openxmlformats.org/officeDocument/2006/relationships/hyperlink" Target="https://plugins.craftcms.com/" TargetMode="External"/><Relationship Id="rId934" Type="http://schemas.openxmlformats.org/officeDocument/2006/relationships/hyperlink" Target="https://getkirby.com/themes" TargetMode="External"/><Relationship Id="rId935" Type="http://schemas.openxmlformats.org/officeDocument/2006/relationships/hyperlink" Target="https://statamic.com/starter-kits" TargetMode="External"/><Relationship Id="rId936" Type="http://schemas.openxmlformats.org/officeDocument/2006/relationships/hyperlink" Target="https://octobercms.com/themes" TargetMode="External"/><Relationship Id="rId937" Type="http://schemas.openxmlformats.org/officeDocument/2006/relationships/hyperlink" Target="https://www.getgrav.org/downloads/plugins" TargetMode="External"/><Relationship Id="rId938" Type="http://schemas.openxmlformats.org/officeDocument/2006/relationships/hyperlink" Target="https://github.com/tallcms/tallcms/blob/main/docs/ref-plugin-licensing.md" TargetMode="External"/><Relationship Id="rId939" Type="http://schemas.openxmlformats.org/officeDocument/2006/relationships/hyperlink" Target="https://github.com/lara-zeus/artemis" TargetMode="External"/><Relationship Id="rId940" Type="http://schemas.openxmlformats.org/officeDocument/2006/relationships/hyperlink" Target="https://developer.wordpress.org/playground/blueprints/tutorial/what-are-blueprints/" TargetMode="External"/><Relationship Id="rId941" Type="http://schemas.openxmlformats.org/officeDocument/2006/relationships/hyperlink" Target="https://www.thedroptimes.com/66243/drupal-cms-20-introduces-canvas-and-site-templates-in-shift-proof-concept" TargetMode="External"/><Relationship Id="rId942" Type="http://schemas.openxmlformats.org/officeDocument/2006/relationships/hyperlink" Target="https://github.com/craftcms/craft" TargetMode="External"/><Relationship Id="rId943" Type="http://schemas.openxmlformats.org/officeDocument/2006/relationships/hyperlink" Target="https://getkirby.com/docs/guide/quickstart" TargetMode="External"/><Relationship Id="rId944" Type="http://schemas.openxmlformats.org/officeDocument/2006/relationships/hyperlink" Target="https://statamic.dev/starter-kits/overview" TargetMode="External"/><Relationship Id="rId945" Type="http://schemas.openxmlformats.org/officeDocument/2006/relationships/hyperlink" Target="https://docs.octobercms.com/4.x/cms/themes/seeding-themes.html" TargetMode="External"/><Relationship Id="rId946" Type="http://schemas.openxmlformats.org/officeDocument/2006/relationships/hyperlink" Target="https://github.com/getgrav/grav-skeleton-blog-site" TargetMode="External"/><Relationship Id="rId947" Type="http://schemas.openxmlformats.org/officeDocument/2006/relationships/hyperlink" Target="https://github.com/payloadcms/payload/tree/main/templates" TargetMode="External"/><Relationship Id="rId948" Type="http://schemas.openxmlformats.org/officeDocument/2006/relationships/hyperlink" Target="https://github.com/tallcms/tallcms/tree/main/packages/tallcms/cms/src/Console/Commands" TargetMode="External"/><Relationship Id="rId949" Type="http://schemas.openxmlformats.org/officeDocument/2006/relationships/hyperlink" Target="https://larazeus.com/docs/sky/v5/getting-started/installation" TargetMode="External"/><Relationship Id="rId950" Type="http://schemas.openxmlformats.org/officeDocument/2006/relationships/hyperlink" Target="https://developer.wordpress.org/rest-api/" TargetMode="External"/><Relationship Id="rId951" Type="http://schemas.openxmlformats.org/officeDocument/2006/relationships/hyperlink" Target="https://www.drupal.org/docs/core-modules-and-themes/core-modules/jsonapi-module" TargetMode="External"/><Relationship Id="rId952" Type="http://schemas.openxmlformats.org/officeDocument/2006/relationships/hyperlink" Target="https://craftcms.com/docs/5.x/reference/config/general.html" TargetMode="External"/><Relationship Id="rId953" Type="http://schemas.openxmlformats.org/officeDocument/2006/relationships/hyperlink" Target="https://github.com/getkirby/kirby/releases/tag/5.2.0" TargetMode="External"/><Relationship Id="rId954" Type="http://schemas.openxmlformats.org/officeDocument/2006/relationships/hyperlink" Target="https://statamic.dev/getting-started/licensing" TargetMode="External"/><Relationship Id="rId955" Type="http://schemas.openxmlformats.org/officeDocument/2006/relationships/hyperlink" Target="https://docs.octobercms.com/4.x/cms/resources/building-apis.html" TargetMode="External"/><Relationship Id="rId956" Type="http://schemas.openxmlformats.org/officeDocument/2006/relationships/hyperlink" Target="https://github.com/getgrav/grav-plugin-api" TargetMode="External"/><Relationship Id="rId957" Type="http://schemas.openxmlformats.org/officeDocument/2006/relationships/hyperlink" Target="https://payloadcms.com/docs/getting-started/what-is-payload" TargetMode="External"/><Relationship Id="rId958" Type="http://schemas.openxmlformats.org/officeDocument/2006/relationships/hyperlink" Target="https://github.com/tallcms/tallcms/blob/main/docs/dev-api.md" TargetMode="External"/><Relationship Id="rId959" Type="http://schemas.openxmlformats.org/officeDocument/2006/relationships/hyperlink" Target="https://github.com/lara-zeus/sky/blob/main/config/zeus-sky.php" TargetMode="External"/><Relationship Id="rId960" Type="http://schemas.openxmlformats.org/officeDocument/2006/relationships/hyperlink" Target="https://wordpress.org/plugins/simply-static/" TargetMode="External"/><Relationship Id="rId961" Type="http://schemas.openxmlformats.org/officeDocument/2006/relationships/hyperlink" Target="https://www.drupal.org/project/tome" TargetMode="External"/><Relationship Id="rId962" Type="http://schemas.openxmlformats.org/officeDocument/2006/relationships/hyperlink" Target="https://plugins.craftcms.com/blitz" TargetMode="External"/><Relationship Id="rId963" Type="http://schemas.openxmlformats.org/officeDocument/2006/relationships/hyperlink" Target="https://plugins.getkirby.com/jonathan-reisdorf/static-site-generator" TargetMode="External"/><Relationship Id="rId964" Type="http://schemas.openxmlformats.org/officeDocument/2006/relationships/hyperlink" Target="https://github.com/statamic/ssg" TargetMode="External"/><Relationship Id="rId965" Type="http://schemas.openxmlformats.org/officeDocument/2006/relationships/hyperlink" Target="https://octobercms.com/plugins?search=static" TargetMode="External"/><Relationship Id="rId966" Type="http://schemas.openxmlformats.org/officeDocument/2006/relationships/hyperlink" Target="https://github.com/OleVik/grav-plugin-static-generator" TargetMode="External"/><Relationship Id="rId967" Type="http://schemas.openxmlformats.org/officeDocument/2006/relationships/hyperlink" Target="https://developer.wordpress.org/block-editor/reference-guides/packages/packages-scripts/" TargetMode="External"/><Relationship Id="rId968" Type="http://schemas.openxmlformats.org/officeDocument/2006/relationships/hyperlink" Target="https://www.drupal.org/blog/drupal-11-4-0" TargetMode="External"/><Relationship Id="rId969" Type="http://schemas.openxmlformats.org/officeDocument/2006/relationships/hyperlink" Target="https://plugins.craftcms.com/vite" TargetMode="External"/><Relationship Id="rId970" Type="http://schemas.openxmlformats.org/officeDocument/2006/relationships/hyperlink" Target="https://plugins.getkirby.com/topics/assets" TargetMode="External"/><Relationship Id="rId971" Type="http://schemas.openxmlformats.org/officeDocument/2006/relationships/hyperlink" Target="https://statamic.dev/addons/vite-tooling" TargetMode="External"/><Relationship Id="rId972" Type="http://schemas.openxmlformats.org/officeDocument/2006/relationships/hyperlink" Target="https://docs.octobercms.com/4.x/markup/filter/theme.html" TargetMode="External"/><Relationship Id="rId973" Type="http://schemas.openxmlformats.org/officeDocument/2006/relationships/hyperlink" Target="https://learn.getgrav.org/17/basics/grav-configuration" TargetMode="External"/><Relationship Id="rId974" Type="http://schemas.openxmlformats.org/officeDocument/2006/relationships/hyperlink" Target="https://payloadcms.com/docs/performance/overview" TargetMode="External"/><Relationship Id="rId975" Type="http://schemas.openxmlformats.org/officeDocument/2006/relationships/hyperlink" Target="https://github.com/tallcms/tallcms/blob/main/docs/dev-themes.md" TargetMode="External"/><Relationship Id="rId976" Type="http://schemas.openxmlformats.org/officeDocument/2006/relationships/hyperlink" Target="https://larazeus.com/docs/sky/v5/getting-started/assets" TargetMode="External"/><Relationship Id="rId977" Type="http://schemas.openxmlformats.org/officeDocument/2006/relationships/hyperlink" Target="https://jetpack.com/support/seo-tools/" TargetMode="External"/><Relationship Id="rId978" Type="http://schemas.openxmlformats.org/officeDocument/2006/relationships/hyperlink" Target="https://www.drupal.org/project/metatag" TargetMode="External"/><Relationship Id="rId979" Type="http://schemas.openxmlformats.org/officeDocument/2006/relationships/hyperlink" Target="https://plugins.craftcms.com/seomatic" TargetMode="External"/><Relationship Id="rId980" Type="http://schemas.openxmlformats.org/officeDocument/2006/relationships/hyperlink" Target="https://getkirby.com/docs/guide/blueprints/extending-blueprints" TargetMode="External"/><Relationship Id="rId981" Type="http://schemas.openxmlformats.org/officeDocument/2006/relationships/hyperlink" Target="https://statamic.com/addons/statamic/seo-pro" TargetMode="External"/><Relationship Id="rId982" Type="http://schemas.openxmlformats.org/officeDocument/2006/relationships/hyperlink" Target="https://docs.octobercms.com/4.x/cms/themes/pages.html" TargetMode="External"/><Relationship Id="rId983" Type="http://schemas.openxmlformats.org/officeDocument/2006/relationships/hyperlink" Target="https://learn.getgrav.org/20/content/headers" TargetMode="External"/><Relationship Id="rId984" Type="http://schemas.openxmlformats.org/officeDocument/2006/relationships/hyperlink" Target="https://payloadcms.com/docs/plugins/seo" TargetMode="External"/><Relationship Id="rId985" Type="http://schemas.openxmlformats.org/officeDocument/2006/relationships/hyperlink" Target="https://github.com/tallcms/tallcms/blob/main/docs/site-seo.md" TargetMode="External"/><Relationship Id="rId986" Type="http://schemas.openxmlformats.org/officeDocument/2006/relationships/hyperlink" Target="https://github.com/lara-zeus/sky/blob/main/src/Filament/Resources/PostResource.php" TargetMode="External"/><Relationship Id="rId987" Type="http://schemas.openxmlformats.org/officeDocument/2006/relationships/hyperlink" Target="https://jetpack.com/support/seo-tools/" TargetMode="External"/><Relationship Id="rId988" Type="http://schemas.openxmlformats.org/officeDocument/2006/relationships/hyperlink" Target="https://www.drupal.org/project/metatag" TargetMode="External"/><Relationship Id="rId989" Type="http://schemas.openxmlformats.org/officeDocument/2006/relationships/hyperlink" Target="https://plugins.craftcms.com/seomatic" TargetMode="External"/><Relationship Id="rId990" Type="http://schemas.openxmlformats.org/officeDocument/2006/relationships/hyperlink" Target="https://plugins.getkirby.com/topics/seo" TargetMode="External"/><Relationship Id="rId991" Type="http://schemas.openxmlformats.org/officeDocument/2006/relationships/hyperlink" Target="https://statamic.com/addons/statamic/seo-pro" TargetMode="External"/><Relationship Id="rId992" Type="http://schemas.openxmlformats.org/officeDocument/2006/relationships/hyperlink" Target="https://github.com/octobercms/october/blob/develop/modules/cms/classes/Page.php" TargetMode="External"/><Relationship Id="rId993" Type="http://schemas.openxmlformats.org/officeDocument/2006/relationships/hyperlink" Target="https://learn.getgrav.org/20/content/headers" TargetMode="External"/><Relationship Id="rId994" Type="http://schemas.openxmlformats.org/officeDocument/2006/relationships/hyperlink" Target="https://payloadcms.com/docs/plugins/seo" TargetMode="External"/><Relationship Id="rId995" Type="http://schemas.openxmlformats.org/officeDocument/2006/relationships/hyperlink" Target="https://github.com/tallcms/tallcms/blob/main/docs/site-seo.md" TargetMode="External"/><Relationship Id="rId996" Type="http://schemas.openxmlformats.org/officeDocument/2006/relationships/hyperlink" Target="https://github.com/lara-zeus/sky/blob/main/src/Livewire/Post.php" TargetMode="External"/><Relationship Id="rId997" Type="http://schemas.openxmlformats.org/officeDocument/2006/relationships/hyperlink" Target="https://make.wordpress.org/core/2020/07/22/new-xml-sitemaps-functionality-in-wordpress-5-5/" TargetMode="External"/><Relationship Id="rId998" Type="http://schemas.openxmlformats.org/officeDocument/2006/relationships/hyperlink" Target="https://www.drupal.org/project/simple_sitemap" TargetMode="External"/><Relationship Id="rId999" Type="http://schemas.openxmlformats.org/officeDocument/2006/relationships/hyperlink" Target="https://plugins.craftcms.com/seomatic" TargetMode="External"/><Relationship Id="rId1000" Type="http://schemas.openxmlformats.org/officeDocument/2006/relationships/hyperlink" Target="https://plugins.getkirby.com/topics/seo" TargetMode="External"/><Relationship Id="rId1001" Type="http://schemas.openxmlformats.org/officeDocument/2006/relationships/hyperlink" Target="https://statamic.com/addons/statamic/seo-pro" TargetMode="External"/><Relationship Id="rId1002" Type="http://schemas.openxmlformats.org/officeDocument/2006/relationships/hyperlink" Target="https://octobercms.com/plugin/rainlab-sitemap" TargetMode="External"/><Relationship Id="rId1003" Type="http://schemas.openxmlformats.org/officeDocument/2006/relationships/hyperlink" Target="https://github.com/getgrav/grav-plugin-sitemap" TargetMode="External"/><Relationship Id="rId1004" Type="http://schemas.openxmlformats.org/officeDocument/2006/relationships/hyperlink" Target="https://github.com/payloadcms/payload/tree/main/templates/website" TargetMode="External"/><Relationship Id="rId1005" Type="http://schemas.openxmlformats.org/officeDocument/2006/relationships/hyperlink" Target="https://github.com/tallcms/tallcms/blob/main/docs/site-seo.md" TargetMode="External"/><Relationship Id="rId1006" Type="http://schemas.openxmlformats.org/officeDocument/2006/relationships/hyperlink" Target="https://wordpress.org/plugins/wordpress-seo/" TargetMode="External"/><Relationship Id="rId1007" Type="http://schemas.openxmlformats.org/officeDocument/2006/relationships/hyperlink" Target="https://www.drupal.org/project/schema_metatag" TargetMode="External"/><Relationship Id="rId1008" Type="http://schemas.openxmlformats.org/officeDocument/2006/relationships/hyperlink" Target="https://plugins.craftcms.com/seomatic" TargetMode="External"/><Relationship Id="rId1009" Type="http://schemas.openxmlformats.org/officeDocument/2006/relationships/hyperlink" Target="https://plugins.getkirby.com/topics/seo" TargetMode="External"/><Relationship Id="rId1010" Type="http://schemas.openxmlformats.org/officeDocument/2006/relationships/hyperlink" Target="https://statamic.com/addons/statamic/seo-pro" TargetMode="External"/><Relationship Id="rId1011" Type="http://schemas.openxmlformats.org/officeDocument/2006/relationships/hyperlink" Target="https://octobercms.com/plugins?search=seo" TargetMode="External"/><Relationship Id="rId1012" Type="http://schemas.openxmlformats.org/officeDocument/2006/relationships/hyperlink" Target="https://github.com/tranduyhung/grav-plugin-schema" TargetMode="External"/><Relationship Id="rId1013" Type="http://schemas.openxmlformats.org/officeDocument/2006/relationships/hyperlink" Target="https://payloadcms.com/docs/plugins/seo" TargetMode="External"/><Relationship Id="rId1014" Type="http://schemas.openxmlformats.org/officeDocument/2006/relationships/hyperlink" Target="https://github.com/tallcms/tallcms/blob/main/docs/site-seo.md" TargetMode="External"/><Relationship Id="rId1015" Type="http://schemas.openxmlformats.org/officeDocument/2006/relationships/hyperlink" Target="https://developer.wordpress.org/reference/functions/wp_robots/" TargetMode="External"/><Relationship Id="rId1016" Type="http://schemas.openxmlformats.org/officeDocument/2006/relationships/hyperlink" Target="https://www.drupal.org/project/robotstxt" TargetMode="External"/><Relationship Id="rId1017" Type="http://schemas.openxmlformats.org/officeDocument/2006/relationships/hyperlink" Target="https://plugins.craftcms.com/seomatic" TargetMode="External"/><Relationship Id="rId1018" Type="http://schemas.openxmlformats.org/officeDocument/2006/relationships/hyperlink" Target="https://plugins.getkirby.com/topics/seo" TargetMode="External"/><Relationship Id="rId1019" Type="http://schemas.openxmlformats.org/officeDocument/2006/relationships/hyperlink" Target="https://statamic.com/addons/statamic/seo-pro" TargetMode="External"/><Relationship Id="rId1020" Type="http://schemas.openxmlformats.org/officeDocument/2006/relationships/hyperlink" Target="https://github.com/octobercms/october/blob/develop/modules/cms/classes/page/Fields.php" TargetMode="External"/><Relationship Id="rId1021" Type="http://schemas.openxmlformats.org/officeDocument/2006/relationships/hyperlink" Target="https://learn.getgrav.org/20/content/headers" TargetMode="External"/><Relationship Id="rId1022" Type="http://schemas.openxmlformats.org/officeDocument/2006/relationships/hyperlink" Target="https://github.com/tallcms/tallcms/blob/main/docs/site-seo.md" TargetMode="External"/><Relationship Id="rId1023" Type="http://schemas.openxmlformats.org/officeDocument/2006/relationships/hyperlink" Target="https://wordpress.org/plugins/wordpress-seo/" TargetMode="External"/><Relationship Id="rId1024" Type="http://schemas.openxmlformats.org/officeDocument/2006/relationships/hyperlink" Target="https://project.pages.drupalcode.org/drupal_cms/promote/install/" TargetMode="External"/><Relationship Id="rId1025" Type="http://schemas.openxmlformats.org/officeDocument/2006/relationships/hyperlink" Target="https://github.com/nystudio107/seomatic/wiki/06.-SEOmetrics-Content-Analysis" TargetMode="External"/><Relationship Id="rId1026" Type="http://schemas.openxmlformats.org/officeDocument/2006/relationships/hyperlink" Target="https://plugins.getkirby.com/topics/seo" TargetMode="External"/><Relationship Id="rId1027" Type="http://schemas.openxmlformats.org/officeDocument/2006/relationships/hyperlink" Target="https://statamic.com/addons/statamic/seo-pro" TargetMode="External"/><Relationship Id="rId1028" Type="http://schemas.openxmlformats.org/officeDocument/2006/relationships/hyperlink" Target="https://octobercms.com/plugins?search=seo" TargetMode="External"/><Relationship Id="rId1029" Type="http://schemas.openxmlformats.org/officeDocument/2006/relationships/hyperlink" Target="https://learn.getgrav.org/20/grav-premium/seo-magic" TargetMode="External"/><Relationship Id="rId1030" Type="http://schemas.openxmlformats.org/officeDocument/2006/relationships/hyperlink" Target="https://payloadcms.com/docs/plugins/seo" TargetMode="External"/><Relationship Id="rId1031" Type="http://schemas.openxmlformats.org/officeDocument/2006/relationships/hyperlink" Target="https://github.com/tallcms/tallcms/tree/main/packages/tallcms/cms/src/Filament/Widgets/ContentHealthWidget.php" TargetMode="External"/><Relationship Id="rId1032" Type="http://schemas.openxmlformats.org/officeDocument/2006/relationships/hyperlink" Target="https://polylang.pro/" TargetMode="External"/><Relationship Id="rId1033" Type="http://schemas.openxmlformats.org/officeDocument/2006/relationships/hyperlink" Target="https://www.drupal.org/project/hreflang" TargetMode="External"/><Relationship Id="rId1034" Type="http://schemas.openxmlformats.org/officeDocument/2006/relationships/hyperlink" Target="https://plugins.craftcms.com/seomatic" TargetMode="External"/><Relationship Id="rId1035" Type="http://schemas.openxmlformats.org/officeDocument/2006/relationships/hyperlink" Target="https://plugins.getkirby.com/topics/seo" TargetMode="External"/><Relationship Id="rId1036" Type="http://schemas.openxmlformats.org/officeDocument/2006/relationships/hyperlink" Target="https://statamic.com/addons/aerni/advanced-seo" TargetMode="External"/><Relationship Id="rId1037" Type="http://schemas.openxmlformats.org/officeDocument/2006/relationships/hyperlink" Target="https://docs.octobercms.com/4.x/cms/components/sitepicker.html" TargetMode="External"/><Relationship Id="rId1038" Type="http://schemas.openxmlformats.org/officeDocument/2006/relationships/hyperlink" Target="https://github.com/getgrav/grav-plugin-sitemap" TargetMode="External"/><Relationship Id="rId1039" Type="http://schemas.openxmlformats.org/officeDocument/2006/relationships/hyperlink" Target="https://github.com/tallcms/tallcms/blob/main/docs/ref-i18n.md" TargetMode="External"/><Relationship Id="rId1040" Type="http://schemas.openxmlformats.org/officeDocument/2006/relationships/hyperlink" Target="https://developer.wordpress.org/rest-api/" TargetMode="External"/><Relationship Id="rId1041" Type="http://schemas.openxmlformats.org/officeDocument/2006/relationships/hyperlink" Target="https://www.drupal.org/docs/core-modules-and-themes/core-modules/jsonapi-module" TargetMode="External"/><Relationship Id="rId1042" Type="http://schemas.openxmlformats.org/officeDocument/2006/relationships/hyperlink" Target="https://plugins.craftcms.com/element-api" TargetMode="External"/><Relationship Id="rId1043" Type="http://schemas.openxmlformats.org/officeDocument/2006/relationships/hyperlink" Target="https://getkirby.com/docs/guide/api/introduction" TargetMode="External"/><Relationship Id="rId1044" Type="http://schemas.openxmlformats.org/officeDocument/2006/relationships/hyperlink" Target="https://statamic.dev/frontend/rest-api" TargetMode="External"/><Relationship Id="rId1045" Type="http://schemas.openxmlformats.org/officeDocument/2006/relationships/hyperlink" Target="https://docs.octobercms.com/4.x/cms/resources/building-apis.html" TargetMode="External"/><Relationship Id="rId1046" Type="http://schemas.openxmlformats.org/officeDocument/2006/relationships/hyperlink" Target="https://github.com/getgrav/grav-plugin-api" TargetMode="External"/><Relationship Id="rId1047" Type="http://schemas.openxmlformats.org/officeDocument/2006/relationships/hyperlink" Target="https://payloadcms.com/docs/rest-api/overview" TargetMode="External"/><Relationship Id="rId1048" Type="http://schemas.openxmlformats.org/officeDocument/2006/relationships/hyperlink" Target="https://github.com/tallcms/tallcms/blob/main/docs/dev-api.md" TargetMode="External"/><Relationship Id="rId1049" Type="http://schemas.openxmlformats.org/officeDocument/2006/relationships/hyperlink" Target="https://larazeus.com/docs/sky/v5/introduction" TargetMode="External"/><Relationship Id="rId1050" Type="http://schemas.openxmlformats.org/officeDocument/2006/relationships/hyperlink" Target="https://wordpress.org/plugins/wp-graphql/" TargetMode="External"/><Relationship Id="rId1051" Type="http://schemas.openxmlformats.org/officeDocument/2006/relationships/hyperlink" Target="https://www.drupal.org/project/graphql" TargetMode="External"/><Relationship Id="rId1052" Type="http://schemas.openxmlformats.org/officeDocument/2006/relationships/hyperlink" Target="https://craftcms.com/docs/5.x/development/graphql.html" TargetMode="External"/><Relationship Id="rId1053" Type="http://schemas.openxmlformats.org/officeDocument/2006/relationships/hyperlink" Target="https://github.com/getkirby/kql" TargetMode="External"/><Relationship Id="rId1054" Type="http://schemas.openxmlformats.org/officeDocument/2006/relationships/hyperlink" Target="https://statamic.dev/frontend/graphql" TargetMode="External"/><Relationship Id="rId1055" Type="http://schemas.openxmlformats.org/officeDocument/2006/relationships/hyperlink" Target="https://octobercms.com/plugins?search=graphql" TargetMode="External"/><Relationship Id="rId1056" Type="http://schemas.openxmlformats.org/officeDocument/2006/relationships/hyperlink" Target="https://payloadcms.com/docs/graphql/overview" TargetMode="External"/><Relationship Id="rId1057" Type="http://schemas.openxmlformats.org/officeDocument/2006/relationships/hyperlink" Target="https://developer.wordpress.org/rest-api/reference/" TargetMode="External"/><Relationship Id="rId1058" Type="http://schemas.openxmlformats.org/officeDocument/2006/relationships/hyperlink" Target="https://www.drupal.org/docs/core-modules-and-themes/core-modules/jsonapi-module" TargetMode="External"/><Relationship Id="rId1059" Type="http://schemas.openxmlformats.org/officeDocument/2006/relationships/hyperlink" Target="https://craftcms.com/docs/5.x/development/graphql.html" TargetMode="External"/><Relationship Id="rId1060" Type="http://schemas.openxmlformats.org/officeDocument/2006/relationships/hyperlink" Target="https://getkirby.com/docs/reference/api/pages" TargetMode="External"/><Relationship Id="rId1061" Type="http://schemas.openxmlformats.org/officeDocument/2006/relationships/hyperlink" Target="https://statamic.dev/frontend/rest-api" TargetMode="External"/><Relationship Id="rId1062" Type="http://schemas.openxmlformats.org/officeDocument/2006/relationships/hyperlink" Target="https://docs.octobercms.com/4.x/cms/tailor/models.html" TargetMode="External"/><Relationship Id="rId1063" Type="http://schemas.openxmlformats.org/officeDocument/2006/relationships/hyperlink" Target="https://github.com/getgrav/grav-plugin-api" TargetMode="External"/><Relationship Id="rId1064" Type="http://schemas.openxmlformats.org/officeDocument/2006/relationships/hyperlink" Target="https://payloadcms.com/docs/local-api/overview" TargetMode="External"/><Relationship Id="rId1065" Type="http://schemas.openxmlformats.org/officeDocument/2006/relationships/hyperlink" Target="https://github.com/tallcms/tallcms/blob/main/docs/ref-api-permissions.md" TargetMode="External"/><Relationship Id="rId1066" Type="http://schemas.openxmlformats.org/officeDocument/2006/relationships/hyperlink" Target="https://developer.wordpress.org/rest-api/using-the-rest-api/authentication/" TargetMode="External"/><Relationship Id="rId1067" Type="http://schemas.openxmlformats.org/officeDocument/2006/relationships/hyperlink" Target="https://www.drupal.org/project/simple_oauth" TargetMode="External"/><Relationship Id="rId1068" Type="http://schemas.openxmlformats.org/officeDocument/2006/relationships/hyperlink" Target="https://craftcms.com/docs/5.x/development/graphql.html" TargetMode="External"/><Relationship Id="rId1069" Type="http://schemas.openxmlformats.org/officeDocument/2006/relationships/hyperlink" Target="https://getkirby.com/docs/guide/api/introduction" TargetMode="External"/><Relationship Id="rId1070" Type="http://schemas.openxmlformats.org/officeDocument/2006/relationships/hyperlink" Target="https://statamic.dev/frontend/rest-api" TargetMode="External"/><Relationship Id="rId1071" Type="http://schemas.openxmlformats.org/officeDocument/2006/relationships/hyperlink" Target="https://docs.octobercms.com/4.x/extend/resources/using-laravel-packages.html" TargetMode="External"/><Relationship Id="rId1072" Type="http://schemas.openxmlformats.org/officeDocument/2006/relationships/hyperlink" Target="https://github.com/getgrav/grav-plugin-api" TargetMode="External"/><Relationship Id="rId1073" Type="http://schemas.openxmlformats.org/officeDocument/2006/relationships/hyperlink" Target="https://payloadcms.com/docs/authentication/overview" TargetMode="External"/><Relationship Id="rId1074" Type="http://schemas.openxmlformats.org/officeDocument/2006/relationships/hyperlink" Target="https://github.com/tallcms/tallcms/blob/main/docs/dev-api.md" TargetMode="External"/><Relationship Id="rId1075" Type="http://schemas.openxmlformats.org/officeDocument/2006/relationships/hyperlink" Target="https://developer.wordpress.org/rest-api/using-the-rest-api/pagination/" TargetMode="External"/><Relationship Id="rId1076" Type="http://schemas.openxmlformats.org/officeDocument/2006/relationships/hyperlink" Target="https://www.drupal.org/docs/core-modules-and-themes/core-modules/jsonapi-module" TargetMode="External"/><Relationship Id="rId1077" Type="http://schemas.openxmlformats.org/officeDocument/2006/relationships/hyperlink" Target="https://craftcms.com/docs/5.x/development/graphql.html" TargetMode="External"/><Relationship Id="rId1078" Type="http://schemas.openxmlformats.org/officeDocument/2006/relationships/hyperlink" Target="https://github.com/getkirby/kql" TargetMode="External"/><Relationship Id="rId1079" Type="http://schemas.openxmlformats.org/officeDocument/2006/relationships/hyperlink" Target="https://statamic.dev/frontend/rest-api" TargetMode="External"/><Relationship Id="rId1080" Type="http://schemas.openxmlformats.org/officeDocument/2006/relationships/hyperlink" Target="https://docs.octobercms.com/4.x/cms/resources/building-apis.html" TargetMode="External"/><Relationship Id="rId1081" Type="http://schemas.openxmlformats.org/officeDocument/2006/relationships/hyperlink" Target="https://github.com/getgrav/grav-plugin-api" TargetMode="External"/><Relationship Id="rId1082" Type="http://schemas.openxmlformats.org/officeDocument/2006/relationships/hyperlink" Target="https://payloadcms.com/docs/queries/overview" TargetMode="External"/><Relationship Id="rId1083" Type="http://schemas.openxmlformats.org/officeDocument/2006/relationships/hyperlink" Target="https://github.com/tallcms/tallcms/blob/main/docs/dev-api.md" TargetMode="External"/><Relationship Id="rId1084" Type="http://schemas.openxmlformats.org/officeDocument/2006/relationships/hyperlink" Target="https://developer.wordpress.org/block-editor/reference-guides/packages/packages-api-fetch/" TargetMode="External"/><Relationship Id="rId1085" Type="http://schemas.openxmlformats.org/officeDocument/2006/relationships/hyperlink" Target="https://project.pages.drupalcode.org/canvas/headless" TargetMode="External"/><Relationship Id="rId1086" Type="http://schemas.openxmlformats.org/officeDocument/2006/relationships/hyperlink" Target="https://github.com/getgrav/grav-mcp" TargetMode="External"/><Relationship Id="rId1087" Type="http://schemas.openxmlformats.org/officeDocument/2006/relationships/hyperlink" Target="https://payloadcms.com/docs/rest-api/overview" TargetMode="External"/><Relationship Id="rId1088" Type="http://schemas.openxmlformats.org/officeDocument/2006/relationships/hyperlink" Target="https://github.com/tallcms/tallcms/blob/main/docs/dev-api.md" TargetMode="External"/><Relationship Id="rId1089" Type="http://schemas.openxmlformats.org/officeDocument/2006/relationships/hyperlink" Target="https://wordpress.org/plugins/wp-webhooks/" TargetMode="External"/><Relationship Id="rId1090" Type="http://schemas.openxmlformats.org/officeDocument/2006/relationships/hyperlink" Target="https://www.drupal.org/project/eca" TargetMode="External"/><Relationship Id="rId1091" Type="http://schemas.openxmlformats.org/officeDocument/2006/relationships/hyperlink" Target="https://plugins.craftcms.com/webhooks" TargetMode="External"/><Relationship Id="rId1092" Type="http://schemas.openxmlformats.org/officeDocument/2006/relationships/hyperlink" Target="https://plugins.getkirby.com/topics/routing" TargetMode="External"/><Relationship Id="rId1093" Type="http://schemas.openxmlformats.org/officeDocument/2006/relationships/hyperlink" Target="https://statamic.com/addons/gydo-makkinga/hooker" TargetMode="External"/><Relationship Id="rId1094" Type="http://schemas.openxmlformats.org/officeDocument/2006/relationships/hyperlink" Target="https://github.com/getgrav/grav-plugin-api" TargetMode="External"/><Relationship Id="rId1095" Type="http://schemas.openxmlformats.org/officeDocument/2006/relationships/hyperlink" Target="https://payloadcms.com/docs/hooks/collections" TargetMode="External"/><Relationship Id="rId1096" Type="http://schemas.openxmlformats.org/officeDocument/2006/relationships/hyperlink" Target="https://github.com/tallcms/tallcms/blob/main/docs/dev-api.md" TargetMode="External"/><Relationship Id="rId1097" Type="http://schemas.openxmlformats.org/officeDocument/2006/relationships/hyperlink" Target="https://developer.wordpress.org/rest-api/reference/post-revisions/" TargetMode="External"/><Relationship Id="rId1098" Type="http://schemas.openxmlformats.org/officeDocument/2006/relationships/hyperlink" Target="https://project.pages.drupalcode.org/canvas/headless" TargetMode="External"/><Relationship Id="rId1099" Type="http://schemas.openxmlformats.org/officeDocument/2006/relationships/hyperlink" Target="https://github.com/craftcms/cms/blob/5.x/CHANGELOG.md" TargetMode="External"/><Relationship Id="rId1100" Type="http://schemas.openxmlformats.org/officeDocument/2006/relationships/hyperlink" Target="https://getkirby.com/docs/reference/objects/cms/page-blueprint/preview" TargetMode="External"/><Relationship Id="rId1101" Type="http://schemas.openxmlformats.org/officeDocument/2006/relationships/hyperlink" Target="https://statamic.dev/control-panel/live-preview" TargetMode="External"/><Relationship Id="rId1102" Type="http://schemas.openxmlformats.org/officeDocument/2006/relationships/hyperlink" Target="https://github.com/getgrav/grav-plugin-api" TargetMode="External"/><Relationship Id="rId1103" Type="http://schemas.openxmlformats.org/officeDocument/2006/relationships/hyperlink" Target="https://payloadcms.com/docs/versions/drafts" TargetMode="External"/><Relationship Id="rId1104" Type="http://schemas.openxmlformats.org/officeDocument/2006/relationships/hyperlink" Target="https://github.com/tallcms/tallcms/blob/main/docs/dev-api.md" TargetMode="External"/><Relationship Id="rId1105" Type="http://schemas.openxmlformats.org/officeDocument/2006/relationships/hyperlink" Target="https://wordpress.org/plugins/woocommerce/" TargetMode="External"/><Relationship Id="rId1106" Type="http://schemas.openxmlformats.org/officeDocument/2006/relationships/hyperlink" Target="https://wordpress.org/plugins/woocommerce/" TargetMode="External"/><Relationship Id="rId1107" Type="http://schemas.openxmlformats.org/officeDocument/2006/relationships/hyperlink" Target="https://www.drupal.org/project/commerce" TargetMode="External"/><Relationship Id="rId1108" Type="http://schemas.openxmlformats.org/officeDocument/2006/relationships/hyperlink" Target="https://craftcms.com/commerce" TargetMode="External"/><Relationship Id="rId1109" Type="http://schemas.openxmlformats.org/officeDocument/2006/relationships/hyperlink" Target="https://plugins.getkirby.com/topics/e-commerce" TargetMode="External"/><Relationship Id="rId1110" Type="http://schemas.openxmlformats.org/officeDocument/2006/relationships/hyperlink" Target="https://statamic.com/addons/duncanmcclean/cargo" TargetMode="External"/><Relationship Id="rId1111" Type="http://schemas.openxmlformats.org/officeDocument/2006/relationships/hyperlink" Target="https://octobercms.com/blog/post/ecommerce-for-october-cms-here" TargetMode="External"/><Relationship Id="rId1112" Type="http://schemas.openxmlformats.org/officeDocument/2006/relationships/hyperlink" Target="https://getgrav.org/blog/kahunacart-coming-soon" TargetMode="External"/><Relationship Id="rId1113" Type="http://schemas.openxmlformats.org/officeDocument/2006/relationships/hyperlink" Target="https://payloadcms.com/docs/ecommerce/overview" TargetMode="External"/><Relationship Id="rId1114" Type="http://schemas.openxmlformats.org/officeDocument/2006/relationships/hyperlink" Target="https://github.com/tallcms/tallcms/blob/main/docs/site-multisite.md" TargetMode="External"/><Relationship Id="rId1115" Type="http://schemas.openxmlformats.org/officeDocument/2006/relationships/hyperlink" Target="https://larazeus.com/" TargetMode="External"/><Relationship Id="rId1116" Type="http://schemas.openxmlformats.org/officeDocument/2006/relationships/hyperlink" Target="https://woocommerce.com/documentation/woocommerce/" TargetMode="External"/><Relationship Id="rId1117" Type="http://schemas.openxmlformats.org/officeDocument/2006/relationships/hyperlink" Target="https://www.drupal.org/project/commerce_stripe" TargetMode="External"/><Relationship Id="rId1118" Type="http://schemas.openxmlformats.org/officeDocument/2006/relationships/hyperlink" Target="https://craftcms.com/commerce" TargetMode="External"/><Relationship Id="rId1119" Type="http://schemas.openxmlformats.org/officeDocument/2006/relationships/hyperlink" Target="https://plugins.getkirby.com/topics/e-commerce" TargetMode="External"/><Relationship Id="rId1120" Type="http://schemas.openxmlformats.org/officeDocument/2006/relationships/hyperlink" Target="https://builtwithcargo.dev/" TargetMode="External"/><Relationship Id="rId1121" Type="http://schemas.openxmlformats.org/officeDocument/2006/relationships/hyperlink" Target="https://octobercms.com/plugin/responsiv-pay" TargetMode="External"/><Relationship Id="rId1122" Type="http://schemas.openxmlformats.org/officeDocument/2006/relationships/hyperlink" Target="https://getgrav.org/blog/kahunacart-coming-soon" TargetMode="External"/><Relationship Id="rId1123" Type="http://schemas.openxmlformats.org/officeDocument/2006/relationships/hyperlink" Target="https://payloadcms.com/docs/ecommerce/payments" TargetMode="External"/><Relationship Id="rId1124" Type="http://schemas.openxmlformats.org/officeDocument/2006/relationships/hyperlink" Target="https://github.com/tallcms/tallcms/blob/main/docs/dev-billing.md" TargetMode="External"/><Relationship Id="rId1125" Type="http://schemas.openxmlformats.org/officeDocument/2006/relationships/hyperlink" Target="https://woocommerce.com/products/woocommerce-subscriptions/" TargetMode="External"/><Relationship Id="rId1126" Type="http://schemas.openxmlformats.org/officeDocument/2006/relationships/hyperlink" Target="https://www.drupal.org/project/commerce_recurring" TargetMode="External"/><Relationship Id="rId1127" Type="http://schemas.openxmlformats.org/officeDocument/2006/relationships/hyperlink" Target="https://craftcms.com/docs/commerce/5.x/system/subscriptions.html" TargetMode="External"/><Relationship Id="rId1128" Type="http://schemas.openxmlformats.org/officeDocument/2006/relationships/hyperlink" Target="https://plugins.getkirby.com/topics/e-commerce" TargetMode="External"/><Relationship Id="rId1129" Type="http://schemas.openxmlformats.org/officeDocument/2006/relationships/hyperlink" Target="https://builtwithcargo.dev/" TargetMode="External"/><Relationship Id="rId1130" Type="http://schemas.openxmlformats.org/officeDocument/2006/relationships/hyperlink" Target="https://octobercms.com/plugin/meloncart-shop" TargetMode="External"/><Relationship Id="rId1131" Type="http://schemas.openxmlformats.org/officeDocument/2006/relationships/hyperlink" Target="https://getgrav.org/blog/kahunacart-coming-soon" TargetMode="External"/><Relationship Id="rId1132" Type="http://schemas.openxmlformats.org/officeDocument/2006/relationships/hyperlink" Target="https://payloadcms.com/docs/ecommerce/overview" TargetMode="External"/><Relationship Id="rId1133" Type="http://schemas.openxmlformats.org/officeDocument/2006/relationships/hyperlink" Target="https://github.com/tallcms/tallcms/blob/main/docs/dev-billing.md" TargetMode="External"/><Relationship Id="rId1134" Type="http://schemas.openxmlformats.org/officeDocument/2006/relationships/hyperlink" Target="https://woocommerce.com/document/setting-up-taxes-in-woocommerce/" TargetMode="External"/><Relationship Id="rId1135" Type="http://schemas.openxmlformats.org/officeDocument/2006/relationships/hyperlink" Target="https://www.drupal.org/project/commerce" TargetMode="External"/><Relationship Id="rId1136" Type="http://schemas.openxmlformats.org/officeDocument/2006/relationships/hyperlink" Target="https://craftcms.com/docs/commerce/5.x/system/taxes.html" TargetMode="External"/><Relationship Id="rId1137" Type="http://schemas.openxmlformats.org/officeDocument/2006/relationships/hyperlink" Target="https://plugins.getkirby.com/topics/e-commerce" TargetMode="External"/><Relationship Id="rId1138" Type="http://schemas.openxmlformats.org/officeDocument/2006/relationships/hyperlink" Target="https://builtwithcargo.dev/" TargetMode="External"/><Relationship Id="rId1139" Type="http://schemas.openxmlformats.org/officeDocument/2006/relationships/hyperlink" Target="https://octobercms.com/plugin/responsiv-pay" TargetMode="External"/><Relationship Id="rId1140" Type="http://schemas.openxmlformats.org/officeDocument/2006/relationships/hyperlink" Target="https://getgrav.org/blog/kahunacart-coming-soon" TargetMode="External"/><Relationship Id="rId1141" Type="http://schemas.openxmlformats.org/officeDocument/2006/relationships/hyperlink" Target="https://payloadcms.com/docs/ecommerce/overview" TargetMode="External"/><Relationship Id="rId1142" Type="http://schemas.openxmlformats.org/officeDocument/2006/relationships/hyperlink" Target="https://make.wordpress.org/core/handbook/best-practices/coding-standards/accessibility-coding-standards/" TargetMode="External"/><Relationship Id="rId1143" Type="http://schemas.openxmlformats.org/officeDocument/2006/relationships/hyperlink" Target="https://www.drupal.org/about/features/accessibility" TargetMode="External"/><Relationship Id="rId1144" Type="http://schemas.openxmlformats.org/officeDocument/2006/relationships/hyperlink" Target="https://craftcms.com/docs/5.x/system/control-panel.html" TargetMode="External"/><Relationship Id="rId1145" Type="http://schemas.openxmlformats.org/officeDocument/2006/relationships/hyperlink" Target="https://forum.getkirby.com/t/a11y-kirby-panel-wcag-2-1-compatible/30523" TargetMode="External"/><Relationship Id="rId1146" Type="http://schemas.openxmlformats.org/officeDocument/2006/relationships/hyperlink" Target="https://github.com/getgrav/grav-plugin-admin2/blob/develop/CHANGELOG.md" TargetMode="External"/><Relationship Id="rId1147" Type="http://schemas.openxmlformats.org/officeDocument/2006/relationships/hyperlink" Target="https://payloadcms.com/docs/admin/accessibility" TargetMode="External"/><Relationship Id="rId1148" Type="http://schemas.openxmlformats.org/officeDocument/2006/relationships/hyperlink" Target="https://wordpress.org/plugins/accessibility-checker/" TargetMode="External"/><Relationship Id="rId1149" Type="http://schemas.openxmlformats.org/officeDocument/2006/relationships/hyperlink" Target="https://project.pages.drupalcode.org/drupal_cms/manage/a11y/editoria11y/" TargetMode="External"/><Relationship Id="rId1150" Type="http://schemas.openxmlformats.org/officeDocument/2006/relationships/hyperlink" Target="https://plugins.craftcms.com/editoria11y" TargetMode="External"/><Relationship Id="rId1151" Type="http://schemas.openxmlformats.org/officeDocument/2006/relationships/hyperlink" Target="https://packagist.org/packages/medienbaecker/kirby-editoria11y" TargetMode="External"/><Relationship Id="rId1152" Type="http://schemas.openxmlformats.org/officeDocument/2006/relationships/hyperlink" Target="https://statamic.com/addons" TargetMode="External"/><Relationship Id="rId1153" Type="http://schemas.openxmlformats.org/officeDocument/2006/relationships/hyperlink" Target="https://github.com/tallcms/tallcms/blob/main/docs/site-media.md" TargetMode="External"/><Relationship Id="rId1154" Type="http://schemas.openxmlformats.org/officeDocument/2006/relationships/hyperlink" Target="https://make.wordpress.org/themes/handbook/review/accessibility/" TargetMode="External"/><Relationship Id="rId1155" Type="http://schemas.openxmlformats.org/officeDocument/2006/relationships/hyperlink" Target="https://www.drupal.org/docs/core-modules-and-themes/core-themes/olivero-theme" TargetMode="External"/><Relationship Id="rId1156" Type="http://schemas.openxmlformats.org/officeDocument/2006/relationships/hyperlink" Target="https://make.wordpress.org/core/2026/05/14/wordpress-7-0-field-guide/" TargetMode="External"/><Relationship Id="rId1157" Type="http://schemas.openxmlformats.org/officeDocument/2006/relationships/hyperlink" Target="https://www.drupal.org/docs/user_guide/en/structure-fields.html" TargetMode="External"/><Relationship Id="rId1158" Type="http://schemas.openxmlformats.org/officeDocument/2006/relationships/hyperlink" Target="https://github.com/craftcms/cms/blob/5.x/CHANGELOG.md" TargetMode="External"/><Relationship Id="rId1159" Type="http://schemas.openxmlformats.org/officeDocument/2006/relationships/hyperlink" Target="https://getkirby.com/docs/guide/files/file-metadata" TargetMode="External"/><Relationship Id="rId1160" Type="http://schemas.openxmlformats.org/officeDocument/2006/relationships/hyperlink" Target="https://statamic.dev/frontend/assets" TargetMode="External"/><Relationship Id="rId1161" Type="http://schemas.openxmlformats.org/officeDocument/2006/relationships/hyperlink" Target="https://github.com/getgrav/grav-plugin-admin2/blob/develop/CHANGELOG.md" TargetMode="External"/><Relationship Id="rId1162" Type="http://schemas.openxmlformats.org/officeDocument/2006/relationships/hyperlink" Target="https://payloadcms.com/docs/upload/overview" TargetMode="External"/><Relationship Id="rId1163" Type="http://schemas.openxmlformats.org/officeDocument/2006/relationships/hyperlink" Target="https://github.com/tallcms/tallcms/blob/main/docs/site-media.md" TargetMode="External"/><Relationship Id="rId1164" Type="http://schemas.openxmlformats.org/officeDocument/2006/relationships/hyperlink" Target="https://github.com/lara-zeus/sky/blob/main/src/Filament/Resources/PostResource.php" TargetMode="External"/><Relationship Id="rId1165" Type="http://schemas.openxmlformats.org/officeDocument/2006/relationships/hyperlink" Target="https://developer.wordpress.org/advanced-administration/before-install/howto-install/" TargetMode="External"/><Relationship Id="rId1166" Type="http://schemas.openxmlformats.org/officeDocument/2006/relationships/hyperlink" Target="https://www.drupal.org/docs/drupal-apis/database-api" TargetMode="External"/><Relationship Id="rId1167" Type="http://schemas.openxmlformats.org/officeDocument/2006/relationships/hyperlink" Target="https://craftcms.com/docs/5.x/requirements.html" TargetMode="External"/><Relationship Id="rId1168" Type="http://schemas.openxmlformats.org/officeDocument/2006/relationships/hyperlink" Target="https://getkirby.com/docs/guide/database" TargetMode="External"/><Relationship Id="rId1169" Type="http://schemas.openxmlformats.org/officeDocument/2006/relationships/hyperlink" Target="https://github.com/statamic/eloquent-driver" TargetMode="External"/><Relationship Id="rId1170" Type="http://schemas.openxmlformats.org/officeDocument/2006/relationships/hyperlink" Target="https://docs.octobercms.com/4.x/setup/installation.html" TargetMode="External"/><Relationship Id="rId1171" Type="http://schemas.openxmlformats.org/officeDocument/2006/relationships/hyperlink" Target="https://getgrav.org/blog/grav-2-rc-released" TargetMode="External"/><Relationship Id="rId1172" Type="http://schemas.openxmlformats.org/officeDocument/2006/relationships/hyperlink" Target="https://payloadcms.com/docs/database/overview" TargetMode="External"/><Relationship Id="rId1173" Type="http://schemas.openxmlformats.org/officeDocument/2006/relationships/hyperlink" Target="https://github.com/tallcms/tallcms/blob/main/docs/gs-installation.md" TargetMode="External"/><Relationship Id="rId1174" Type="http://schemas.openxmlformats.org/officeDocument/2006/relationships/hyperlink" Target="https://github.com/lara-zeus/sky/blob/main/src/SkyServiceProvider.php" TargetMode="External"/><Relationship Id="rId1175" Type="http://schemas.openxmlformats.org/officeDocument/2006/relationships/hyperlink" Target="https://make.wordpress.org/hosting/handbook/compatibility/version/7-0/" TargetMode="External"/><Relationship Id="rId1176" Type="http://schemas.openxmlformats.org/officeDocument/2006/relationships/hyperlink" Target="https://www.drupal.org/docs/getting-started/system-requirements/database-server-requirements" TargetMode="External"/><Relationship Id="rId1177" Type="http://schemas.openxmlformats.org/officeDocument/2006/relationships/hyperlink" Target="https://craftcms.com/docs/5.x/requirements.html" TargetMode="External"/><Relationship Id="rId1178" Type="http://schemas.openxmlformats.org/officeDocument/2006/relationships/hyperlink" Target="https://getkirby.com/docs/guide/database" TargetMode="External"/><Relationship Id="rId1179" Type="http://schemas.openxmlformats.org/officeDocument/2006/relationships/hyperlink" Target="https://github.com/statamic/eloquent-driver" TargetMode="External"/><Relationship Id="rId1180" Type="http://schemas.openxmlformats.org/officeDocument/2006/relationships/hyperlink" Target="https://docs.octobercms.com/4.x/setup/database-config.html" TargetMode="External"/><Relationship Id="rId1181" Type="http://schemas.openxmlformats.org/officeDocument/2006/relationships/hyperlink" Target="https://learn.getgrav.org/17/basics/grav-configuration" TargetMode="External"/><Relationship Id="rId1182" Type="http://schemas.openxmlformats.org/officeDocument/2006/relationships/hyperlink" Target="https://payloadcms.com/docs/database/overview" TargetMode="External"/><Relationship Id="rId1183" Type="http://schemas.openxmlformats.org/officeDocument/2006/relationships/hyperlink" Target="https://github.com/tallcms/tallcms/blob/main/docs/gs-installation.md" TargetMode="External"/><Relationship Id="rId1184" Type="http://schemas.openxmlformats.org/officeDocument/2006/relationships/hyperlink" Target="https://larazeus.com/docs/sky/v5/getting-started/installation" TargetMode="External"/><Relationship Id="rId1185" Type="http://schemas.openxmlformats.org/officeDocument/2006/relationships/hyperlink" Target="https://getkirby.com/docs/guide/content/creating-pages" TargetMode="External"/><Relationship Id="rId1186" Type="http://schemas.openxmlformats.org/officeDocument/2006/relationships/hyperlink" Target="https://statamic.dev/advanced-topics/stache" TargetMode="External"/><Relationship Id="rId1187" Type="http://schemas.openxmlformats.org/officeDocument/2006/relationships/hyperlink" Target="https://docs.octobercms.com/4.x/cms/themes/themes.html" TargetMode="External"/><Relationship Id="rId1188" Type="http://schemas.openxmlformats.org/officeDocument/2006/relationships/hyperlink" Target="https://getgrav.org/blog/grav-2-rc-released" TargetMode="External"/><Relationship Id="rId1189" Type="http://schemas.openxmlformats.org/officeDocument/2006/relationships/hyperlink" Target="https://developer.wordpress.org/themes/global-settings-and-styles/" TargetMode="External"/><Relationship Id="rId1190" Type="http://schemas.openxmlformats.org/officeDocument/2006/relationships/hyperlink" Target="https://www.drupal.org/docs/configuration-management" TargetMode="External"/><Relationship Id="rId1191" Type="http://schemas.openxmlformats.org/officeDocument/2006/relationships/hyperlink" Target="https://craftcms.com/docs/5.x/system/project-config.html" TargetMode="External"/><Relationship Id="rId1192" Type="http://schemas.openxmlformats.org/officeDocument/2006/relationships/hyperlink" Target="https://github.com/getkirby/database-storage" TargetMode="External"/><Relationship Id="rId1193" Type="http://schemas.openxmlformats.org/officeDocument/2006/relationships/hyperlink" Target="https://github.com/statamic/eloquent-driver" TargetMode="External"/><Relationship Id="rId1194" Type="http://schemas.openxmlformats.org/officeDocument/2006/relationships/hyperlink" Target="https://docs.octobercms.com/4.x/cms/themes/database-themes.html" TargetMode="External"/><Relationship Id="rId1195" Type="http://schemas.openxmlformats.org/officeDocument/2006/relationships/hyperlink" Target="https://github.com/trilbymedia/grav-plugin-flex-objects" TargetMode="External"/><Relationship Id="rId1196" Type="http://schemas.openxmlformats.org/officeDocument/2006/relationships/hyperlink" Target="https://github.com/tallcms/tallcms/blob/main/docs/ref-architecture.md" TargetMode="External"/><Relationship Id="rId1197" Type="http://schemas.openxmlformats.org/officeDocument/2006/relationships/hyperlink" Target="https://www.drupal.org/blog/drupal-11-3-0" TargetMode="External"/><Relationship Id="rId1198" Type="http://schemas.openxmlformats.org/officeDocument/2006/relationships/hyperlink" Target="https://craftcms.com/docs/5.x/system/project-config.html" TargetMode="External"/><Relationship Id="rId1199" Type="http://schemas.openxmlformats.org/officeDocument/2006/relationships/hyperlink" Target="https://getkirby.com/docs/guide/content/creating-pages" TargetMode="External"/><Relationship Id="rId1200" Type="http://schemas.openxmlformats.org/officeDocument/2006/relationships/hyperlink" Target="https://statamic.dev/control-panel/git-automation" TargetMode="External"/><Relationship Id="rId1201" Type="http://schemas.openxmlformats.org/officeDocument/2006/relationships/hyperlink" Target="https://docs.octobercms.com/4.x/resources/development-workflow.html" TargetMode="External"/><Relationship Id="rId1202" Type="http://schemas.openxmlformats.org/officeDocument/2006/relationships/hyperlink" Target="https://github.com/trilbymedia/grav-plugin-git-sync" TargetMode="External"/><Relationship Id="rId1203" Type="http://schemas.openxmlformats.org/officeDocument/2006/relationships/hyperlink" Target="https://developer.wordpress.org/block-editor/reference-guides/block-api/block-metadata/" TargetMode="External"/><Relationship Id="rId1204" Type="http://schemas.openxmlformats.org/officeDocument/2006/relationships/hyperlink" Target="https://www.drupal.org/docs/configuration-management" TargetMode="External"/><Relationship Id="rId1205" Type="http://schemas.openxmlformats.org/officeDocument/2006/relationships/hyperlink" Target="https://craftcms.com/docs/5.x/system/project-config.html" TargetMode="External"/><Relationship Id="rId1206" Type="http://schemas.openxmlformats.org/officeDocument/2006/relationships/hyperlink" Target="https://getkirby.com/docs/guide/blueprints/introduction" TargetMode="External"/><Relationship Id="rId1207" Type="http://schemas.openxmlformats.org/officeDocument/2006/relationships/hyperlink" Target="https://statamic.dev/content-modeling/blueprints" TargetMode="External"/><Relationship Id="rId1208" Type="http://schemas.openxmlformats.org/officeDocument/2006/relationships/hyperlink" Target="https://docs.octobercms.com/4.x/cms/tailor/blueprints.html" TargetMode="External"/><Relationship Id="rId1209" Type="http://schemas.openxmlformats.org/officeDocument/2006/relationships/hyperlink" Target="https://learn.getgrav.org/20/forms/blueprints/fields-available" TargetMode="External"/><Relationship Id="rId1210" Type="http://schemas.openxmlformats.org/officeDocument/2006/relationships/hyperlink" Target="https://payloadcms.com/docs/configuration/overview" TargetMode="External"/><Relationship Id="rId1211" Type="http://schemas.openxmlformats.org/officeDocument/2006/relationships/hyperlink" Target="https://github.com/tallcms/tallcms/blob/main/docs/dev-themes.md" TargetMode="External"/><Relationship Id="rId1212" Type="http://schemas.openxmlformats.org/officeDocument/2006/relationships/hyperlink" Target="https://github.com/lara-zeus/sky/blob/main/src/SkyServiceProvider.php" TargetMode="External"/><Relationship Id="rId1213" Type="http://schemas.openxmlformats.org/officeDocument/2006/relationships/hyperlink" Target="https://developer.wordpress.org/cli/commands/option/" TargetMode="External"/><Relationship Id="rId1214" Type="http://schemas.openxmlformats.org/officeDocument/2006/relationships/hyperlink" Target="https://www.drupal.org/docs/core-modules-and-themes/core-modules/config-module" TargetMode="External"/><Relationship Id="rId1215" Type="http://schemas.openxmlformats.org/officeDocument/2006/relationships/hyperlink" Target="https://craftcms.com/docs/5.x/system/project-config.html" TargetMode="External"/><Relationship Id="rId1216" Type="http://schemas.openxmlformats.org/officeDocument/2006/relationships/hyperlink" Target="https://getkirby.com/docs/guide/configuration" TargetMode="External"/><Relationship Id="rId1217" Type="http://schemas.openxmlformats.org/officeDocument/2006/relationships/hyperlink" Target="https://github.com/statamic/eloquent-driver" TargetMode="External"/><Relationship Id="rId1218" Type="http://schemas.openxmlformats.org/officeDocument/2006/relationships/hyperlink" Target="https://octobercms.com/support/article/rn-42" TargetMode="External"/><Relationship Id="rId1219" Type="http://schemas.openxmlformats.org/officeDocument/2006/relationships/hyperlink" Target="https://learn.getgrav.org/17/basics/grav-configuration" TargetMode="External"/><Relationship Id="rId1220" Type="http://schemas.openxmlformats.org/officeDocument/2006/relationships/hyperlink" Target="https://payloadcms.com/docs/configuration/overview" TargetMode="External"/><Relationship Id="rId1221" Type="http://schemas.openxmlformats.org/officeDocument/2006/relationships/hyperlink" Target="https://larazeus.com/docs/sky/v5/getting-started/configuration" TargetMode="External"/><Relationship Id="rId1222" Type="http://schemas.openxmlformats.org/officeDocument/2006/relationships/hyperlink" Target="https://developer.wordpress.org/reference/functions/wp_get_environment_type/" TargetMode="External"/><Relationship Id="rId1223" Type="http://schemas.openxmlformats.org/officeDocument/2006/relationships/hyperlink" Target="https://www.drupal.org/project/config_split" TargetMode="External"/><Relationship Id="rId1224" Type="http://schemas.openxmlformats.org/officeDocument/2006/relationships/hyperlink" Target="https://craftcms.com/docs/5.x/reference/config/general.html" TargetMode="External"/><Relationship Id="rId1225" Type="http://schemas.openxmlformats.org/officeDocument/2006/relationships/hyperlink" Target="https://getkirby.com/docs/guide/configuration" TargetMode="External"/><Relationship Id="rId1226" Type="http://schemas.openxmlformats.org/officeDocument/2006/relationships/hyperlink" Target="https://statamic.dev/getting-started/configuration" TargetMode="External"/><Relationship Id="rId1227" Type="http://schemas.openxmlformats.org/officeDocument/2006/relationships/hyperlink" Target="https://docs.octobercms.com/4.x/setup/configuration.html" TargetMode="External"/><Relationship Id="rId1228" Type="http://schemas.openxmlformats.org/officeDocument/2006/relationships/hyperlink" Target="https://github.com/getgrav/grav/blob/develop/CHANGELOG.md" TargetMode="External"/><Relationship Id="rId1229" Type="http://schemas.openxmlformats.org/officeDocument/2006/relationships/hyperlink" Target="https://payloadcms.com/docs/configuration/environment-vars" TargetMode="External"/><Relationship Id="rId1230" Type="http://schemas.openxmlformats.org/officeDocument/2006/relationships/hyperlink" Target="https://github.com/tallcms/tallcms/blob/main/docs/ref-architecture.md" TargetMode="External"/><Relationship Id="rId1231" Type="http://schemas.openxmlformats.org/officeDocument/2006/relationships/hyperlink" Target="https://laravel.com/docs/configuration" TargetMode="External"/><Relationship Id="rId1232" Type="http://schemas.openxmlformats.org/officeDocument/2006/relationships/hyperlink" Target="https://wordpress.org/plugins/create-block-theme/" TargetMode="External"/><Relationship Id="rId1233" Type="http://schemas.openxmlformats.org/officeDocument/2006/relationships/hyperlink" Target="https://www.drupal.org/docs/configuration-management/managing-your-sites-configuration" TargetMode="External"/><Relationship Id="rId1234" Type="http://schemas.openxmlformats.org/officeDocument/2006/relationships/hyperlink" Target="https://craftcms.com/docs/5.x/system/project-config.html" TargetMode="External"/><Relationship Id="rId1235" Type="http://schemas.openxmlformats.org/officeDocument/2006/relationships/hyperlink" Target="https://getkirby.com/docs/guide/configuration" TargetMode="External"/><Relationship Id="rId1236" Type="http://schemas.openxmlformats.org/officeDocument/2006/relationships/hyperlink" Target="https://statamic.dev/getting-started/configuration" TargetMode="External"/><Relationship Id="rId1237" Type="http://schemas.openxmlformats.org/officeDocument/2006/relationships/hyperlink" Target="https://docs.octobercms.com/4.x/element/available-commands.html" TargetMode="External"/><Relationship Id="rId1238" Type="http://schemas.openxmlformats.org/officeDocument/2006/relationships/hyperlink" Target="https://github.com/getgrav/grav-plugin-admin2" TargetMode="External"/><Relationship Id="rId1239" Type="http://schemas.openxmlformats.org/officeDocument/2006/relationships/hyperlink" Target="https://payloadcms.com/docs/configuration/overview" TargetMode="External"/><Relationship Id="rId1240" Type="http://schemas.openxmlformats.org/officeDocument/2006/relationships/hyperlink" Target="https://deliciousbrains.com/wp-migrate/" TargetMode="External"/><Relationship Id="rId1241" Type="http://schemas.openxmlformats.org/officeDocument/2006/relationships/hyperlink" Target="https://www.drupal.org/docs/configuration-management/managing-your-sites-configuration" TargetMode="External"/><Relationship Id="rId1242" Type="http://schemas.openxmlformats.org/officeDocument/2006/relationships/hyperlink" Target="https://craftcms.com/docs/5.x/system/project-config.html" TargetMode="External"/><Relationship Id="rId1243" Type="http://schemas.openxmlformats.org/officeDocument/2006/relationships/hyperlink" Target="https://getkirby.com/docs/guide/configuration" TargetMode="External"/><Relationship Id="rId1244" Type="http://schemas.openxmlformats.org/officeDocument/2006/relationships/hyperlink" Target="https://statamic.dev/getting-started/deploying" TargetMode="External"/><Relationship Id="rId1245" Type="http://schemas.openxmlformats.org/officeDocument/2006/relationships/hyperlink" Target="https://docs.octobercms.com/4.x/resources/development-workflow.html" TargetMode="External"/><Relationship Id="rId1246" Type="http://schemas.openxmlformats.org/officeDocument/2006/relationships/hyperlink" Target="https://github.com/trilbymedia/grav-plugin-git-sync" TargetMode="External"/><Relationship Id="rId1247" Type="http://schemas.openxmlformats.org/officeDocument/2006/relationships/hyperlink" Target="https://payloadcms.com/docs/database/migrations" TargetMode="External"/><Relationship Id="rId1248" Type="http://schemas.openxmlformats.org/officeDocument/2006/relationships/hyperlink" Target="https://github.com/tallcms/tallcms/blob/main/docs/ref-roles-authorization.md" TargetMode="External"/><Relationship Id="rId1249" Type="http://schemas.openxmlformats.org/officeDocument/2006/relationships/hyperlink" Target="https://larazeus.com/docs/sky/v5/getting-started/configuration" TargetMode="External"/><Relationship Id="rId1250" Type="http://schemas.openxmlformats.org/officeDocument/2006/relationships/hyperlink" Target="https://wordpress.org/documentation/article/tools-export-screen/" TargetMode="External"/><Relationship Id="rId1251" Type="http://schemas.openxmlformats.org/officeDocument/2006/relationships/hyperlink" Target="https://www.drupal.org/docs/drupal-apis/migrate-api" TargetMode="External"/><Relationship Id="rId1252" Type="http://schemas.openxmlformats.org/officeDocument/2006/relationships/hyperlink" Target="https://craftcms.com/docs/5.x/extend/migrations.html" TargetMode="External"/><Relationship Id="rId1253" Type="http://schemas.openxmlformats.org/officeDocument/2006/relationships/hyperlink" Target="https://plugins.getkirby.com/topics/versioning" TargetMode="External"/><Relationship Id="rId1254" Type="http://schemas.openxmlformats.org/officeDocument/2006/relationships/hyperlink" Target="https://statamic.dev/control-panel/git-automation" TargetMode="External"/><Relationship Id="rId1255" Type="http://schemas.openxmlformats.org/officeDocument/2006/relationships/hyperlink" Target="https://docs.octobercms.com/4.x/cms/themes/seeding-themes.html" TargetMode="External"/><Relationship Id="rId1256" Type="http://schemas.openxmlformats.org/officeDocument/2006/relationships/hyperlink" Target="https://github.com/trilbymedia/grav-plugin-git-sync" TargetMode="External"/><Relationship Id="rId1257" Type="http://schemas.openxmlformats.org/officeDocument/2006/relationships/hyperlink" Target="https://payloadcms.com/docs/database/migrations" TargetMode="External"/><Relationship Id="rId1258" Type="http://schemas.openxmlformats.org/officeDocument/2006/relationships/hyperlink" Target="https://wordpress.org/plugins/wp-staging/" TargetMode="External"/><Relationship Id="rId1259" Type="http://schemas.openxmlformats.org/officeDocument/2006/relationships/hyperlink" Target="https://www.drupal.org/docs/core-modules-and-themes/core-modules/workspaces-module" TargetMode="External"/><Relationship Id="rId1260" Type="http://schemas.openxmlformats.org/officeDocument/2006/relationships/hyperlink" Target="https://craftcms.com/cloud" TargetMode="External"/><Relationship Id="rId1261" Type="http://schemas.openxmlformats.org/officeDocument/2006/relationships/hyperlink" Target="https://getkirby.com/docs/guide/quickstart" TargetMode="External"/><Relationship Id="rId1262" Type="http://schemas.openxmlformats.org/officeDocument/2006/relationships/hyperlink" Target="https://statamic.dev/getting-started/licensing" TargetMode="External"/><Relationship Id="rId1263" Type="http://schemas.openxmlformats.org/officeDocument/2006/relationships/hyperlink" Target="https://github.com/getgrav/grav-plugin-admin2" TargetMode="External"/><Relationship Id="rId1264" Type="http://schemas.openxmlformats.org/officeDocument/2006/relationships/hyperlink" Target="https://www.drupal.org/docs/configuration-management" TargetMode="External"/><Relationship Id="rId1265" Type="http://schemas.openxmlformats.org/officeDocument/2006/relationships/hyperlink" Target="https://craftcms.com/docs/5.x/system/project-config.html" TargetMode="External"/><Relationship Id="rId1266" Type="http://schemas.openxmlformats.org/officeDocument/2006/relationships/hyperlink" Target="https://plugins.getkirby.com/topics/versioning" TargetMode="External"/><Relationship Id="rId1267" Type="http://schemas.openxmlformats.org/officeDocument/2006/relationships/hyperlink" Target="https://statamic.dev/control-panel/git-automation" TargetMode="External"/><Relationship Id="rId1268" Type="http://schemas.openxmlformats.org/officeDocument/2006/relationships/hyperlink" Target="https://docs.octobercms.com/4.x/setup/deployment.html" TargetMode="External"/><Relationship Id="rId1269" Type="http://schemas.openxmlformats.org/officeDocument/2006/relationships/hyperlink" Target="https://github.com/trilbymedia/grav-plugin-git-sync" TargetMode="External"/><Relationship Id="rId1270" Type="http://schemas.openxmlformats.org/officeDocument/2006/relationships/hyperlink" Target="https://payloadcms.com/docs/database/migrations" TargetMode="External"/><Relationship Id="rId1271" Type="http://schemas.openxmlformats.org/officeDocument/2006/relationships/hyperlink" Target="https://github.com/tallcms/tallcms/blob/main/docs/ref-updating.md" TargetMode="External"/><Relationship Id="rId1272" Type="http://schemas.openxmlformats.org/officeDocument/2006/relationships/hyperlink" Target="https://developer.wordpress.org/plugins/" TargetMode="External"/><Relationship Id="rId1273" Type="http://schemas.openxmlformats.org/officeDocument/2006/relationships/hyperlink" Target="https://www.drupal.org/docs/develop/creating-modules" TargetMode="External"/><Relationship Id="rId1274" Type="http://schemas.openxmlformats.org/officeDocument/2006/relationships/hyperlink" Target="https://craftcms.com/docs/5.x/extend/" TargetMode="External"/><Relationship Id="rId1275" Type="http://schemas.openxmlformats.org/officeDocument/2006/relationships/hyperlink" Target="https://getkirby.com/docs/reference/plugins/extensions" TargetMode="External"/><Relationship Id="rId1276" Type="http://schemas.openxmlformats.org/officeDocument/2006/relationships/hyperlink" Target="https://statamic.dev/addons/building-an-addon" TargetMode="External"/><Relationship Id="rId1277" Type="http://schemas.openxmlformats.org/officeDocument/2006/relationships/hyperlink" Target="https://docs.octobercms.com/4.x/extend/system/plugins.html" TargetMode="External"/><Relationship Id="rId1278" Type="http://schemas.openxmlformats.org/officeDocument/2006/relationships/hyperlink" Target="https://www.getgrav.org/downloads/plugins" TargetMode="External"/><Relationship Id="rId1279" Type="http://schemas.openxmlformats.org/officeDocument/2006/relationships/hyperlink" Target="https://payloadcms.com/docs/plugins/overview" TargetMode="External"/><Relationship Id="rId1280" Type="http://schemas.openxmlformats.org/officeDocument/2006/relationships/hyperlink" Target="https://github.com/tallcms/tallcms/blob/main/docs/dev-plugins.md" TargetMode="External"/><Relationship Id="rId1281" Type="http://schemas.openxmlformats.org/officeDocument/2006/relationships/hyperlink" Target="https://filamentphp.com/docs/5.x/plugins/getting-started" TargetMode="External"/><Relationship Id="rId1282" Type="http://schemas.openxmlformats.org/officeDocument/2006/relationships/hyperlink" Target="https://wordpress.org/plugins/" TargetMode="External"/><Relationship Id="rId1283" Type="http://schemas.openxmlformats.org/officeDocument/2006/relationships/hyperlink" Target="https://www.drupal.org/project/project_browser" TargetMode="External"/><Relationship Id="rId1284" Type="http://schemas.openxmlformats.org/officeDocument/2006/relationships/hyperlink" Target="https://plugins.craftcms.com/" TargetMode="External"/><Relationship Id="rId1285" Type="http://schemas.openxmlformats.org/officeDocument/2006/relationships/hyperlink" Target="https://plugins.getkirby.com/" TargetMode="External"/><Relationship Id="rId1286" Type="http://schemas.openxmlformats.org/officeDocument/2006/relationships/hyperlink" Target="https://statamic.com/addons" TargetMode="External"/><Relationship Id="rId1287" Type="http://schemas.openxmlformats.org/officeDocument/2006/relationships/hyperlink" Target="https://octobercms.com/plugins" TargetMode="External"/><Relationship Id="rId1288" Type="http://schemas.openxmlformats.org/officeDocument/2006/relationships/hyperlink" Target="https://learn.getgrav.org/20/grav-premium" TargetMode="External"/><Relationship Id="rId1289" Type="http://schemas.openxmlformats.org/officeDocument/2006/relationships/hyperlink" Target="https://payloadcms.com/docs/plugins/overview" TargetMode="External"/><Relationship Id="rId1290" Type="http://schemas.openxmlformats.org/officeDocument/2006/relationships/hyperlink" Target="https://github.com/tallcms/tallcms/blob/main/docs/ref-plugin-licensing.md" TargetMode="External"/><Relationship Id="rId1291" Type="http://schemas.openxmlformats.org/officeDocument/2006/relationships/hyperlink" Target="https://larazeus.com/docs/sky/v5/getting-started/editor" TargetMode="External"/><Relationship Id="rId1292" Type="http://schemas.openxmlformats.org/officeDocument/2006/relationships/hyperlink" Target="https://developer.wordpress.org/plugins/hooks/" TargetMode="External"/><Relationship Id="rId1293" Type="http://schemas.openxmlformats.org/officeDocument/2006/relationships/hyperlink" Target="https://www.drupal.org/blog/drupal-11-1-0" TargetMode="External"/><Relationship Id="rId1294" Type="http://schemas.openxmlformats.org/officeDocument/2006/relationships/hyperlink" Target="https://craftcms.com/docs/5.x/extend/events.html" TargetMode="External"/><Relationship Id="rId1295" Type="http://schemas.openxmlformats.org/officeDocument/2006/relationships/hyperlink" Target="https://getkirby.com/docs/reference/plugins/hooks" TargetMode="External"/><Relationship Id="rId1296" Type="http://schemas.openxmlformats.org/officeDocument/2006/relationships/hyperlink" Target="https://statamic.dev/backend-apis/events" TargetMode="External"/><Relationship Id="rId1297" Type="http://schemas.openxmlformats.org/officeDocument/2006/relationships/hyperlink" Target="https://docs.octobercms.com/4.x/extend/extending.html" TargetMode="External"/><Relationship Id="rId1298" Type="http://schemas.openxmlformats.org/officeDocument/2006/relationships/hyperlink" Target="https://github.com/getgrav/grav-plugin-api" TargetMode="External"/><Relationship Id="rId1299" Type="http://schemas.openxmlformats.org/officeDocument/2006/relationships/hyperlink" Target="https://payloadcms.com/docs/hooks/overview" TargetMode="External"/><Relationship Id="rId1300" Type="http://schemas.openxmlformats.org/officeDocument/2006/relationships/hyperlink" Target="https://github.com/tallcms/tallcms/tree/main/packages/tallcms/cms/src/Events" TargetMode="External"/><Relationship Id="rId1301" Type="http://schemas.openxmlformats.org/officeDocument/2006/relationships/hyperlink" Target="https://github.com/lara-zeus/sky/blob/main/config/zeus-sky.php" TargetMode="External"/><Relationship Id="rId1302" Type="http://schemas.openxmlformats.org/officeDocument/2006/relationships/hyperlink" Target="https://developer.wordpress.org/reference/functions/register_meta/" TargetMode="External"/><Relationship Id="rId1303" Type="http://schemas.openxmlformats.org/officeDocument/2006/relationships/hyperlink" Target="https://www.drupal.org/docs/drupal-apis/entity-api/fieldtypes-fieldwidgets-and-fieldformatters" TargetMode="External"/><Relationship Id="rId1304" Type="http://schemas.openxmlformats.org/officeDocument/2006/relationships/hyperlink" Target="https://craftcms.com/docs/5.x/extend/field-types.html" TargetMode="External"/><Relationship Id="rId1305" Type="http://schemas.openxmlformats.org/officeDocument/2006/relationships/hyperlink" Target="https://getkirby.com/docs/reference/plugins/extensions" TargetMode="External"/><Relationship Id="rId1306" Type="http://schemas.openxmlformats.org/officeDocument/2006/relationships/hyperlink" Target="https://statamic.dev/fieldtypes/build-a-fieldtype" TargetMode="External"/><Relationship Id="rId1307" Type="http://schemas.openxmlformats.org/officeDocument/2006/relationships/hyperlink" Target="https://docs.octobercms.com/4.x/extend/tailor-fields.html" TargetMode="External"/><Relationship Id="rId1308" Type="http://schemas.openxmlformats.org/officeDocument/2006/relationships/hyperlink" Target="https://getgrav.org/blog/grav-2-rc-released" TargetMode="External"/><Relationship Id="rId1309" Type="http://schemas.openxmlformats.org/officeDocument/2006/relationships/hyperlink" Target="https://payloadcms.com/docs/fields/ui" TargetMode="External"/><Relationship Id="rId1310" Type="http://schemas.openxmlformats.org/officeDocument/2006/relationships/hyperlink" Target="https://github.com/tallcms/tallcms/blob/main/docs/dev-blocks.md" TargetMode="External"/><Relationship Id="rId1311" Type="http://schemas.openxmlformats.org/officeDocument/2006/relationships/hyperlink" Target="https://github.com/lara-zeus/sky/blob/main/src/Configuration.php" TargetMode="External"/><Relationship Id="rId1312" Type="http://schemas.openxmlformats.org/officeDocument/2006/relationships/hyperlink" Target="https://make.wordpress.org/core/2026/05/14/wordpress-7-0-field-guide/" TargetMode="External"/><Relationship Id="rId1313" Type="http://schemas.openxmlformats.org/officeDocument/2006/relationships/hyperlink" Target="https://www.drupal.org/docs/drupal-apis/form-api" TargetMode="External"/><Relationship Id="rId1314" Type="http://schemas.openxmlformats.org/officeDocument/2006/relationships/hyperlink" Target="https://craftcms.com/docs/5.x/extend/" TargetMode="External"/><Relationship Id="rId1315" Type="http://schemas.openxmlformats.org/officeDocument/2006/relationships/hyperlink" Target="https://getkirby.com/docs/reference/system/options/panel" TargetMode="External"/><Relationship Id="rId1316" Type="http://schemas.openxmlformats.org/officeDocument/2006/relationships/hyperlink" Target="https://statamic.dev/control-panel/customizing-the-cp-nav" TargetMode="External"/><Relationship Id="rId1317" Type="http://schemas.openxmlformats.org/officeDocument/2006/relationships/hyperlink" Target="https://docs.octobercms.com/4.x/extend/forms/form-controller.html" TargetMode="External"/><Relationship Id="rId1318" Type="http://schemas.openxmlformats.org/officeDocument/2006/relationships/hyperlink" Target="https://getgrav.org/blog/grav-2-rc-released" TargetMode="External"/><Relationship Id="rId1319" Type="http://schemas.openxmlformats.org/officeDocument/2006/relationships/hyperlink" Target="https://payloadcms.com/docs/custom-components/overview" TargetMode="External"/><Relationship Id="rId1320" Type="http://schemas.openxmlformats.org/officeDocument/2006/relationships/hyperlink" Target="https://github.com/tallcms/tallcms/blob/main/docs/ref-i18n.md" TargetMode="External"/><Relationship Id="rId1321" Type="http://schemas.openxmlformats.org/officeDocument/2006/relationships/hyperlink" Target="https://larazeus.com/docs/sky/v5/getting-started/configuration" TargetMode="External"/><Relationship Id="rId1322" Type="http://schemas.openxmlformats.org/officeDocument/2006/relationships/hyperlink" Target="https://developer.wordpress.org/apis/dashboard-widgets/" TargetMode="External"/><Relationship Id="rId1323" Type="http://schemas.openxmlformats.org/officeDocument/2006/relationships/hyperlink" Target="https://www.drupal.org/project/dashboard" TargetMode="External"/><Relationship Id="rId1324" Type="http://schemas.openxmlformats.org/officeDocument/2006/relationships/hyperlink" Target="https://craftcms.com/docs/5.x/system/control-panel.html" TargetMode="External"/><Relationship Id="rId1325" Type="http://schemas.openxmlformats.org/officeDocument/2006/relationships/hyperlink" Target="https://getkirby.com/docs/reference/panel/sections/stats" TargetMode="External"/><Relationship Id="rId1326" Type="http://schemas.openxmlformats.org/officeDocument/2006/relationships/hyperlink" Target="https://statamic.dev/widgets/building-a-widget" TargetMode="External"/><Relationship Id="rId1327" Type="http://schemas.openxmlformats.org/officeDocument/2006/relationships/hyperlink" Target="https://docs.octobercms.com/4.x/extend/dashboards/report-widgets.html" TargetMode="External"/><Relationship Id="rId1328" Type="http://schemas.openxmlformats.org/officeDocument/2006/relationships/hyperlink" Target="https://github.com/getgrav/grav-plugin-admin2" TargetMode="External"/><Relationship Id="rId1329" Type="http://schemas.openxmlformats.org/officeDocument/2006/relationships/hyperlink" Target="https://payloadcms.com/docs/custom-components/dashboard" TargetMode="External"/><Relationship Id="rId1330" Type="http://schemas.openxmlformats.org/officeDocument/2006/relationships/hyperlink" Target="https://github.com/tallcms/tallcms/tree/main/packages/tallcms/cms/src/Filament/Widgets" TargetMode="External"/><Relationship Id="rId1331" Type="http://schemas.openxmlformats.org/officeDocument/2006/relationships/hyperlink" Target="https://filamentphp.com/docs/5.x/widgets/overview" TargetMode="External"/><Relationship Id="rId1332" Type="http://schemas.openxmlformats.org/officeDocument/2006/relationships/hyperlink" Target="https://developer.wordpress.org/plugins/administration-menus/" TargetMode="External"/><Relationship Id="rId1333" Type="http://schemas.openxmlformats.org/officeDocument/2006/relationships/hyperlink" Target="https://www.drupal.org/docs/drupal-apis/routing-system" TargetMode="External"/><Relationship Id="rId1334" Type="http://schemas.openxmlformats.org/officeDocument/2006/relationships/hyperlink" Target="https://craftcms.com/docs/5.x/extend/cp-section.html" TargetMode="External"/><Relationship Id="rId1335" Type="http://schemas.openxmlformats.org/officeDocument/2006/relationships/hyperlink" Target="https://getkirby.com/docs/reference/plugins/extensions/panel-areas" TargetMode="External"/><Relationship Id="rId1336" Type="http://schemas.openxmlformats.org/officeDocument/2006/relationships/hyperlink" Target="https://statamic.dev/control-panel/utilities" TargetMode="External"/><Relationship Id="rId1337" Type="http://schemas.openxmlformats.org/officeDocument/2006/relationships/hyperlink" Target="https://docs.octobercms.com/4.x/extend/system/controllers.html" TargetMode="External"/><Relationship Id="rId1338" Type="http://schemas.openxmlformats.org/officeDocument/2006/relationships/hyperlink" Target="https://github.com/getgrav/grav-plugin-admin2/blob/develop/CHANGELOG.md" TargetMode="External"/><Relationship Id="rId1339" Type="http://schemas.openxmlformats.org/officeDocument/2006/relationships/hyperlink" Target="https://payloadcms.com/docs/custom-components/custom-views" TargetMode="External"/><Relationship Id="rId1340" Type="http://schemas.openxmlformats.org/officeDocument/2006/relationships/hyperlink" Target="https://github.com/tallcms/tallcms/blob/main/docs/dev-plugins.md" TargetMode="External"/><Relationship Id="rId1341" Type="http://schemas.openxmlformats.org/officeDocument/2006/relationships/hyperlink" Target="https://filamentphp.com/docs/5.x/navigation/custom-pages" TargetMode="External"/><Relationship Id="rId1342" Type="http://schemas.openxmlformats.org/officeDocument/2006/relationships/hyperlink" Target="https://wordpress.org/plugins/wp-super-cache/" TargetMode="External"/><Relationship Id="rId1343" Type="http://schemas.openxmlformats.org/officeDocument/2006/relationships/hyperlink" Target="https://www.drupal.org/docs/core-modules-and-themes/core-modules/internal-page-cache-module" TargetMode="External"/><Relationship Id="rId1344" Type="http://schemas.openxmlformats.org/officeDocument/2006/relationships/hyperlink" Target="https://plugins.craftcms.com/blitz" TargetMode="External"/><Relationship Id="rId1345" Type="http://schemas.openxmlformats.org/officeDocument/2006/relationships/hyperlink" Target="https://getkirby.com/docs/guide/cache" TargetMode="External"/><Relationship Id="rId1346" Type="http://schemas.openxmlformats.org/officeDocument/2006/relationships/hyperlink" Target="https://statamic.dev/advanced-topics/static-caching" TargetMode="External"/><Relationship Id="rId1347" Type="http://schemas.openxmlformats.org/officeDocument/2006/relationships/hyperlink" Target="https://octobercms.com/plugins?search=static" TargetMode="External"/><Relationship Id="rId1348" Type="http://schemas.openxmlformats.org/officeDocument/2006/relationships/hyperlink" Target="https://learn.getgrav.org/17/basics/grav-configuration" TargetMode="External"/><Relationship Id="rId1349" Type="http://schemas.openxmlformats.org/officeDocument/2006/relationships/hyperlink" Target="https://developer.wordpress.org/reference/classes/wp_object_cache/" TargetMode="External"/><Relationship Id="rId1350" Type="http://schemas.openxmlformats.org/officeDocument/2006/relationships/hyperlink" Target="https://www.drupal.org/docs/drupal-apis/cache-api" TargetMode="External"/><Relationship Id="rId1351" Type="http://schemas.openxmlformats.org/officeDocument/2006/relationships/hyperlink" Target="https://craftcms.com/docs/5.x/reference/twig/tags.html" TargetMode="External"/><Relationship Id="rId1352" Type="http://schemas.openxmlformats.org/officeDocument/2006/relationships/hyperlink" Target="https://getkirby.com/docs/guide/cache" TargetMode="External"/><Relationship Id="rId1353" Type="http://schemas.openxmlformats.org/officeDocument/2006/relationships/hyperlink" Target="https://statamic.dev/advanced-topics/caching" TargetMode="External"/><Relationship Id="rId1354" Type="http://schemas.openxmlformats.org/officeDocument/2006/relationships/hyperlink" Target="https://docs.octobercms.com/4.x/markup/tag/cache.html" TargetMode="External"/><Relationship Id="rId1355" Type="http://schemas.openxmlformats.org/officeDocument/2006/relationships/hyperlink" Target="https://github.com/getgrav/grav/releases" TargetMode="External"/><Relationship Id="rId1356" Type="http://schemas.openxmlformats.org/officeDocument/2006/relationships/hyperlink" Target="https://payloadcms.com/docs/performance/overview" TargetMode="External"/><Relationship Id="rId1357" Type="http://schemas.openxmlformats.org/officeDocument/2006/relationships/hyperlink" Target="https://github.com/tallcms/tallcms/tree/main/packages/tallcms/cms/src/Support/MenuCache.php" TargetMode="External"/><Relationship Id="rId1358" Type="http://schemas.openxmlformats.org/officeDocument/2006/relationships/hyperlink" Target="https://laravel.com/docs/cache" TargetMode="External"/><Relationship Id="rId1359" Type="http://schemas.openxmlformats.org/officeDocument/2006/relationships/hyperlink" Target="https://wordpress.org/plugins/wp-super-cache/" TargetMode="External"/><Relationship Id="rId1360" Type="http://schemas.openxmlformats.org/officeDocument/2006/relationships/hyperlink" Target="https://www.drupal.org/project/tome" TargetMode="External"/><Relationship Id="rId1361" Type="http://schemas.openxmlformats.org/officeDocument/2006/relationships/hyperlink" Target="https://plugins.craftcms.com/blitz" TargetMode="External"/><Relationship Id="rId1362" Type="http://schemas.openxmlformats.org/officeDocument/2006/relationships/hyperlink" Target="https://github.com/getkirby/staticache" TargetMode="External"/><Relationship Id="rId1363" Type="http://schemas.openxmlformats.org/officeDocument/2006/relationships/hyperlink" Target="https://statamic.dev/advanced-topics/static-caching" TargetMode="External"/><Relationship Id="rId1364" Type="http://schemas.openxmlformats.org/officeDocument/2006/relationships/hyperlink" Target="https://octobercms.com/plugins?search=static" TargetMode="External"/><Relationship Id="rId1365" Type="http://schemas.openxmlformats.org/officeDocument/2006/relationships/hyperlink" Target="https://github.com/OleVik/grav-plugin-static-generator" TargetMode="External"/><Relationship Id="rId1366" Type="http://schemas.openxmlformats.org/officeDocument/2006/relationships/hyperlink" Target="https://wordpress.org/plugins/wp-super-cache/" TargetMode="External"/><Relationship Id="rId1367" Type="http://schemas.openxmlformats.org/officeDocument/2006/relationships/hyperlink" Target="https://www.drupal.org/docs/drupal-apis/cache-api/cache-tags" TargetMode="External"/><Relationship Id="rId1368" Type="http://schemas.openxmlformats.org/officeDocument/2006/relationships/hyperlink" Target="https://craftcms.com/docs/5.x/reference/twig/tags.html" TargetMode="External"/><Relationship Id="rId1369" Type="http://schemas.openxmlformats.org/officeDocument/2006/relationships/hyperlink" Target="https://github.com/getkirby/staticache" TargetMode="External"/><Relationship Id="rId1370" Type="http://schemas.openxmlformats.org/officeDocument/2006/relationships/hyperlink" Target="https://statamic.dev/advanced-topics/static-caching" TargetMode="External"/><Relationship Id="rId1371" Type="http://schemas.openxmlformats.org/officeDocument/2006/relationships/hyperlink" Target="https://docs.octobercms.com/4.x/markup/tag/cache.html" TargetMode="External"/><Relationship Id="rId1372" Type="http://schemas.openxmlformats.org/officeDocument/2006/relationships/hyperlink" Target="https://learn.getgrav.org/17/basics/grav-configuration" TargetMode="External"/><Relationship Id="rId1373" Type="http://schemas.openxmlformats.org/officeDocument/2006/relationships/hyperlink" Target="https://github.com/payloadcms/payload/tree/main/templates/website" TargetMode="External"/><Relationship Id="rId1374" Type="http://schemas.openxmlformats.org/officeDocument/2006/relationships/hyperlink" Target="https://github.com/tallcms/tallcms/tree/main/packages/tallcms/cms/src/Support/MenuCache.php" TargetMode="External"/><Relationship Id="rId1375" Type="http://schemas.openxmlformats.org/officeDocument/2006/relationships/hyperlink" Target="https://make.wordpress.org/core/2020/07/14/lazy-loading-images-in-5-5/" TargetMode="External"/><Relationship Id="rId1376" Type="http://schemas.openxmlformats.org/officeDocument/2006/relationships/hyperlink" Target="https://www.drupal.org/docs/user_guide/en/structure-fields.html" TargetMode="External"/><Relationship Id="rId1377" Type="http://schemas.openxmlformats.org/officeDocument/2006/relationships/hyperlink" Target="https://craftcms.com/docs/5.x/development/image-transforms.html" TargetMode="External"/><Relationship Id="rId1378" Type="http://schemas.openxmlformats.org/officeDocument/2006/relationships/hyperlink" Target="https://statamic.dev/tags/glide" TargetMode="External"/><Relationship Id="rId1379" Type="http://schemas.openxmlformats.org/officeDocument/2006/relationships/hyperlink" Target="https://learn.getgrav.org/20/content/media" TargetMode="External"/><Relationship Id="rId1380" Type="http://schemas.openxmlformats.org/officeDocument/2006/relationships/hyperlink" Target="https://github.com/tallcms/tallcms/tree/main/packages/tallcms/cms/resources/views/components/responsive-image.blade.php" TargetMode="External"/><Relationship Id="rId1381" Type="http://schemas.openxmlformats.org/officeDocument/2006/relationships/hyperlink" Target="https://wordpress.org/plugins/jetpack-boost/" TargetMode="External"/><Relationship Id="rId1382" Type="http://schemas.openxmlformats.org/officeDocument/2006/relationships/hyperlink" Target="https://www.drupal.org/project/cdn" TargetMode="External"/><Relationship Id="rId1383" Type="http://schemas.openxmlformats.org/officeDocument/2006/relationships/hyperlink" Target="https://craftcms.com/docs/5.x/reference/element-types/assets.html" TargetMode="External"/><Relationship Id="rId1384" Type="http://schemas.openxmlformats.org/officeDocument/2006/relationships/hyperlink" Target="https://getkirby.com/docs/reference/plugins/extensions/core-components" TargetMode="External"/><Relationship Id="rId1385" Type="http://schemas.openxmlformats.org/officeDocument/2006/relationships/hyperlink" Target="https://statamic.dev/frontend/image-manipulation" TargetMode="External"/><Relationship Id="rId1386" Type="http://schemas.openxmlformats.org/officeDocument/2006/relationships/hyperlink" Target="https://docs.octobercms.com/4.x/cms/themes/database-themes.html" TargetMode="External"/><Relationship Id="rId1387" Type="http://schemas.openxmlformats.org/officeDocument/2006/relationships/hyperlink" Target="https://toolradar.com/tools/grav/pricing" TargetMode="External"/><Relationship Id="rId1388" Type="http://schemas.openxmlformats.org/officeDocument/2006/relationships/hyperlink" Target="https://payloadcms.com/docs/upload/storage-adapters" TargetMode="External"/><Relationship Id="rId1389" Type="http://schemas.openxmlformats.org/officeDocument/2006/relationships/hyperlink" Target="https://github.com/tallcms/tallcms/blob/main/docs/site-media.md" TargetMode="External"/><Relationship Id="rId1390" Type="http://schemas.openxmlformats.org/officeDocument/2006/relationships/hyperlink" Target="https://larazeus.com/docs/sky/v5/getting-started/configuration" TargetMode="External"/><Relationship Id="rId1391" Type="http://schemas.openxmlformats.org/officeDocument/2006/relationships/hyperlink" Target="https://developer.wordpress.org/reference/functions/_prime_post_caches/" TargetMode="External"/><Relationship Id="rId1392" Type="http://schemas.openxmlformats.org/officeDocument/2006/relationships/hyperlink" Target="https://www.drupal.org/blog/drupal-11-4-0" TargetMode="External"/><Relationship Id="rId1393" Type="http://schemas.openxmlformats.org/officeDocument/2006/relationships/hyperlink" Target="https://craftcms.com/docs/5.x/development/eager-loading.html" TargetMode="External"/><Relationship Id="rId1394" Type="http://schemas.openxmlformats.org/officeDocument/2006/relationships/hyperlink" Target="https://getkirby.com/docs/guide/uuids" TargetMode="External"/><Relationship Id="rId1395" Type="http://schemas.openxmlformats.org/officeDocument/2006/relationships/hyperlink" Target="https://statamic.dev/advanced-topics/stache" TargetMode="External"/><Relationship Id="rId1396" Type="http://schemas.openxmlformats.org/officeDocument/2006/relationships/hyperlink" Target="https://docs.octobercms.com/4.x/cms/tailor/models.html" TargetMode="External"/><Relationship Id="rId1397" Type="http://schemas.openxmlformats.org/officeDocument/2006/relationships/hyperlink" Target="https://github.com/getgrav/grav/blob/develop/CHANGELOG.md" TargetMode="External"/><Relationship Id="rId1398" Type="http://schemas.openxmlformats.org/officeDocument/2006/relationships/hyperlink" Target="https://payloadcms.com/docs/queries/select" TargetMode="External"/><Relationship Id="rId1399" Type="http://schemas.openxmlformats.org/officeDocument/2006/relationships/hyperlink" Target="https://github.com/tallcms/tallcms/blob/main/docs/dev-api.md" TargetMode="External"/><Relationship Id="rId1400" Type="http://schemas.openxmlformats.org/officeDocument/2006/relationships/hyperlink" Target="https://github.com/lara-zeus/sky/blob/main/src/Livewire/Posts.php" TargetMode="External"/><Relationship Id="rId1401" Type="http://schemas.openxmlformats.org/officeDocument/2006/relationships/hyperlink" Target="https://developer.wordpress.org/plugins/cron/" TargetMode="External"/><Relationship Id="rId1402" Type="http://schemas.openxmlformats.org/officeDocument/2006/relationships/hyperlink" Target="https://www.drupal.org/docs/administering-a-drupal-site/cron-automated-tasks" TargetMode="External"/><Relationship Id="rId1403" Type="http://schemas.openxmlformats.org/officeDocument/2006/relationships/hyperlink" Target="https://craftcms.com/docs/5.x/system/queue.html" TargetMode="External"/><Relationship Id="rId1404" Type="http://schemas.openxmlformats.org/officeDocument/2006/relationships/hyperlink" Target="https://plugins.getkirby.com/bnomei/janitor" TargetMode="External"/><Relationship Id="rId1405" Type="http://schemas.openxmlformats.org/officeDocument/2006/relationships/hyperlink" Target="https://statamic.dev/advanced-topics/scheduling" TargetMode="External"/><Relationship Id="rId1406" Type="http://schemas.openxmlformats.org/officeDocument/2006/relationships/hyperlink" Target="https://docs.octobercms.com/4.x/extend/system/scheduling.html" TargetMode="External"/><Relationship Id="rId1407" Type="http://schemas.openxmlformats.org/officeDocument/2006/relationships/hyperlink" Target="https://learn.getgrav.org/17/advanced/scheduler" TargetMode="External"/><Relationship Id="rId1408" Type="http://schemas.openxmlformats.org/officeDocument/2006/relationships/hyperlink" Target="https://payloadcms.com/docs/jobs-queue/schedules" TargetMode="External"/><Relationship Id="rId1409" Type="http://schemas.openxmlformats.org/officeDocument/2006/relationships/hyperlink" Target="https://github.com/tallcms/tallcms/tree/main/packages/tallcms/cms/src/Console/Commands/CleanExpiredPreviewTokens.php" TargetMode="External"/><Relationship Id="rId1410" Type="http://schemas.openxmlformats.org/officeDocument/2006/relationships/hyperlink" Target="https://laravel.com/docs/scheduling" TargetMode="External"/><Relationship Id="rId1411" Type="http://schemas.openxmlformats.org/officeDocument/2006/relationships/hyperlink" Target="https://actionscheduler.org/" TargetMode="External"/><Relationship Id="rId1412" Type="http://schemas.openxmlformats.org/officeDocument/2006/relationships/hyperlink" Target="https://api.drupal.org/api/drupal/core!core.api.php/group/queue/11.x" TargetMode="External"/><Relationship Id="rId1413" Type="http://schemas.openxmlformats.org/officeDocument/2006/relationships/hyperlink" Target="https://craftcms.com/docs/5.x/system/queue.html" TargetMode="External"/><Relationship Id="rId1414" Type="http://schemas.openxmlformats.org/officeDocument/2006/relationships/hyperlink" Target="https://statamic.dev/frontend/search" TargetMode="External"/><Relationship Id="rId1415" Type="http://schemas.openxmlformats.org/officeDocument/2006/relationships/hyperlink" Target="https://docs.octobercms.com/4.x/extend/services/queue.html" TargetMode="External"/><Relationship Id="rId1416" Type="http://schemas.openxmlformats.org/officeDocument/2006/relationships/hyperlink" Target="https://github.com/getgrav/grav/blob/develop/CHANGELOG.md" TargetMode="External"/><Relationship Id="rId1417" Type="http://schemas.openxmlformats.org/officeDocument/2006/relationships/hyperlink" Target="https://payloadcms.com/docs/jobs-queue/overview" TargetMode="External"/><Relationship Id="rId1418" Type="http://schemas.openxmlformats.org/officeDocument/2006/relationships/hyperlink" Target="https://github.com/tallcms/tallcms/tree/main/packages/tallcms/cms/src/Jobs" TargetMode="External"/><Relationship Id="rId1419" Type="http://schemas.openxmlformats.org/officeDocument/2006/relationships/hyperlink" Target="https://laravel.com/docs/queues" TargetMode="External"/><Relationship Id="rId1420" Type="http://schemas.openxmlformats.org/officeDocument/2006/relationships/hyperlink" Target="https://wordpress.org/news/2026/08/mary-lou/" TargetMode="External"/><Relationship Id="rId1421" Type="http://schemas.openxmlformats.org/officeDocument/2006/relationships/hyperlink" Target="https://www.drupal.org/docs/drupal-apis/batch-api" TargetMode="External"/><Relationship Id="rId1422" Type="http://schemas.openxmlformats.org/officeDocument/2006/relationships/hyperlink" Target="https://craftcms.com/docs/5.x/system/queue.html" TargetMode="External"/><Relationship Id="rId1423" Type="http://schemas.openxmlformats.org/officeDocument/2006/relationships/hyperlink" Target="https://getkirby.com/docs/guide/files/resize-images-on-the-fly" TargetMode="External"/><Relationship Id="rId1424" Type="http://schemas.openxmlformats.org/officeDocument/2006/relationships/hyperlink" Target="https://statamic.dev/frontend/search" TargetMode="External"/><Relationship Id="rId1425" Type="http://schemas.openxmlformats.org/officeDocument/2006/relationships/hyperlink" Target="https://docs.octobercms.com/4.x/markup/filter/resize.html" TargetMode="External"/><Relationship Id="rId1426" Type="http://schemas.openxmlformats.org/officeDocument/2006/relationships/hyperlink" Target="https://learn.getgrav.org/20/grav-premium/ai-pro" TargetMode="External"/><Relationship Id="rId1427" Type="http://schemas.openxmlformats.org/officeDocument/2006/relationships/hyperlink" Target="https://payloadcms.com/docs/jobs-queue/overview" TargetMode="External"/><Relationship Id="rId1428" Type="http://schemas.openxmlformats.org/officeDocument/2006/relationships/hyperlink" Target="https://github.com/tallcms/tallcms/blob/main/docs/site-media.md" TargetMode="External"/><Relationship Id="rId1429" Type="http://schemas.openxmlformats.org/officeDocument/2006/relationships/hyperlink" Target="https://spatie.be/docs/laravel-medialibrary/v11/converting-images/defining-conversions" TargetMode="External"/><Relationship Id="rId1430" Type="http://schemas.openxmlformats.org/officeDocument/2006/relationships/hyperlink" Target="https://wordpress.org/about/security/" TargetMode="External"/><Relationship Id="rId1431" Type="http://schemas.openxmlformats.org/officeDocument/2006/relationships/hyperlink" Target="https://www.drupal.org/drupal-security-team" TargetMode="External"/><Relationship Id="rId1432" Type="http://schemas.openxmlformats.org/officeDocument/2006/relationships/hyperlink" Target="https://github.com/craftcms/cms/security/policy" TargetMode="External"/><Relationship Id="rId1433" Type="http://schemas.openxmlformats.org/officeDocument/2006/relationships/hyperlink" Target="https://getkirby.com/security" TargetMode="External"/><Relationship Id="rId1434" Type="http://schemas.openxmlformats.org/officeDocument/2006/relationships/hyperlink" Target="https://statamic.dev/knowledge-base/release-schedule-support-policy" TargetMode="External"/><Relationship Id="rId1435" Type="http://schemas.openxmlformats.org/officeDocument/2006/relationships/hyperlink" Target="https://octobercms.com/changelog" TargetMode="External"/><Relationship Id="rId1436" Type="http://schemas.openxmlformats.org/officeDocument/2006/relationships/hyperlink" Target="https://github.com/getgrav/grav/releases" TargetMode="External"/><Relationship Id="rId1437" Type="http://schemas.openxmlformats.org/officeDocument/2006/relationships/hyperlink" Target="https://github.com/payloadcms/payload/security" TargetMode="External"/><Relationship Id="rId1438" Type="http://schemas.openxmlformats.org/officeDocument/2006/relationships/hyperlink" Target="https://github.com/tallcms/tallcms/blob/main/SECURITY.md" TargetMode="External"/><Relationship Id="rId1439" Type="http://schemas.openxmlformats.org/officeDocument/2006/relationships/hyperlink" Target="https://github.com/lara-zeus/sky/blob/main/README.md" TargetMode="External"/><Relationship Id="rId1440" Type="http://schemas.openxmlformats.org/officeDocument/2006/relationships/hyperlink" Target="https://developer.wordpress.org/apis/security/" TargetMode="External"/><Relationship Id="rId1441" Type="http://schemas.openxmlformats.org/officeDocument/2006/relationships/hyperlink" Target="https://www.drupal.org/docs/administering-a-drupal-site/security-in-drupal" TargetMode="External"/><Relationship Id="rId1442" Type="http://schemas.openxmlformats.org/officeDocument/2006/relationships/hyperlink" Target="https://craftcms.com/docs/5.x/reference/config/general.html" TargetMode="External"/><Relationship Id="rId1443" Type="http://schemas.openxmlformats.org/officeDocument/2006/relationships/hyperlink" Target="https://getkirby.com/docs/reference/templates/helpers" TargetMode="External"/><Relationship Id="rId1444" Type="http://schemas.openxmlformats.org/officeDocument/2006/relationships/hyperlink" Target="https://statamic.dev/advanced-topics/static-caching" TargetMode="External"/><Relationship Id="rId1445" Type="http://schemas.openxmlformats.org/officeDocument/2006/relationships/hyperlink" Target="https://docs.octobercms.com/4.x/setup/configuration.html" TargetMode="External"/><Relationship Id="rId1446" Type="http://schemas.openxmlformats.org/officeDocument/2006/relationships/hyperlink" Target="https://github.com/getgrav/grav/blob/develop/CHANGELOG.md" TargetMode="External"/><Relationship Id="rId1447" Type="http://schemas.openxmlformats.org/officeDocument/2006/relationships/hyperlink" Target="https://payloadcms.com/docs/production/preventing-abuse" TargetMode="External"/><Relationship Id="rId1448" Type="http://schemas.openxmlformats.org/officeDocument/2006/relationships/hyperlink" Target="https://github.com/tallcms/tallcms/tree/main/packages/tallcms/cms/src/Services/HtmlSanitizerService.php" TargetMode="External"/><Relationship Id="rId1449" Type="http://schemas.openxmlformats.org/officeDocument/2006/relationships/hyperlink" Target="https://github.com/lara-zeus/sky/blob/main/src/Editors/RichEditor.php" TargetMode="External"/><Relationship Id="rId1450" Type="http://schemas.openxmlformats.org/officeDocument/2006/relationships/hyperlink" Target="https://jetpack.com/support/protect/" TargetMode="External"/><Relationship Id="rId1451" Type="http://schemas.openxmlformats.org/officeDocument/2006/relationships/hyperlink" Target="https://www.drupal.org/docs/administering-a-drupal-site/security-in-drupal" TargetMode="External"/><Relationship Id="rId1452" Type="http://schemas.openxmlformats.org/officeDocument/2006/relationships/hyperlink" Target="https://craftcms.com/docs/5.x/system/user-management.html" TargetMode="External"/><Relationship Id="rId1453" Type="http://schemas.openxmlformats.org/officeDocument/2006/relationships/hyperlink" Target="https://getkirby.com/docs/reference/system/options/auth" TargetMode="External"/><Relationship Id="rId1454" Type="http://schemas.openxmlformats.org/officeDocument/2006/relationships/hyperlink" Target="https://statamic.dev/control-panel/users" TargetMode="External"/><Relationship Id="rId1455" Type="http://schemas.openxmlformats.org/officeDocument/2006/relationships/hyperlink" Target="https://github.com/octobercms/october/blob/develop/modules/backend/models/UserThrottle.php" TargetMode="External"/><Relationship Id="rId1456" Type="http://schemas.openxmlformats.org/officeDocument/2006/relationships/hyperlink" Target="https://github.com/getgrav/grav-plugin-login" TargetMode="External"/><Relationship Id="rId1457" Type="http://schemas.openxmlformats.org/officeDocument/2006/relationships/hyperlink" Target="https://payloadcms.com/docs/authentication/overview" TargetMode="External"/><Relationship Id="rId1458" Type="http://schemas.openxmlformats.org/officeDocument/2006/relationships/hyperlink" Target="https://github.com/tallcms/tallcms/blob/main/docs/dev-api.md" TargetMode="External"/><Relationship Id="rId1459" Type="http://schemas.openxmlformats.org/officeDocument/2006/relationships/hyperlink" Target="https://filamentphp.com/docs/5.x/users/overview" TargetMode="External"/><Relationship Id="rId1460" Type="http://schemas.openxmlformats.org/officeDocument/2006/relationships/hyperlink" Target="https://jetpack.com/support/activity-log/" TargetMode="External"/><Relationship Id="rId1461" Type="http://schemas.openxmlformats.org/officeDocument/2006/relationships/hyperlink" Target="https://www.drupal.org/project/admin_audit_trail" TargetMode="External"/><Relationship Id="rId1462" Type="http://schemas.openxmlformats.org/officeDocument/2006/relationships/hyperlink" Target="https://packagist.org/packages/webdna/auditor" TargetMode="External"/><Relationship Id="rId1463" Type="http://schemas.openxmlformats.org/officeDocument/2006/relationships/hyperlink" Target="https://getkirby.com/plugins/michnhokn/logger" TargetMode="External"/><Relationship Id="rId1464" Type="http://schemas.openxmlformats.org/officeDocument/2006/relationships/hyperlink" Target="https://statamic.com/addons/emran-alhaddad/statamic-logbook" TargetMode="External"/><Relationship Id="rId1465" Type="http://schemas.openxmlformats.org/officeDocument/2006/relationships/hyperlink" Target="https://github.com/octobercms/october/blob/develop/modules/backend/models/AccessLog.php" TargetMode="External"/><Relationship Id="rId1466" Type="http://schemas.openxmlformats.org/officeDocument/2006/relationships/hyperlink" Target="https://github.com/getgrav/grav-plugin-api/blob/develop/CHANGELOG.md" TargetMode="External"/><Relationship Id="rId1467" Type="http://schemas.openxmlformats.org/officeDocument/2006/relationships/hyperlink" Target="https://payloadcms.com/enterprise" TargetMode="External"/><Relationship Id="rId1468" Type="http://schemas.openxmlformats.org/officeDocument/2006/relationships/hyperlink" Target="https://github.com/tallcms/tallcms/blob/main/docs/ref-filament-ecosystem.md" TargetMode="External"/><Relationship Id="rId1469" Type="http://schemas.openxmlformats.org/officeDocument/2006/relationships/hyperlink" Target="https://spatie.be/docs/laravel-activitylog" TargetMode="External"/><Relationship Id="rId1470" Type="http://schemas.openxmlformats.org/officeDocument/2006/relationships/hyperlink" Target="https://wordpress.org/documentation/article/password-best-practices/" TargetMode="External"/><Relationship Id="rId1471" Type="http://schemas.openxmlformats.org/officeDocument/2006/relationships/hyperlink" Target="https://www.drupal.org/project/password_policy" TargetMode="External"/><Relationship Id="rId1472" Type="http://schemas.openxmlformats.org/officeDocument/2006/relationships/hyperlink" Target="https://craftcms.com/docs/5.x/reference/config/general.html" TargetMode="External"/><Relationship Id="rId1473" Type="http://schemas.openxmlformats.org/officeDocument/2006/relationships/hyperlink" Target="https://getkirby.com/releases/6" TargetMode="External"/><Relationship Id="rId1474" Type="http://schemas.openxmlformats.org/officeDocument/2006/relationships/hyperlink" Target="https://statamic.dev/control-panel/users" TargetMode="External"/><Relationship Id="rId1475" Type="http://schemas.openxmlformats.org/officeDocument/2006/relationships/hyperlink" Target="https://github.com/octobercms/october/blob/develop/config/backend.php" TargetMode="External"/><Relationship Id="rId1476" Type="http://schemas.openxmlformats.org/officeDocument/2006/relationships/hyperlink" Target="https://github.com/getgrav/grav-plugin-admin2" TargetMode="External"/><Relationship Id="rId1477" Type="http://schemas.openxmlformats.org/officeDocument/2006/relationships/hyperlink" Target="https://github.com/tallcms/tallcms/tree/main/packages/tallcms/cms/src/Filament/Resources/Users/Schemas/UserForm.php" TargetMode="External"/><Relationship Id="rId1478" Type="http://schemas.openxmlformats.org/officeDocument/2006/relationships/hyperlink" Target="https://laravel.com/docs/validation" TargetMode="External"/><Relationship Id="rId1479" Type="http://schemas.openxmlformats.org/officeDocument/2006/relationships/hyperlink" Target="https://developer.wordpress.org/reference/functions/send_frame_options_header/" TargetMode="External"/><Relationship Id="rId1480" Type="http://schemas.openxmlformats.org/officeDocument/2006/relationships/hyperlink" Target="https://www.drupal.org/project/seckit" TargetMode="External"/><Relationship Id="rId1481" Type="http://schemas.openxmlformats.org/officeDocument/2006/relationships/hyperlink" Target="https://craftcms.com/docs/5.x/reference/twig/tags.html" TargetMode="External"/><Relationship Id="rId1482" Type="http://schemas.openxmlformats.org/officeDocument/2006/relationships/hyperlink" Target="https://getkirby.com/docs/reference/system/options/panel" TargetMode="External"/><Relationship Id="rId1483" Type="http://schemas.openxmlformats.org/officeDocument/2006/relationships/hyperlink" Target="https://github.com/getgrav/grav/blob/develop/CHANGELOG.md" TargetMode="External"/><Relationship Id="rId1484" Type="http://schemas.openxmlformats.org/officeDocument/2006/relationships/hyperlink" Target="https://developer.wordpress.org/reference/functions/wp_check_filetype_and_ext/" TargetMode="External"/><Relationship Id="rId1485" Type="http://schemas.openxmlformats.org/officeDocument/2006/relationships/hyperlink" Target="https://www.drupal.org/docs/administering-a-drupal-site/security-in-drupal" TargetMode="External"/><Relationship Id="rId1486" Type="http://schemas.openxmlformats.org/officeDocument/2006/relationships/hyperlink" Target="https://craftcms.com/docs/5.x/reference/config/general.html" TargetMode="External"/><Relationship Id="rId1487" Type="http://schemas.openxmlformats.org/officeDocument/2006/relationships/hyperlink" Target="https://getkirby.com/docs/guide/files/file-metadata" TargetMode="External"/><Relationship Id="rId1488" Type="http://schemas.openxmlformats.org/officeDocument/2006/relationships/hyperlink" Target="https://statamic.dev/frontend/assets" TargetMode="External"/><Relationship Id="rId1489" Type="http://schemas.openxmlformats.org/officeDocument/2006/relationships/hyperlink" Target="https://octobercms.com/support/article/rn-43" TargetMode="External"/><Relationship Id="rId1490" Type="http://schemas.openxmlformats.org/officeDocument/2006/relationships/hyperlink" Target="https://github.com/getgrav/grav/blob/develop/CHANGELOG.md" TargetMode="External"/><Relationship Id="rId1491" Type="http://schemas.openxmlformats.org/officeDocument/2006/relationships/hyperlink" Target="https://payloadcms.com/docs/upload/overview" TargetMode="External"/><Relationship Id="rId1492" Type="http://schemas.openxmlformats.org/officeDocument/2006/relationships/hyperlink" Target="https://github.com/tallcms/tallcms/blob/main/docs/dev-plugins.md" TargetMode="External"/><Relationship Id="rId1493" Type="http://schemas.openxmlformats.org/officeDocument/2006/relationships/hyperlink" Target="https://github.com/lara-zeus/sky/blob/main/src/Filament/Resources/PostResource.php" TargetMode="External"/><Relationship Id="rId1494" Type="http://schemas.openxmlformats.org/officeDocument/2006/relationships/hyperlink" Target="https://wp-cli.org/" TargetMode="External"/><Relationship Id="rId1495" Type="http://schemas.openxmlformats.org/officeDocument/2006/relationships/hyperlink" Target="https://www.drupal.org/blog/drupal-11-4-0" TargetMode="External"/><Relationship Id="rId1496" Type="http://schemas.openxmlformats.org/officeDocument/2006/relationships/hyperlink" Target="https://craftcms.com/docs/5.x/reference/cli.html" TargetMode="External"/><Relationship Id="rId1497" Type="http://schemas.openxmlformats.org/officeDocument/2006/relationships/hyperlink" Target="https://github.com/getkirby/cli" TargetMode="External"/><Relationship Id="rId1498" Type="http://schemas.openxmlformats.org/officeDocument/2006/relationships/hyperlink" Target="https://statamic.dev/advanced-topics/cli" TargetMode="External"/><Relationship Id="rId1499" Type="http://schemas.openxmlformats.org/officeDocument/2006/relationships/hyperlink" Target="https://docs.octobercms.com/4.x/element/available-commands.html" TargetMode="External"/><Relationship Id="rId1500" Type="http://schemas.openxmlformats.org/officeDocument/2006/relationships/hyperlink" Target="https://learn.getgrav.org/17/advanced/scheduler" TargetMode="External"/><Relationship Id="rId1501" Type="http://schemas.openxmlformats.org/officeDocument/2006/relationships/hyperlink" Target="https://payloadcms.com/docs/database/migrations" TargetMode="External"/><Relationship Id="rId1502" Type="http://schemas.openxmlformats.org/officeDocument/2006/relationships/hyperlink" Target="https://github.com/tallcms/tallcms/blob/main/docs/dev-cli-commands.md" TargetMode="External"/><Relationship Id="rId1503" Type="http://schemas.openxmlformats.org/officeDocument/2006/relationships/hyperlink" Target="https://github.com/lara-zeus/sky/blob/main/src/SkyServiceProvider.php" TargetMode="External"/><Relationship Id="rId1504" Type="http://schemas.openxmlformats.org/officeDocument/2006/relationships/hyperlink" Target="https://developer.wordpress.org/block-editor/reference-guides/packages/packages-create-block/" TargetMode="External"/><Relationship Id="rId1505" Type="http://schemas.openxmlformats.org/officeDocument/2006/relationships/hyperlink" Target="https://www.drush.org/latest/generators/all/" TargetMode="External"/><Relationship Id="rId1506" Type="http://schemas.openxmlformats.org/officeDocument/2006/relationships/hyperlink" Target="https://craftcms.com/docs/5.x/extend/generator.html" TargetMode="External"/><Relationship Id="rId1507" Type="http://schemas.openxmlformats.org/officeDocument/2006/relationships/hyperlink" Target="https://github.com/getkirby/cli" TargetMode="External"/><Relationship Id="rId1508" Type="http://schemas.openxmlformats.org/officeDocument/2006/relationships/hyperlink" Target="https://statamic.dev/advanced-topics/cli" TargetMode="External"/><Relationship Id="rId1509" Type="http://schemas.openxmlformats.org/officeDocument/2006/relationships/hyperlink" Target="https://docs.octobercms.com/4.x/element/available-commands.html" TargetMode="External"/><Relationship Id="rId1510" Type="http://schemas.openxmlformats.org/officeDocument/2006/relationships/hyperlink" Target="https://github.com/getgrav/grav-plugin-devtools" TargetMode="External"/><Relationship Id="rId1511" Type="http://schemas.openxmlformats.org/officeDocument/2006/relationships/hyperlink" Target="https://payloadcms.com/docs/getting-started/installation" TargetMode="External"/><Relationship Id="rId1512" Type="http://schemas.openxmlformats.org/officeDocument/2006/relationships/hyperlink" Target="https://github.com/tallcms/tallcms/blob/main/docs/dev-cli-commands.md" TargetMode="External"/><Relationship Id="rId1513" Type="http://schemas.openxmlformats.org/officeDocument/2006/relationships/hyperlink" Target="https://github.com/lara-zeus/sky/blob/main/src/Console/ZeusEditorCommand.php" TargetMode="External"/><Relationship Id="rId1514" Type="http://schemas.openxmlformats.org/officeDocument/2006/relationships/hyperlink" Target="https://developer.wordpress.org/reference/functions/dbdelta/" TargetMode="External"/><Relationship Id="rId1515" Type="http://schemas.openxmlformats.org/officeDocument/2006/relationships/hyperlink" Target="https://www.drupal.org/docs/drupal-apis/update-api" TargetMode="External"/><Relationship Id="rId1516" Type="http://schemas.openxmlformats.org/officeDocument/2006/relationships/hyperlink" Target="https://craftcms.com/docs/5.x/extend/migrations.html" TargetMode="External"/><Relationship Id="rId1517" Type="http://schemas.openxmlformats.org/officeDocument/2006/relationships/hyperlink" Target="https://statamic.dev/advanced-topics/cli" TargetMode="External"/><Relationship Id="rId1518" Type="http://schemas.openxmlformats.org/officeDocument/2006/relationships/hyperlink" Target="https://docs.octobercms.com/4.x/extend/database/structure.html" TargetMode="External"/><Relationship Id="rId1519" Type="http://schemas.openxmlformats.org/officeDocument/2006/relationships/hyperlink" Target="https://payloadcms.com/docs/database/migrations" TargetMode="External"/><Relationship Id="rId1520" Type="http://schemas.openxmlformats.org/officeDocument/2006/relationships/hyperlink" Target="https://github.com/tallcms/tallcms/blob/main/docs/dev-cli-commands.md" TargetMode="External"/><Relationship Id="rId1521" Type="http://schemas.openxmlformats.org/officeDocument/2006/relationships/hyperlink" Target="https://larazeus.com/docs/sky/v5/getting-started/installation" TargetMode="External"/><Relationship Id="rId1522" Type="http://schemas.openxmlformats.org/officeDocument/2006/relationships/hyperlink" Target="https://developer.wordpress.org/cli/commands/post/generate/" TargetMode="External"/><Relationship Id="rId1523" Type="http://schemas.openxmlformats.org/officeDocument/2006/relationships/hyperlink" Target="https://www.drupal.org/project/devel" TargetMode="External"/><Relationship Id="rId1524" Type="http://schemas.openxmlformats.org/officeDocument/2006/relationships/hyperlink" Target="https://craftcms.com/docs/4.x/testing/" TargetMode="External"/><Relationship Id="rId1525" Type="http://schemas.openxmlformats.org/officeDocument/2006/relationships/hyperlink" Target="https://docs.octobercms.com/4.x/element/available-commands.html" TargetMode="External"/><Relationship Id="rId1526" Type="http://schemas.openxmlformats.org/officeDocument/2006/relationships/hyperlink" Target="https://github.com/trilbymedia/grav-plugin-flex-objects" TargetMode="External"/><Relationship Id="rId1527" Type="http://schemas.openxmlformats.org/officeDocument/2006/relationships/hyperlink" Target="https://github.com/payloadcms/payload/tree/main/templates/website" TargetMode="External"/><Relationship Id="rId1528" Type="http://schemas.openxmlformats.org/officeDocument/2006/relationships/hyperlink" Target="https://github.com/tallcms/tallcms/blob/main/docs/ref-roles-authorization.md" TargetMode="External"/><Relationship Id="rId1529" Type="http://schemas.openxmlformats.org/officeDocument/2006/relationships/hyperlink" Target="https://github.com/lara-zeus/sky/blob/main/database/seeders/SkySeeder.php" TargetMode="External"/><Relationship Id="rId1530" Type="http://schemas.openxmlformats.org/officeDocument/2006/relationships/hyperlink" Target="https://developer.wordpress.org/block-editor/reference-guides/packages/packages-env/" TargetMode="External"/><Relationship Id="rId1531" Type="http://schemas.openxmlformats.org/officeDocument/2006/relationships/hyperlink" Target="https://www.drupal.org/docs/develop/automated-testing" TargetMode="External"/><Relationship Id="rId1532" Type="http://schemas.openxmlformats.org/officeDocument/2006/relationships/hyperlink" Target="https://docs.craftcms.com/api/v5/craft-test-craft.html" TargetMode="External"/><Relationship Id="rId1533" Type="http://schemas.openxmlformats.org/officeDocument/2006/relationships/hyperlink" Target="https://statamic.dev/addons/testing" TargetMode="External"/><Relationship Id="rId1534" Type="http://schemas.openxmlformats.org/officeDocument/2006/relationships/hyperlink" Target="https://docs.octobercms.com/4.x/extend/system/unit-testing.html" TargetMode="External"/><Relationship Id="rId1535" Type="http://schemas.openxmlformats.org/officeDocument/2006/relationships/hyperlink" Target="https://github.com/getgrav/grav" TargetMode="External"/><Relationship Id="rId1536" Type="http://schemas.openxmlformats.org/officeDocument/2006/relationships/hyperlink" Target="https://github.com/payloadcms/payload/tree/main/templates/website" TargetMode="External"/><Relationship Id="rId1537" Type="http://schemas.openxmlformats.org/officeDocument/2006/relationships/hyperlink" Target="https://github.com/tallcms/tallcms/tree/main/packages/tallcms/cms/tests" TargetMode="External"/><Relationship Id="rId1538" Type="http://schemas.openxmlformats.org/officeDocument/2006/relationships/hyperlink" Target="https://github.com/lara-zeus/sky/blob/main/tests/TestCase.php" TargetMode="External"/><Relationship Id="rId1539" Type="http://schemas.openxmlformats.org/officeDocument/2006/relationships/hyperlink" Target="https://developer.wordpress.org/advanced-administration/debug/debug-wordpress/" TargetMode="External"/><Relationship Id="rId1540" Type="http://schemas.openxmlformats.org/officeDocument/2006/relationships/hyperlink" Target="https://www.drupal.org/project/webprofiler" TargetMode="External"/><Relationship Id="rId1541" Type="http://schemas.openxmlformats.org/officeDocument/2006/relationships/hyperlink" Target="https://github.com/craftcms/cms/blob/5.x/CHANGELOG.md" TargetMode="External"/><Relationship Id="rId1542" Type="http://schemas.openxmlformats.org/officeDocument/2006/relationships/hyperlink" Target="https://plugins.getkirby.com/topics/analytics" TargetMode="External"/><Relationship Id="rId1543" Type="http://schemas.openxmlformats.org/officeDocument/2006/relationships/hyperlink" Target="https://statamic.dev/advanced-topics/debugging" TargetMode="External"/><Relationship Id="rId1544" Type="http://schemas.openxmlformats.org/officeDocument/2006/relationships/hyperlink" Target="https://docs.octobercms.com/4.x/resources/debugbar.html" TargetMode="External"/><Relationship Id="rId1545" Type="http://schemas.openxmlformats.org/officeDocument/2006/relationships/hyperlink" Target="https://github.com/getgrav/grav/blob/develop/composer.json" TargetMode="External"/><Relationship Id="rId1546" Type="http://schemas.openxmlformats.org/officeDocument/2006/relationships/hyperlink" Target="https://payloadcms.com/docs/plugins/sentry" TargetMode="External"/><Relationship Id="rId1547" Type="http://schemas.openxmlformats.org/officeDocument/2006/relationships/hyperlink" Target="https://laravel.com/docs/telescope" TargetMode="External"/><Relationship Id="rId1548" Type="http://schemas.openxmlformats.org/officeDocument/2006/relationships/hyperlink" Target="https://github.com/mglaman/phpstan-drupal" TargetMode="External"/><Relationship Id="rId1549" Type="http://schemas.openxmlformats.org/officeDocument/2006/relationships/hyperlink" Target="https://github.com/craftcms/phpstan" TargetMode="External"/><Relationship Id="rId1550" Type="http://schemas.openxmlformats.org/officeDocument/2006/relationships/hyperlink" Target="https://getkirby.com/releases/5" TargetMode="External"/><Relationship Id="rId1551" Type="http://schemas.openxmlformats.org/officeDocument/2006/relationships/hyperlink" Target="https://github.com/getgrav/grav/blob/develop/composer.json" TargetMode="External"/><Relationship Id="rId1552" Type="http://schemas.openxmlformats.org/officeDocument/2006/relationships/hyperlink" Target="https://payloadcms.com/docs/typescript/generating-types" TargetMode="External"/><Relationship Id="rId1553" Type="http://schemas.openxmlformats.org/officeDocument/2006/relationships/hyperlink" Target="https://github.com/lara-zeus/sky/blob/main/src/Models/Post.php" TargetMode="External"/><Relationship Id="rId1554" Type="http://schemas.openxmlformats.org/officeDocument/2006/relationships/hyperlink" Target="https://developer.wordpress.org/" TargetMode="External"/><Relationship Id="rId1555" Type="http://schemas.openxmlformats.org/officeDocument/2006/relationships/hyperlink" Target="https://api.drupal.org/" TargetMode="External"/><Relationship Id="rId1556" Type="http://schemas.openxmlformats.org/officeDocument/2006/relationships/hyperlink" Target="https://craftcms.com/docs/5.x/" TargetMode="External"/><Relationship Id="rId1557" Type="http://schemas.openxmlformats.org/officeDocument/2006/relationships/hyperlink" Target="https://getkirby.com/docs/" TargetMode="External"/><Relationship Id="rId1558" Type="http://schemas.openxmlformats.org/officeDocument/2006/relationships/hyperlink" Target="https://statamic.dev/" TargetMode="External"/><Relationship Id="rId1559" Type="http://schemas.openxmlformats.org/officeDocument/2006/relationships/hyperlink" Target="https://docs.octobercms.com/4.x/" TargetMode="External"/><Relationship Id="rId1560" Type="http://schemas.openxmlformats.org/officeDocument/2006/relationships/hyperlink" Target="https://learn.getgrav.org/20/grav-premium" TargetMode="External"/><Relationship Id="rId1561" Type="http://schemas.openxmlformats.org/officeDocument/2006/relationships/hyperlink" Target="https://payloadcms.com/docs/" TargetMode="External"/><Relationship Id="rId1562" Type="http://schemas.openxmlformats.org/officeDocument/2006/relationships/hyperlink" Target="https://github.com/tallcms/tallcms/blob/main/docs/README.md" TargetMode="External"/><Relationship Id="rId1563" Type="http://schemas.openxmlformats.org/officeDocument/2006/relationships/hyperlink" Target="https://larazeus.com/docs/sky/v5/introduction" TargetMode="External"/><Relationship Id="rId1564" Type="http://schemas.openxmlformats.org/officeDocument/2006/relationships/hyperlink" Target="https://developer.wordpress.org/advanced-administration/before-install/howto-install/" TargetMode="External"/><Relationship Id="rId1565" Type="http://schemas.openxmlformats.org/officeDocument/2006/relationships/hyperlink" Target="https://project.pages.drupalcode.org/drupal_cms/get-started/install/" TargetMode="External"/><Relationship Id="rId1566" Type="http://schemas.openxmlformats.org/officeDocument/2006/relationships/hyperlink" Target="https://craftcms.com/docs/5.x/install.html" TargetMode="External"/><Relationship Id="rId1567" Type="http://schemas.openxmlformats.org/officeDocument/2006/relationships/hyperlink" Target="https://getkirby.com/docs/guide/quickstart" TargetMode="External"/><Relationship Id="rId1568" Type="http://schemas.openxmlformats.org/officeDocument/2006/relationships/hyperlink" Target="https://statamic.dev/getting-started/installing" TargetMode="External"/><Relationship Id="rId1569" Type="http://schemas.openxmlformats.org/officeDocument/2006/relationships/hyperlink" Target="https://docs.octobercms.com/4.x/setup/installation.html" TargetMode="External"/><Relationship Id="rId1570" Type="http://schemas.openxmlformats.org/officeDocument/2006/relationships/hyperlink" Target="https://github.com/getgrav/grav-plugin-admin2" TargetMode="External"/><Relationship Id="rId1571" Type="http://schemas.openxmlformats.org/officeDocument/2006/relationships/hyperlink" Target="https://github.com/tallcms/tallcms/blob/main/docs/gs-installation.md" TargetMode="External"/><Relationship Id="rId1572" Type="http://schemas.openxmlformats.org/officeDocument/2006/relationships/hyperlink" Target="https://larazeus.com/docs/sky/v5/getting-started/installation" TargetMode="External"/><Relationship Id="rId1573" Type="http://schemas.openxmlformats.org/officeDocument/2006/relationships/hyperlink" Target="https://developer.wordpress.org/cli/commands/core/" TargetMode="External"/><Relationship Id="rId1574" Type="http://schemas.openxmlformats.org/officeDocument/2006/relationships/hyperlink" Target="https://www.drupal.org/docs/getting-started/installing-drupal" TargetMode="External"/><Relationship Id="rId1575" Type="http://schemas.openxmlformats.org/officeDocument/2006/relationships/hyperlink" Target="https://craftcms.com/docs/5.x/install.html" TargetMode="External"/><Relationship Id="rId1576" Type="http://schemas.openxmlformats.org/officeDocument/2006/relationships/hyperlink" Target="https://getkirby.com/docs/guide/quickstart" TargetMode="External"/><Relationship Id="rId1577" Type="http://schemas.openxmlformats.org/officeDocument/2006/relationships/hyperlink" Target="https://statamic.dev/getting-started/installing" TargetMode="External"/><Relationship Id="rId1578" Type="http://schemas.openxmlformats.org/officeDocument/2006/relationships/hyperlink" Target="https://docs.octobercms.com/4.x/setup/installation.html" TargetMode="External"/><Relationship Id="rId1579" Type="http://schemas.openxmlformats.org/officeDocument/2006/relationships/hyperlink" Target="https://github.com/getgrav/grav/blob/develop/composer.json" TargetMode="External"/><Relationship Id="rId1580" Type="http://schemas.openxmlformats.org/officeDocument/2006/relationships/hyperlink" Target="https://payloadcms.com/docs/getting-started/installation" TargetMode="External"/><Relationship Id="rId1581" Type="http://schemas.openxmlformats.org/officeDocument/2006/relationships/hyperlink" Target="https://github.com/tallcms/tallcms/blob/main/docs/gs-installation.md" TargetMode="External"/><Relationship Id="rId1582" Type="http://schemas.openxmlformats.org/officeDocument/2006/relationships/hyperlink" Target="https://larazeus.com/docs/sky/v5/getting-started/installation" TargetMode="External"/><Relationship Id="rId1583" Type="http://schemas.openxmlformats.org/officeDocument/2006/relationships/hyperlink" Target="https://wordpress.org/documentation/article/updating-wordpress/" TargetMode="External"/><Relationship Id="rId1584" Type="http://schemas.openxmlformats.org/officeDocument/2006/relationships/hyperlink" Target="https://www.drupal.org/project/automatic_updates" TargetMode="External"/><Relationship Id="rId1585" Type="http://schemas.openxmlformats.org/officeDocument/2006/relationships/hyperlink" Target="https://craftcms.com/docs/5.x/reference/config/general.html" TargetMode="External"/><Relationship Id="rId1586" Type="http://schemas.openxmlformats.org/officeDocument/2006/relationships/hyperlink" Target="https://getkirby.com/docs/reference/system/options/updates" TargetMode="External"/><Relationship Id="rId1587" Type="http://schemas.openxmlformats.org/officeDocument/2006/relationships/hyperlink" Target="https://statamic.dev/getting-started/updating" TargetMode="External"/><Relationship Id="rId1588" Type="http://schemas.openxmlformats.org/officeDocument/2006/relationships/hyperlink" Target="https://docs.octobercms.com/4.x/resources/updating-october.html" TargetMode="External"/><Relationship Id="rId1589" Type="http://schemas.openxmlformats.org/officeDocument/2006/relationships/hyperlink" Target="https://github.com/getgrav/grav-plugin-admin2" TargetMode="External"/><Relationship Id="rId1590" Type="http://schemas.openxmlformats.org/officeDocument/2006/relationships/hyperlink" Target="https://github.com/tallcms/tallcms/blob/main/docs/ref-updating.md" TargetMode="External"/><Relationship Id="rId1591" Type="http://schemas.openxmlformats.org/officeDocument/2006/relationships/hyperlink" Target="https://wordpress.org/documentation/article/plugins-themes-auto-updates/" TargetMode="External"/><Relationship Id="rId1592" Type="http://schemas.openxmlformats.org/officeDocument/2006/relationships/hyperlink" Target="https://www.drupal.org/project/automatic_updates" TargetMode="External"/><Relationship Id="rId1593" Type="http://schemas.openxmlformats.org/officeDocument/2006/relationships/hyperlink" Target="https://statamic.dev/getting-started/updating" TargetMode="External"/><Relationship Id="rId1594" Type="http://schemas.openxmlformats.org/officeDocument/2006/relationships/hyperlink" Target="https://github.com/tallcms/tallcms/blob/main/docs/ref-updating.md" TargetMode="External"/><Relationship Id="rId1595" Type="http://schemas.openxmlformats.org/officeDocument/2006/relationships/hyperlink" Target="https://developer.wordpress.org/reference/functions/wp_maintenance/" TargetMode="External"/><Relationship Id="rId1596" Type="http://schemas.openxmlformats.org/officeDocument/2006/relationships/hyperlink" Target="https://www.drupal.org/docs/user_guide/en/extend-maintenance.html" TargetMode="External"/><Relationship Id="rId1597" Type="http://schemas.openxmlformats.org/officeDocument/2006/relationships/hyperlink" Target="https://craftcms.com/docs/5.x/reference/config/general.html" TargetMode="External"/><Relationship Id="rId1598" Type="http://schemas.openxmlformats.org/officeDocument/2006/relationships/hyperlink" Target="https://plugins.getkirby.com/topics/routing" TargetMode="External"/><Relationship Id="rId1599" Type="http://schemas.openxmlformats.org/officeDocument/2006/relationships/hyperlink" Target="https://docs.octobercms.com/4.x/cms/multisite/multisite.html" TargetMode="External"/><Relationship Id="rId1600" Type="http://schemas.openxmlformats.org/officeDocument/2006/relationships/hyperlink" Target="https://github.com/getgrav/grav-plugin-maintenance" TargetMode="External"/><Relationship Id="rId1601" Type="http://schemas.openxmlformats.org/officeDocument/2006/relationships/hyperlink" Target="https://github.com/tallcms/tallcms/blob/main/docs/site-settings.md" TargetMode="External"/><Relationship Id="rId1602" Type="http://schemas.openxmlformats.org/officeDocument/2006/relationships/hyperlink" Target="https://laravel.com/docs/configuration" TargetMode="External"/><Relationship Id="rId1603" Type="http://schemas.openxmlformats.org/officeDocument/2006/relationships/hyperlink" Target="https://wordpress.org/about/requirements/" TargetMode="External"/><Relationship Id="rId1604" Type="http://schemas.openxmlformats.org/officeDocument/2006/relationships/hyperlink" Target="https://project.pages.drupalcode.org/drupal_cms/customize/hosting/" TargetMode="External"/><Relationship Id="rId1605" Type="http://schemas.openxmlformats.org/officeDocument/2006/relationships/hyperlink" Target="https://craftcms.com/docs/5.x/requirements.html" TargetMode="External"/><Relationship Id="rId1606" Type="http://schemas.openxmlformats.org/officeDocument/2006/relationships/hyperlink" Target="https://getkirby.com/docs/guide/migration" TargetMode="External"/><Relationship Id="rId1607" Type="http://schemas.openxmlformats.org/officeDocument/2006/relationships/hyperlink" Target="https://statamic.dev/knowledge-base/recommended-hosts" TargetMode="External"/><Relationship Id="rId1608" Type="http://schemas.openxmlformats.org/officeDocument/2006/relationships/hyperlink" Target="https://docs.octobercms.com/4.x/setup/installation.html" TargetMode="External"/><Relationship Id="rId1609" Type="http://schemas.openxmlformats.org/officeDocument/2006/relationships/hyperlink" Target="https://github.com/getgrav/grav-plugin-api" TargetMode="External"/><Relationship Id="rId1610" Type="http://schemas.openxmlformats.org/officeDocument/2006/relationships/hyperlink" Target="https://payloadcms.com/docs/production/deployment" TargetMode="External"/><Relationship Id="rId1611" Type="http://schemas.openxmlformats.org/officeDocument/2006/relationships/hyperlink" Target="https://github.com/tallcms/tallcms/blob/main/docs/gs-installation.md" TargetMode="External"/><Relationship Id="rId1612" Type="http://schemas.openxmlformats.org/officeDocument/2006/relationships/hyperlink" Target="https://larazeus.com/docs/sky/v5/getting-started/installation" TargetMode="External"/><Relationship Id="rId1613" Type="http://schemas.openxmlformats.org/officeDocument/2006/relationships/hyperlink" Target="https://wordpress.org/plugins/ai/" TargetMode="External"/><Relationship Id="rId1614" Type="http://schemas.openxmlformats.org/officeDocument/2006/relationships/hyperlink" Target="https://www.drupal.org/project/ai" TargetMode="External"/><Relationship Id="rId1615" Type="http://schemas.openxmlformats.org/officeDocument/2006/relationships/hyperlink" Target="https://plugins.craftcms.com/categories/ai" TargetMode="External"/><Relationship Id="rId1616" Type="http://schemas.openxmlformats.org/officeDocument/2006/relationships/hyperlink" Target="https://plugins.getkirby.com/topics/ai" TargetMode="External"/><Relationship Id="rId1617" Type="http://schemas.openxmlformats.org/officeDocument/2006/relationships/hyperlink" Target="https://statamic.com/newsletter/2026-08" TargetMode="External"/><Relationship Id="rId1618" Type="http://schemas.openxmlformats.org/officeDocument/2006/relationships/hyperlink" Target="https://octobercms.com/plugins?search=ai" TargetMode="External"/><Relationship Id="rId1619" Type="http://schemas.openxmlformats.org/officeDocument/2006/relationships/hyperlink" Target="https://learn.getgrav.org/20/grav-premium/ai-pro" TargetMode="External"/><Relationship Id="rId1620" Type="http://schemas.openxmlformats.org/officeDocument/2006/relationships/hyperlink" Target="https://payloadcms.com/enterprise" TargetMode="External"/><Relationship Id="rId1621" Type="http://schemas.openxmlformats.org/officeDocument/2006/relationships/hyperlink" Target="https://wordpress.org/plugins/ai/" TargetMode="External"/><Relationship Id="rId1622" Type="http://schemas.openxmlformats.org/officeDocument/2006/relationships/hyperlink" Target="https://www.drupal.org/project/ai" TargetMode="External"/><Relationship Id="rId1623" Type="http://schemas.openxmlformats.org/officeDocument/2006/relationships/hyperlink" Target="https://packagist.org/packages/digitalpulsebe/craft-deepl-translator" TargetMode="External"/><Relationship Id="rId1624" Type="http://schemas.openxmlformats.org/officeDocument/2006/relationships/hyperlink" Target="https://plugins.getkirby.com/johannschopplich/content-translator" TargetMode="External"/><Relationship Id="rId1625" Type="http://schemas.openxmlformats.org/officeDocument/2006/relationships/hyperlink" Target="https://statamic.com/addons/awl/deepl" TargetMode="External"/><Relationship Id="rId1626" Type="http://schemas.openxmlformats.org/officeDocument/2006/relationships/hyperlink" Target="https://learn.getgrav.org/20/grav-premium" TargetMode="External"/><Relationship Id="rId1627" Type="http://schemas.openxmlformats.org/officeDocument/2006/relationships/hyperlink" Target="https://payloadcms.com/enterprise" TargetMode="External"/><Relationship Id="rId1628" Type="http://schemas.openxmlformats.org/officeDocument/2006/relationships/hyperlink" Target="https://github.com/tallcms/tallcms/tree/main/packages/tallcms/cms/src/Filament/Concerns/HasTranslationCopying.php" TargetMode="External"/><Relationship Id="rId1629" Type="http://schemas.openxmlformats.org/officeDocument/2006/relationships/hyperlink" Target="https://wordpress.org/plugins/ai/" TargetMode="External"/><Relationship Id="rId1630" Type="http://schemas.openxmlformats.org/officeDocument/2006/relationships/hyperlink" Target="https://project.pages.drupalcode.org/drupal_cms/customize/ai-tools/" TargetMode="External"/><Relationship Id="rId1631" Type="http://schemas.openxmlformats.org/officeDocument/2006/relationships/hyperlink" Target="https://plugins.craftcms.com/altpilot" TargetMode="External"/><Relationship Id="rId1632" Type="http://schemas.openxmlformats.org/officeDocument/2006/relationships/hyperlink" Target="https://plugins.getkirby.com/topics/ai" TargetMode="External"/><Relationship Id="rId1633" Type="http://schemas.openxmlformats.org/officeDocument/2006/relationships/hyperlink" Target="https://statamic.com/addons/croox/ai-alt-text" TargetMode="External"/><Relationship Id="rId1634" Type="http://schemas.openxmlformats.org/officeDocument/2006/relationships/hyperlink" Target="https://octobercms.com/plugins?search=openai" TargetMode="External"/><Relationship Id="rId1635" Type="http://schemas.openxmlformats.org/officeDocument/2006/relationships/hyperlink" Target="https://github.com/tallcms/tallcms/blob/main/docs/site-media.md" TargetMode="External"/><Relationship Id="rId1636" Type="http://schemas.openxmlformats.org/officeDocument/2006/relationships/hyperlink" Target="https://wordpress.org/plugins/vecpost/" TargetMode="External"/><Relationship Id="rId1637" Type="http://schemas.openxmlformats.org/officeDocument/2006/relationships/hyperlink" Target="https://www.drupal.org/project/ai" TargetMode="External"/><Relationship Id="rId1638" Type="http://schemas.openxmlformats.org/officeDocument/2006/relationships/hyperlink" Target="https://www.viget.com/articles/ai-powered-craft-search-with-meilisearch/" TargetMode="External"/><Relationship Id="rId1639" Type="http://schemas.openxmlformats.org/officeDocument/2006/relationships/hyperlink" Target="https://plugins.getkirby.com/topics/ai" TargetMode="External"/><Relationship Id="rId1640" Type="http://schemas.openxmlformats.org/officeDocument/2006/relationships/hyperlink" Target="https://octobercms.com/plugins?search=search" TargetMode="External"/><Relationship Id="rId1641" Type="http://schemas.openxmlformats.org/officeDocument/2006/relationships/hyperlink" Target="https://learn.getgrav.org/20/grav-premium/yetisearch-pro" TargetMode="External"/><Relationship Id="rId1642" Type="http://schemas.openxmlformats.org/officeDocument/2006/relationships/hyperlink" Target="https://payloadcms.com/enterprise" TargetMode="External"/><Relationship Id="rId1643" Type="http://schemas.openxmlformats.org/officeDocument/2006/relationships/hyperlink" Target="https://github.com/tallcms/tallcms/blob/main/docs/ref-search.md" TargetMode="External"/><Relationship Id="rId1644" Type="http://schemas.openxmlformats.org/officeDocument/2006/relationships/hyperlink" Target="https://make.wordpress.org/ai/tag/mcp-release/" TargetMode="External"/><Relationship Id="rId1645" Type="http://schemas.openxmlformats.org/officeDocument/2006/relationships/hyperlink" Target="https://www.drupal.org/project/mcp_server" TargetMode="External"/><Relationship Id="rId1646" Type="http://schemas.openxmlformats.org/officeDocument/2006/relationships/hyperlink" Target="https://plugins.craftcms.com/mcp" TargetMode="External"/><Relationship Id="rId1647" Type="http://schemas.openxmlformats.org/officeDocument/2006/relationships/hyperlink" Target="https://plugins.getkirby.com/bnomei/kirby-mcp" TargetMode="External"/><Relationship Id="rId1648" Type="http://schemas.openxmlformats.org/officeDocument/2006/relationships/hyperlink" Target="https://packagist.org/packages/cboxdk/statamic-mcp" TargetMode="External"/><Relationship Id="rId1649" Type="http://schemas.openxmlformats.org/officeDocument/2006/relationships/hyperlink" Target="https://docs.octobercms.com/4.x/resources/ai-boost.html" TargetMode="External"/><Relationship Id="rId1650" Type="http://schemas.openxmlformats.org/officeDocument/2006/relationships/hyperlink" Target="https://github.com/getgrav/grav-mcp" TargetMode="External"/><Relationship Id="rId1651" Type="http://schemas.openxmlformats.org/officeDocument/2006/relationships/hyperlink" Target="https://payloadcms.com/docs/plugins/mcp" TargetMode="External"/><Relationship Id="rId1652" Type="http://schemas.openxmlformats.org/officeDocument/2006/relationships/hyperlink" Target="https://github.com/tallcms/tallcms/tree/main/packages/tallcms/cms/src/Http/Controllers/LlmsTxtController.php" TargetMode="External"/><Relationship Id="rId1653" Type="http://schemas.openxmlformats.org/officeDocument/2006/relationships/hyperlink" Target="https://wordpress.org/documentation/article/tools-export-personal-data-screen/" TargetMode="External"/><Relationship Id="rId1654" Type="http://schemas.openxmlformats.org/officeDocument/2006/relationships/hyperlink" Target="https://www.drupal.org/project/gdpr" TargetMode="External"/><Relationship Id="rId1655" Type="http://schemas.openxmlformats.org/officeDocument/2006/relationships/hyperlink" Target="https://craftcms.com/docs/5.x/system/user-management.html" TargetMode="External"/><Relationship Id="rId1656" Type="http://schemas.openxmlformats.org/officeDocument/2006/relationships/hyperlink" Target="https://packagist.org/packages/steetshub/statamic-forms-gdpr" TargetMode="External"/><Relationship Id="rId1657" Type="http://schemas.openxmlformats.org/officeDocument/2006/relationships/hyperlink" Target="https://octobercms.com/plugin/offline-gdpr" TargetMode="External"/><Relationship Id="rId1658" Type="http://schemas.openxmlformats.org/officeDocument/2006/relationships/hyperlink" Target="https://learn.getgrav.org/20/grav-premium/mailroom" TargetMode="External"/><Relationship Id="rId1659" Type="http://schemas.openxmlformats.org/officeDocument/2006/relationships/hyperlink" Target="https://wordpress.org/plugins/wp-consent-api/" TargetMode="External"/><Relationship Id="rId1660" Type="http://schemas.openxmlformats.org/officeDocument/2006/relationships/hyperlink" Target="https://project.pages.drupalcode.org/drupal_cms/customize/consent/" TargetMode="External"/><Relationship Id="rId1661" Type="http://schemas.openxmlformats.org/officeDocument/2006/relationships/hyperlink" Target="https://plugins.craftcms.com/cookie-banner" TargetMode="External"/><Relationship Id="rId1662" Type="http://schemas.openxmlformats.org/officeDocument/2006/relationships/hyperlink" Target="https://plugins.getkirby.com/topics/privacy" TargetMode="External"/><Relationship Id="rId1663" Type="http://schemas.openxmlformats.org/officeDocument/2006/relationships/hyperlink" Target="https://statamic.com/marketplace/addons/cookie-notice" TargetMode="External"/><Relationship Id="rId1664" Type="http://schemas.openxmlformats.org/officeDocument/2006/relationships/hyperlink" Target="https://octobercms.com/plugin/offline-gdpr" TargetMode="External"/><Relationship Id="rId1665" Type="http://schemas.openxmlformats.org/officeDocument/2006/relationships/hyperlink" Target="https://github.com/naucon/grav-plugin-cookieconsent" TargetMode="External"/><Relationship Id="rId1666" Type="http://schemas.openxmlformats.org/officeDocument/2006/relationships/hyperlink" Target="https://github.com/tallcms/tallcms/blob/main/docs/site-code-injection.md" TargetMode="External"/><Relationship Id="rId1667" Type="http://schemas.openxmlformats.org/officeDocument/2006/relationships/hyperlink" Target="https://wordpress.org/documentation/article/settings-privacy-screen/" TargetMode="External"/><Relationship Id="rId1668" Type="http://schemas.openxmlformats.org/officeDocument/2006/relationships/hyperlink" Target="https://project.pages.drupalcode.org/drupal_cms/customize/privacy-policy/" TargetMode="External"/><Relationship Id="rId1669" Type="http://schemas.openxmlformats.org/officeDocument/2006/relationships/hyperlink" Target="https://github.com/lara-zeus/sky/blob/main/src/Filament/Resources/PageResource.php" TargetMode="External"/><Relationship Id="rId1670" Type="http://schemas.openxmlformats.org/officeDocument/2006/relationships/hyperlink" Target="https://developer.wordpress.org/reference/functions/wp_privacy_anonymize_data/" TargetMode="External"/><Relationship Id="rId1671" Type="http://schemas.openxmlformats.org/officeDocument/2006/relationships/hyperlink" Target="https://www.drupal.org/docs/user_guide/en/user-cancel.html" TargetMode="External"/><Relationship Id="rId1672" Type="http://schemas.openxmlformats.org/officeDocument/2006/relationships/hyperlink" Target="https://learn.getgrav.org/17/basics/grav-configuration" TargetMode="External"/><Relationship Id="rId1673" Type="http://schemas.openxmlformats.org/officeDocument/2006/relationships/hyperlink" Target="https://www.drupal.org/docs/core-modules-and-themes/core-modules/dblog-module" TargetMode="External"/><Relationship Id="rId1674" Type="http://schemas.openxmlformats.org/officeDocument/2006/relationships/hyperlink" Target="https://craftcms.com/docs/5.x/reference/config/general.html" TargetMode="External"/><Relationship Id="rId1675" Type="http://schemas.openxmlformats.org/officeDocument/2006/relationships/hyperlink" Target="https://statamic.dev/frontend/forms" TargetMode="External"/><Relationship Id="rId1676" Type="http://schemas.openxmlformats.org/officeDocument/2006/relationships/hyperlink" Target="https://docs.octobercms.com/4.x/cms/tailor/blueprints.html" TargetMode="External"/><Relationship Id="rId1677" Type="http://schemas.openxmlformats.org/officeDocument/2006/relationships/hyperlink" Target="https://learn.getgrav.org/20/grav-premium/revisions-pro" TargetMode="External"/><Relationship Id="rId1678" Type="http://schemas.openxmlformats.org/officeDocument/2006/relationships/hyperlink" Target="https://payloadcms.com/docs/versions/overview" TargetMode="External"/><Relationship Id="rId1679" Type="http://schemas.openxmlformats.org/officeDocument/2006/relationships/hyperlink" Target="https://github.com/tallcms/tallcms/blob/main/docs/ref-publishing.md" TargetMode="External"/><Relationship Id="rId1680" Type="http://schemas.openxmlformats.org/officeDocument/2006/relationships/hyperlink" Target="https://wordpress.org/documentation/article/dashboard-screen/" TargetMode="External"/><Relationship Id="rId1681" Type="http://schemas.openxmlformats.org/officeDocument/2006/relationships/hyperlink" Target="https://www.drupal.org/project/dashboard" TargetMode="External"/><Relationship Id="rId1682" Type="http://schemas.openxmlformats.org/officeDocument/2006/relationships/hyperlink" Target="https://craftcms.com/docs/5.x/system/control-panel.html" TargetMode="External"/><Relationship Id="rId1683" Type="http://schemas.openxmlformats.org/officeDocument/2006/relationships/hyperlink" Target="https://getkirby.com/docs/reference/panel/sections/stats" TargetMode="External"/><Relationship Id="rId1684" Type="http://schemas.openxmlformats.org/officeDocument/2006/relationships/hyperlink" Target="https://statamic.dev/control-panel/dashboard" TargetMode="External"/><Relationship Id="rId1685" Type="http://schemas.openxmlformats.org/officeDocument/2006/relationships/hyperlink" Target="https://docs.octobercms.com/4.x/extend/dashboards/dash-controller.html" TargetMode="External"/><Relationship Id="rId1686" Type="http://schemas.openxmlformats.org/officeDocument/2006/relationships/hyperlink" Target="https://github.com/getgrav/grav-plugin-admin2" TargetMode="External"/><Relationship Id="rId1687" Type="http://schemas.openxmlformats.org/officeDocument/2006/relationships/hyperlink" Target="https://payloadcms.com/docs/custom-components/dashboard" TargetMode="External"/><Relationship Id="rId1688" Type="http://schemas.openxmlformats.org/officeDocument/2006/relationships/hyperlink" Target="https://github.com/tallcms/tallcms/tree/main/packages/tallcms/cms/src/Filament/Widgets" TargetMode="External"/><Relationship Id="rId1689" Type="http://schemas.openxmlformats.org/officeDocument/2006/relationships/hyperlink" Target="https://larazeus.com/docs/sky/v5/getting-started/configuration" TargetMode="External"/><Relationship Id="rId1690" Type="http://schemas.openxmlformats.org/officeDocument/2006/relationships/hyperlink" Target="https://jetpack.com/support/jetpack-stats/" TargetMode="External"/><Relationship Id="rId1691" Type="http://schemas.openxmlformats.org/officeDocument/2006/relationships/hyperlink" Target="https://www.thedroptimes.com/node/40259" TargetMode="External"/><Relationship Id="rId1692" Type="http://schemas.openxmlformats.org/officeDocument/2006/relationships/hyperlink" Target="https://plugins.craftcms.com/insights" TargetMode="External"/><Relationship Id="rId1693" Type="http://schemas.openxmlformats.org/officeDocument/2006/relationships/hyperlink" Target="https://plugins.getkirby.com/topics/analytics" TargetMode="External"/><Relationship Id="rId1694" Type="http://schemas.openxmlformats.org/officeDocument/2006/relationships/hyperlink" Target="https://statamic.com/newsletter/2026-08" TargetMode="External"/><Relationship Id="rId1695" Type="http://schemas.openxmlformats.org/officeDocument/2006/relationships/hyperlink" Target="https://octobercms.com/support/article/rn-40" TargetMode="External"/><Relationship Id="rId1696" Type="http://schemas.openxmlformats.org/officeDocument/2006/relationships/hyperlink" Target="https://github.com/tallcms/tallcms/blob/main/docs/ref-pro-plugin-changelog.md" TargetMode="External"/><Relationship Id="rId1697" Type="http://schemas.openxmlformats.org/officeDocument/2006/relationships/hyperlink" Target="https://wordpress.org/plugins/google-site-kit/" TargetMode="External"/><Relationship Id="rId1698" Type="http://schemas.openxmlformats.org/officeDocument/2006/relationships/hyperlink" Target="https://project.pages.drupalcode.org/drupal_cms/promote/google-analytics/" TargetMode="External"/><Relationship Id="rId1699" Type="http://schemas.openxmlformats.org/officeDocument/2006/relationships/hyperlink" Target="https://plugins.craftcms.com/seomatic" TargetMode="External"/><Relationship Id="rId1700" Type="http://schemas.openxmlformats.org/officeDocument/2006/relationships/hyperlink" Target="https://plugins.getkirby.com/topics/analytics" TargetMode="External"/><Relationship Id="rId1701" Type="http://schemas.openxmlformats.org/officeDocument/2006/relationships/hyperlink" Target="https://statamic.com/addons" TargetMode="External"/><Relationship Id="rId1702" Type="http://schemas.openxmlformats.org/officeDocument/2006/relationships/hyperlink" Target="https://octobercms.com/author/RainLab" TargetMode="External"/><Relationship Id="rId1703" Type="http://schemas.openxmlformats.org/officeDocument/2006/relationships/hyperlink" Target="https://github.com/escopecz/grav-ganalytics" TargetMode="External"/><Relationship Id="rId1704" Type="http://schemas.openxmlformats.org/officeDocument/2006/relationships/hyperlink" Target="https://github.com/tallcms/tallcms/blob/main/docs/site-code-injection.md" TargetMode="External"/><Relationship Id="rId1705" Type="http://schemas.openxmlformats.org/officeDocument/2006/relationships/hyperlink" Target="https://wordpress.org/plugins/broken-link-checker/" TargetMode="External"/><Relationship Id="rId1706" Type="http://schemas.openxmlformats.org/officeDocument/2006/relationships/hyperlink" Target="https://www.drupal.org/project/linkchecker" TargetMode="External"/><Relationship Id="rId1707" Type="http://schemas.openxmlformats.org/officeDocument/2006/relationships/hyperlink" Target="https://plugins.craftcms.com/brokenlinks" TargetMode="External"/><Relationship Id="rId1708" Type="http://schemas.openxmlformats.org/officeDocument/2006/relationships/hyperlink" Target="https://plugins.getkirby.com/topics/media" TargetMode="External"/><Relationship Id="rId1709" Type="http://schemas.openxmlformats.org/officeDocument/2006/relationships/hyperlink" Target="https://statamic.com/addons/statamic/seo-pro" TargetMode="External"/><Relationship Id="rId1710" Type="http://schemas.openxmlformats.org/officeDocument/2006/relationships/hyperlink" Target="https://learn.getgrav.org/20/grav-premium/seo-magic" TargetMode="External"/><Relationship Id="rId1711" Type="http://schemas.openxmlformats.org/officeDocument/2006/relationships/hyperlink" Target="https://github.com/tallcms/tallcms/tree/main/packages/tallcms/cms/src/Filament/Widgets/ContentHealthWidget.php" TargetMode="External"/><Relationship Id="rId1712" Type="http://schemas.openxmlformats.org/officeDocument/2006/relationships/hyperlink" Target="https://wordpress.org/documentation/article/administration-screens/" TargetMode="External"/><Relationship Id="rId1713" Type="http://schemas.openxmlformats.org/officeDocument/2006/relationships/hyperlink" Target="https://www.drupal.org/docs/core-modules-and-themes/core-themes/claro-theme" TargetMode="External"/><Relationship Id="rId1714" Type="http://schemas.openxmlformats.org/officeDocument/2006/relationships/hyperlink" Target="https://github.com/craftcms/cms/blob/5.x/CHANGELOG.md" TargetMode="External"/><Relationship Id="rId1715" Type="http://schemas.openxmlformats.org/officeDocument/2006/relationships/hyperlink" Target="https://getkirby.com/docs/guide/quickstart" TargetMode="External"/><Relationship Id="rId1716" Type="http://schemas.openxmlformats.org/officeDocument/2006/relationships/hyperlink" Target="https://statamic.dev/control-panel/dashboard" TargetMode="External"/><Relationship Id="rId1717" Type="http://schemas.openxmlformats.org/officeDocument/2006/relationships/hyperlink" Target="https://github.com/octobercms/october/tree/develop/modules/backend/layouts" TargetMode="External"/><Relationship Id="rId1718" Type="http://schemas.openxmlformats.org/officeDocument/2006/relationships/hyperlink" Target="https://github.com/getgrav/grav-plugin-admin2/blob/develop/CHANGELOG.md" TargetMode="External"/><Relationship Id="rId1719" Type="http://schemas.openxmlformats.org/officeDocument/2006/relationships/hyperlink" Target="https://payloadcms.com/docs/admin/overview" TargetMode="External"/><Relationship Id="rId1720" Type="http://schemas.openxmlformats.org/officeDocument/2006/relationships/hyperlink" Target="https://filamentphp.com/docs/5.x/introduction/overview" TargetMode="External"/><Relationship Id="rId1721" Type="http://schemas.openxmlformats.org/officeDocument/2006/relationships/hyperlink" Target="https://wordpress.org/news/2026/08/mary-lou/" TargetMode="External"/><Relationship Id="rId1722" Type="http://schemas.openxmlformats.org/officeDocument/2006/relationships/hyperlink" Target="https://www.drupal.org/blog/drupal-11-4-0" TargetMode="External"/><Relationship Id="rId1723" Type="http://schemas.openxmlformats.org/officeDocument/2006/relationships/hyperlink" Target="https://plugins.craftcms.com/nightshift" TargetMode="External"/><Relationship Id="rId1724" Type="http://schemas.openxmlformats.org/officeDocument/2006/relationships/hyperlink" Target="https://getkirby.com/releases/5" TargetMode="External"/><Relationship Id="rId1725" Type="http://schemas.openxmlformats.org/officeDocument/2006/relationships/hyperlink" Target="https://statamic.dev/control-panel/command-palette" TargetMode="External"/><Relationship Id="rId1726" Type="http://schemas.openxmlformats.org/officeDocument/2006/relationships/hyperlink" Target="https://github.com/octobercms/october/blob/develop/modules/backend/models/brandsetting/fields.yaml" TargetMode="External"/><Relationship Id="rId1727" Type="http://schemas.openxmlformats.org/officeDocument/2006/relationships/hyperlink" Target="https://github.com/getgrav/grav-plugin-admin2" TargetMode="External"/><Relationship Id="rId1728" Type="http://schemas.openxmlformats.org/officeDocument/2006/relationships/hyperlink" Target="https://payloadcms.com/docs/admin/overview" TargetMode="External"/><Relationship Id="rId1729" Type="http://schemas.openxmlformats.org/officeDocument/2006/relationships/hyperlink" Target="https://github.com/tallcms/tallcms/blob/main/docs/ref-rich-editor.md" TargetMode="External"/><Relationship Id="rId1730" Type="http://schemas.openxmlformats.org/officeDocument/2006/relationships/hyperlink" Target="https://filamentphp.com/docs/5.x/styling/overview" TargetMode="External"/><Relationship Id="rId1731" Type="http://schemas.openxmlformats.org/officeDocument/2006/relationships/hyperlink" Target="https://www.drupal.org/project/gin" TargetMode="External"/><Relationship Id="rId1732" Type="http://schemas.openxmlformats.org/officeDocument/2006/relationships/hyperlink" Target="https://craftcms.com/pricing" TargetMode="External"/><Relationship Id="rId1733" Type="http://schemas.openxmlformats.org/officeDocument/2006/relationships/hyperlink" Target="https://getkirby.com/docs/reference/system/options/panel" TargetMode="External"/><Relationship Id="rId1734" Type="http://schemas.openxmlformats.org/officeDocument/2006/relationships/hyperlink" Target="https://statamic.dev/control-panel/white-labeling" TargetMode="External"/><Relationship Id="rId1735" Type="http://schemas.openxmlformats.org/officeDocument/2006/relationships/hyperlink" Target="https://github.com/octobercms/october/blob/develop/config/backend.php" TargetMode="External"/><Relationship Id="rId1736" Type="http://schemas.openxmlformats.org/officeDocument/2006/relationships/hyperlink" Target="https://github.com/getgrav/grav-plugin-admin2/blob/develop/CHANGELOG.md" TargetMode="External"/><Relationship Id="rId1737" Type="http://schemas.openxmlformats.org/officeDocument/2006/relationships/hyperlink" Target="https://payloadcms.com/docs/admin/customizing-css" TargetMode="External"/><Relationship Id="rId1738" Type="http://schemas.openxmlformats.org/officeDocument/2006/relationships/hyperlink" Target="https://github.com/tallcms/tallcms/blob/main/docs/ref-i18n.md" TargetMode="External"/><Relationship Id="rId1739" Type="http://schemas.openxmlformats.org/officeDocument/2006/relationships/hyperlink" Target="https://filamentphp.com/docs/5.x/panel-configuration" TargetMode="External"/><Relationship Id="rId1740" Type="http://schemas.openxmlformats.org/officeDocument/2006/relationships/hyperlink" Target="https://translate.wordpress.org/" TargetMode="External"/><Relationship Id="rId1741" Type="http://schemas.openxmlformats.org/officeDocument/2006/relationships/hyperlink" Target="https://localize.drupal.org/translate/languages/fr" TargetMode="External"/><Relationship Id="rId1742" Type="http://schemas.openxmlformats.org/officeDocument/2006/relationships/hyperlink" Target="https://craftcms.com/docs/5.x/reference/config/general.html" TargetMode="External"/><Relationship Id="rId1743" Type="http://schemas.openxmlformats.org/officeDocument/2006/relationships/hyperlink" Target="https://getkirby.com/docs/reference/system/options/panel" TargetMode="External"/><Relationship Id="rId1744" Type="http://schemas.openxmlformats.org/officeDocument/2006/relationships/hyperlink" Target="https://statamic.dev/control-panel/cp-translations" TargetMode="External"/><Relationship Id="rId1745" Type="http://schemas.openxmlformats.org/officeDocument/2006/relationships/hyperlink" Target="https://github.com/octobercms/october/tree/develop/modules/backend/lang" TargetMode="External"/><Relationship Id="rId1746" Type="http://schemas.openxmlformats.org/officeDocument/2006/relationships/hyperlink" Target="https://github.com/getgrav/grav/blob/develop/system/languages/fr.yaml" TargetMode="External"/><Relationship Id="rId1747" Type="http://schemas.openxmlformats.org/officeDocument/2006/relationships/hyperlink" Target="https://payloadcms.com/docs/configuration/i18n" TargetMode="External"/><Relationship Id="rId1748" Type="http://schemas.openxmlformats.org/officeDocument/2006/relationships/hyperlink" Target="https://github.com/tallcms/tallcms/blob/main/docs/ref-i18n.md" TargetMode="External"/><Relationship Id="rId1749" Type="http://schemas.openxmlformats.org/officeDocument/2006/relationships/hyperlink" Target="https://github.com/lara-zeus/sky/blob/main/resources/lang" TargetMode="External"/><Relationship Id="rId1750" Type="http://schemas.openxmlformats.org/officeDocument/2006/relationships/hyperlink" Target="https://developer.wordpress.org/reference/functions/remove_menu_page/" TargetMode="External"/><Relationship Id="rId1751" Type="http://schemas.openxmlformats.org/officeDocument/2006/relationships/hyperlink" Target="https://www.drupal.org/blog/drupal-11-3-0" TargetMode="External"/><Relationship Id="rId1752" Type="http://schemas.openxmlformats.org/officeDocument/2006/relationships/hyperlink" Target="https://github.com/craftcms/cms/blob/5.x/CHANGELOG.md" TargetMode="External"/><Relationship Id="rId1753" Type="http://schemas.openxmlformats.org/officeDocument/2006/relationships/hyperlink" Target="https://getkirby.com/docs/reference/system/options/panel" TargetMode="External"/><Relationship Id="rId1754" Type="http://schemas.openxmlformats.org/officeDocument/2006/relationships/hyperlink" Target="https://statamic.dev/control-panel/customizing-the-cp-nav" TargetMode="External"/><Relationship Id="rId1755" Type="http://schemas.openxmlformats.org/officeDocument/2006/relationships/hyperlink" Target="https://docs.octobercms.com/4.x/cms/tailor/navigation.html" TargetMode="External"/><Relationship Id="rId1756" Type="http://schemas.openxmlformats.org/officeDocument/2006/relationships/hyperlink" Target="https://github.com/getgrav/grav-plugin-admin2/blob/develop/CHANGELOG.md" TargetMode="External"/><Relationship Id="rId1757" Type="http://schemas.openxmlformats.org/officeDocument/2006/relationships/hyperlink" Target="https://payloadcms.com/docs/custom-components/root-components" TargetMode="External"/><Relationship Id="rId1758" Type="http://schemas.openxmlformats.org/officeDocument/2006/relationships/hyperlink" Target="https://github.com/tallcms/tallcms/blob/main/docs/ref-i18n.md" TargetMode="External"/><Relationship Id="rId1759" Type="http://schemas.openxmlformats.org/officeDocument/2006/relationships/hyperlink" Target="https://larazeus.com/docs/sky/v5/getting-started/configuration" TargetMode="External"/><Relationship Id="rId1760" Type="http://schemas.openxmlformats.org/officeDocument/2006/relationships/hyperlink" Target="https://make.wordpress.org/core/2026/05/14/wordpress-7-0-field-guide/" TargetMode="External"/><Relationship Id="rId1761" Type="http://schemas.openxmlformats.org/officeDocument/2006/relationships/hyperlink" Target="https://www.drupal.org/project/coffee" TargetMode="External"/><Relationship Id="rId1762" Type="http://schemas.openxmlformats.org/officeDocument/2006/relationships/hyperlink" Target="https://getkirby.com/releases/4" TargetMode="External"/><Relationship Id="rId1763" Type="http://schemas.openxmlformats.org/officeDocument/2006/relationships/hyperlink" Target="https://statamic.dev/control-panel/command-palette" TargetMode="External"/><Relationship Id="rId1764" Type="http://schemas.openxmlformats.org/officeDocument/2006/relationships/hyperlink" Target="https://github.com/tallcms/tallcms/blob/main/docs/ref-search.md" TargetMode="External"/><Relationship Id="rId1765" Type="http://schemas.openxmlformats.org/officeDocument/2006/relationships/hyperlink" Target="https://filamentphp.com/docs/5.x/resources/global-search" TargetMode="External"/><Relationship Id="rId1766" Type="http://schemas.openxmlformats.org/officeDocument/2006/relationships/hyperlink" Target="https://wordpress.org/documentation/article/posts-screen/" TargetMode="External"/><Relationship Id="rId1767" Type="http://schemas.openxmlformats.org/officeDocument/2006/relationships/hyperlink" Target="https://www.drupal.org/docs/core-modules-and-themes/core-modules/views-module" TargetMode="External"/><Relationship Id="rId1768" Type="http://schemas.openxmlformats.org/officeDocument/2006/relationships/hyperlink" Target="https://craftcms.com/docs/5.x/system/elements.html" TargetMode="External"/><Relationship Id="rId1769" Type="http://schemas.openxmlformats.org/officeDocument/2006/relationships/hyperlink" Target="https://getkirby.com/releases/5" TargetMode="External"/><Relationship Id="rId1770" Type="http://schemas.openxmlformats.org/officeDocument/2006/relationships/hyperlink" Target="https://statamic.dev/backend-apis/actions" TargetMode="External"/><Relationship Id="rId1771" Type="http://schemas.openxmlformats.org/officeDocument/2006/relationships/hyperlink" Target="https://github.com/octobercms/october/blob/develop/modules/tailor/controllers/Entries.php" TargetMode="External"/><Relationship Id="rId1772" Type="http://schemas.openxmlformats.org/officeDocument/2006/relationships/hyperlink" Target="https://github.com/getgrav/grav-plugin-api" TargetMode="External"/><Relationship Id="rId1773" Type="http://schemas.openxmlformats.org/officeDocument/2006/relationships/hyperlink" Target="https://payloadcms.com/docs/configuration/collections" TargetMode="External"/><Relationship Id="rId1774" Type="http://schemas.openxmlformats.org/officeDocument/2006/relationships/hyperlink" Target="https://github.com/tallcms/tallcms/blob/main/docs/site-pages-posts.md" TargetMode="External"/><Relationship Id="rId1775" Type="http://schemas.openxmlformats.org/officeDocument/2006/relationships/hyperlink" Target="https://github.com/lara-zeus/sky/blob/main/src/Filament/Resources/PostResource.php" TargetMode="External"/><Relationship Id="rId1776" Type="http://schemas.openxmlformats.org/officeDocument/2006/relationships/hyperlink" Target="https://wordpress.org/documentation/article/tools-export-screen/" TargetMode="External"/><Relationship Id="rId1777" Type="http://schemas.openxmlformats.org/officeDocument/2006/relationships/hyperlink" Target="https://www.drupal.org/docs/drupal-apis/migrate-api" TargetMode="External"/><Relationship Id="rId1778" Type="http://schemas.openxmlformats.org/officeDocument/2006/relationships/hyperlink" Target="https://plugins.craftcms.com/feed-me" TargetMode="External"/><Relationship Id="rId1779" Type="http://schemas.openxmlformats.org/officeDocument/2006/relationships/hyperlink" Target="https://getkirby.com/docs/guide/migration" TargetMode="External"/><Relationship Id="rId1780" Type="http://schemas.openxmlformats.org/officeDocument/2006/relationships/hyperlink" Target="https://github.com/statamic/importer" TargetMode="External"/><Relationship Id="rId1781" Type="http://schemas.openxmlformats.org/officeDocument/2006/relationships/hyperlink" Target="https://docs.octobercms.com/4.x/extend/importexport/importexport-controller.html" TargetMode="External"/><Relationship Id="rId1782" Type="http://schemas.openxmlformats.org/officeDocument/2006/relationships/hyperlink" Target="https://payloadcms.com/docs/plugins/import-export" TargetMode="External"/><Relationship Id="rId1783" Type="http://schemas.openxmlformats.org/officeDocument/2006/relationships/hyperlink" Target="https://github.com/tallcms/tallcms/blob/main/docs/ref-filament-ecosystem.md" TargetMode="External"/><Relationship Id="rId1784" Type="http://schemas.openxmlformats.org/officeDocument/2006/relationships/hyperlink" Target="https://wordpress.org/documentation/article/tools-import-screen/" TargetMode="External"/><Relationship Id="rId1785" Type="http://schemas.openxmlformats.org/officeDocument/2006/relationships/hyperlink" Target="https://www.drupal.org/project/wordpress_migrate" TargetMode="External"/><Relationship Id="rId1786" Type="http://schemas.openxmlformats.org/officeDocument/2006/relationships/hyperlink" Target="https://github.com/craftcms/wp-import" TargetMode="External"/><Relationship Id="rId1787" Type="http://schemas.openxmlformats.org/officeDocument/2006/relationships/hyperlink" Target="https://getkirby.com/docs/guide/migration" TargetMode="External"/><Relationship Id="rId1788" Type="http://schemas.openxmlformats.org/officeDocument/2006/relationships/hyperlink" Target="https://github.com/statamic/importer" TargetMode="External"/><Relationship Id="rId1789" Type="http://schemas.openxmlformats.org/officeDocument/2006/relationships/hyperlink" Target="https://octobercms.com/plugins?search=wordpress" TargetMode="External"/><Relationship Id="rId1790" Type="http://schemas.openxmlformats.org/officeDocument/2006/relationships/hyperlink" Target="https://getgrav.org/blog/grav-2-rc-released" TargetMode="External"/><Relationship Id="rId1791" Type="http://schemas.openxmlformats.org/officeDocument/2006/relationships/hyperlink" Target="https://github.com/lara-zeus/rhea" TargetMode="External"/><Relationship Id="rId1792" Type="http://schemas.openxmlformats.org/officeDocument/2006/relationships/hyperlink" Target="https://wordpress.org/about/license/" TargetMode="External"/><Relationship Id="rId1793" Type="http://schemas.openxmlformats.org/officeDocument/2006/relationships/hyperlink" Target="https://www.drupal.org/about/licensing" TargetMode="External"/><Relationship Id="rId1794" Type="http://schemas.openxmlformats.org/officeDocument/2006/relationships/hyperlink" Target="https://github.com/craftcms/cms/blob/5.x/LICENSE.md" TargetMode="External"/><Relationship Id="rId1795" Type="http://schemas.openxmlformats.org/officeDocument/2006/relationships/hyperlink" Target="https://getkirby.com/license" TargetMode="External"/><Relationship Id="rId1796" Type="http://schemas.openxmlformats.org/officeDocument/2006/relationships/hyperlink" Target="https://github.com/statamic/cms/blob/6.x/LICENSE.md" TargetMode="External"/><Relationship Id="rId1797" Type="http://schemas.openxmlformats.org/officeDocument/2006/relationships/hyperlink" Target="https://github.com/octobercms/october/blob/develop/LICENSE.md" TargetMode="External"/><Relationship Id="rId1798" Type="http://schemas.openxmlformats.org/officeDocument/2006/relationships/hyperlink" Target="https://github.com/getgrav/grav/blob/develop/composer.json" TargetMode="External"/><Relationship Id="rId1799" Type="http://schemas.openxmlformats.org/officeDocument/2006/relationships/hyperlink" Target="https://github.com/payloadcms/payload/blob/main/LICENSE.md" TargetMode="External"/><Relationship Id="rId1800" Type="http://schemas.openxmlformats.org/officeDocument/2006/relationships/hyperlink" Target="https://filamentphp.com/plugins/tallcms-core" TargetMode="External"/><Relationship Id="rId1801" Type="http://schemas.openxmlformats.org/officeDocument/2006/relationships/hyperlink" Target="https://github.com/lara-zeus/sky/blob/main/LICENSE.md" TargetMode="External"/><Relationship Id="rId1802" Type="http://schemas.openxmlformats.org/officeDocument/2006/relationships/hyperlink" Target="https://wordpress.org/about/" TargetMode="External"/><Relationship Id="rId1803" Type="http://schemas.openxmlformats.org/officeDocument/2006/relationships/hyperlink" Target="https://www.drupal.org/about/licensing" TargetMode="External"/><Relationship Id="rId1804" Type="http://schemas.openxmlformats.org/officeDocument/2006/relationships/hyperlink" Target="https://craftcms.com/pricing" TargetMode="External"/><Relationship Id="rId1805" Type="http://schemas.openxmlformats.org/officeDocument/2006/relationships/hyperlink" Target="https://getkirby.com/buy" TargetMode="External"/><Relationship Id="rId1806" Type="http://schemas.openxmlformats.org/officeDocument/2006/relationships/hyperlink" Target="https://statamic.com/pricing" TargetMode="External"/><Relationship Id="rId1807" Type="http://schemas.openxmlformats.org/officeDocument/2006/relationships/hyperlink" Target="https://octobercms.com/pricing" TargetMode="External"/><Relationship Id="rId1808" Type="http://schemas.openxmlformats.org/officeDocument/2006/relationships/hyperlink" Target="https://toolradar.com/tools/grav/pricing" TargetMode="External"/><Relationship Id="rId1809" Type="http://schemas.openxmlformats.org/officeDocument/2006/relationships/hyperlink" Target="https://payloadcms.com/payload-has-joined-figma" TargetMode="External"/><Relationship Id="rId1810" Type="http://schemas.openxmlformats.org/officeDocument/2006/relationships/hyperlink" Target="https://filamentphp.com/plugins/tallcms-core" TargetMode="External"/><Relationship Id="rId1811" Type="http://schemas.openxmlformats.org/officeDocument/2006/relationships/hyperlink" Target="https://larazeus.com/" TargetMode="External"/><Relationship Id="rId1812" Type="http://schemas.openxmlformats.org/officeDocument/2006/relationships/hyperlink" Target="https://wordpress.org/plugins/" TargetMode="External"/><Relationship Id="rId1813" Type="http://schemas.openxmlformats.org/officeDocument/2006/relationships/hyperlink" Target="https://www.drupal.org/project/project_module" TargetMode="External"/><Relationship Id="rId1814" Type="http://schemas.openxmlformats.org/officeDocument/2006/relationships/hyperlink" Target="https://plugins.craftcms.com/" TargetMode="External"/><Relationship Id="rId1815" Type="http://schemas.openxmlformats.org/officeDocument/2006/relationships/hyperlink" Target="https://plugins.getkirby.com/" TargetMode="External"/><Relationship Id="rId1816" Type="http://schemas.openxmlformats.org/officeDocument/2006/relationships/hyperlink" Target="https://statamic.com/addons" TargetMode="External"/><Relationship Id="rId1817" Type="http://schemas.openxmlformats.org/officeDocument/2006/relationships/hyperlink" Target="https://octobercms.com/plugins/all/popular?p=1" TargetMode="External"/><Relationship Id="rId1818" Type="http://schemas.openxmlformats.org/officeDocument/2006/relationships/hyperlink" Target="https://www.getgrav.org/downloads/plugins" TargetMode="External"/><Relationship Id="rId1819" Type="http://schemas.openxmlformats.org/officeDocument/2006/relationships/hyperlink" Target="https://www.npmjs.com/search?q=keywords:payload-plugin" TargetMode="External"/><Relationship Id="rId1820" Type="http://schemas.openxmlformats.org/officeDocument/2006/relationships/hyperlink" Target="https://github.com/tallcms/tallcms/blob/main/docs/ref-filament-ecosystem.md" TargetMode="External"/><Relationship Id="rId1821" Type="http://schemas.openxmlformats.org/officeDocument/2006/relationships/hyperlink" Target="https://larazeus.com/" TargetMode="External"/><Relationship Id="rId1822" Type="http://schemas.openxmlformats.org/officeDocument/2006/relationships/hyperlink" Target="https://github.com/WordPress/gutenberg" TargetMode="External"/><Relationship Id="rId1823" Type="http://schemas.openxmlformats.org/officeDocument/2006/relationships/hyperlink" Target="https://github.com/drupal/drupal" TargetMode="External"/><Relationship Id="rId1824" Type="http://schemas.openxmlformats.org/officeDocument/2006/relationships/hyperlink" Target="https://github.com/craftcms/cms" TargetMode="External"/><Relationship Id="rId1825" Type="http://schemas.openxmlformats.org/officeDocument/2006/relationships/hyperlink" Target="https://github.com/getkirby/kirby" TargetMode="External"/><Relationship Id="rId1826" Type="http://schemas.openxmlformats.org/officeDocument/2006/relationships/hyperlink" Target="https://github.com/statamic/cms" TargetMode="External"/><Relationship Id="rId1827" Type="http://schemas.openxmlformats.org/officeDocument/2006/relationships/hyperlink" Target="https://github.com/octobercms/october" TargetMode="External"/><Relationship Id="rId1828" Type="http://schemas.openxmlformats.org/officeDocument/2006/relationships/hyperlink" Target="https://ossinsight.io/analyze/getgrav/grav" TargetMode="External"/><Relationship Id="rId1829" Type="http://schemas.openxmlformats.org/officeDocument/2006/relationships/hyperlink" Target="https://github.com/payloadcms/payload" TargetMode="External"/><Relationship Id="rId1830" Type="http://schemas.openxmlformats.org/officeDocument/2006/relationships/hyperlink" Target="https://packagist.org/packages/tallcms/tallcms" TargetMode="External"/><Relationship Id="rId1831" Type="http://schemas.openxmlformats.org/officeDocument/2006/relationships/hyperlink" Target="https://packagist.org/packages/lara-zeus/sky" TargetMode="External"/><Relationship Id="rId1832" Type="http://schemas.openxmlformats.org/officeDocument/2006/relationships/hyperlink" Target="https://make.wordpress.org/core/2026/09/02/wordpress-7-1-1-release-schedule/" TargetMode="External"/><Relationship Id="rId1833" Type="http://schemas.openxmlformats.org/officeDocument/2006/relationships/hyperlink" Target="https://www.thedroptimes.com/node/70355" TargetMode="External"/><Relationship Id="rId1834" Type="http://schemas.openxmlformats.org/officeDocument/2006/relationships/hyperlink" Target="https://github.com/craftcms/cms/blob/5.x/CHANGELOG.md" TargetMode="External"/><Relationship Id="rId1835" Type="http://schemas.openxmlformats.org/officeDocument/2006/relationships/hyperlink" Target="https://getkirby.com/releases" TargetMode="External"/><Relationship Id="rId1836" Type="http://schemas.openxmlformats.org/officeDocument/2006/relationships/hyperlink" Target="https://statamic.com/release-notes" TargetMode="External"/><Relationship Id="rId1837" Type="http://schemas.openxmlformats.org/officeDocument/2006/relationships/hyperlink" Target="https://octobercms.com/changelog" TargetMode="External"/><Relationship Id="rId1838" Type="http://schemas.openxmlformats.org/officeDocument/2006/relationships/hyperlink" Target="https://github.com/getgrav/grav/blob/develop/CHANGELOG.md" TargetMode="External"/><Relationship Id="rId1839" Type="http://schemas.openxmlformats.org/officeDocument/2006/relationships/hyperlink" Target="https://www.npmjs.com/package/payload?activeTab=versions" TargetMode="External"/><Relationship Id="rId1840" Type="http://schemas.openxmlformats.org/officeDocument/2006/relationships/hyperlink" Target="https://github.com/tallcms/tallcms/tags" TargetMode="External"/><Relationship Id="rId1841" Type="http://schemas.openxmlformats.org/officeDocument/2006/relationships/hyperlink" Target="https://github.com/lara-zeus/sky/releases" TargetMode="External"/><Relationship Id="rId1842" Type="http://schemas.openxmlformats.org/officeDocument/2006/relationships/hyperlink" Target="https://developer.wordpress.org/" TargetMode="External"/><Relationship Id="rId1843" Type="http://schemas.openxmlformats.org/officeDocument/2006/relationships/hyperlink" Target="https://www.drupal.org/docs" TargetMode="External"/><Relationship Id="rId1844" Type="http://schemas.openxmlformats.org/officeDocument/2006/relationships/hyperlink" Target="https://craftcms.com/docs/5.x/" TargetMode="External"/><Relationship Id="rId1845" Type="http://schemas.openxmlformats.org/officeDocument/2006/relationships/hyperlink" Target="https://getkirby.com/docs/" TargetMode="External"/><Relationship Id="rId1846" Type="http://schemas.openxmlformats.org/officeDocument/2006/relationships/hyperlink" Target="https://statamic.dev/" TargetMode="External"/><Relationship Id="rId1847" Type="http://schemas.openxmlformats.org/officeDocument/2006/relationships/hyperlink" Target="https://docs.octobercms.com/4.x/" TargetMode="External"/><Relationship Id="rId1848" Type="http://schemas.openxmlformats.org/officeDocument/2006/relationships/hyperlink" Target="https://learn.getgrav.org/20/grav-premium" TargetMode="External"/><Relationship Id="rId1849" Type="http://schemas.openxmlformats.org/officeDocument/2006/relationships/hyperlink" Target="https://payloadcms.com/docs/" TargetMode="External"/><Relationship Id="rId1850" Type="http://schemas.openxmlformats.org/officeDocument/2006/relationships/hyperlink" Target="https://github.com/tallcms/tallcms/blob/main/docs/README.md" TargetMode="External"/><Relationship Id="rId1851" Type="http://schemas.openxmlformats.org/officeDocument/2006/relationships/hyperlink" Target="https://larazeus.com/docs/sky/v5/introduction" TargetMode="External"/><Relationship Id="rId1852" Type="http://schemas.openxmlformats.org/officeDocument/2006/relationships/hyperlink" Target="https://wpvip.com/" TargetMode="External"/><Relationship Id="rId1853" Type="http://schemas.openxmlformats.org/officeDocument/2006/relationships/hyperlink" Target="https://www.drupal.org/drupal-services" TargetMode="External"/><Relationship Id="rId1854" Type="http://schemas.openxmlformats.org/officeDocument/2006/relationships/hyperlink" Target="https://craftcms.com/pricing" TargetMode="External"/><Relationship Id="rId1855" Type="http://schemas.openxmlformats.org/officeDocument/2006/relationships/hyperlink" Target="https://getkirby.com/partners" TargetMode="External"/><Relationship Id="rId1856" Type="http://schemas.openxmlformats.org/officeDocument/2006/relationships/hyperlink" Target="https://statamic.com/enterprise" TargetMode="External"/><Relationship Id="rId1857" Type="http://schemas.openxmlformats.org/officeDocument/2006/relationships/hyperlink" Target="https://octobercms.com/pricing" TargetMode="External"/><Relationship Id="rId1858" Type="http://schemas.openxmlformats.org/officeDocument/2006/relationships/hyperlink" Target="https://learn.getgrav.org/20/grav-premium" TargetMode="External"/><Relationship Id="rId1859" Type="http://schemas.openxmlformats.org/officeDocument/2006/relationships/hyperlink" Target="https://payloadcms.com/enterprise" TargetMode="External"/><Relationship Id="rId1860" Type="http://schemas.openxmlformats.org/officeDocument/2006/relationships/hyperlink" Target="https://tallcms.com/" TargetMode="External"/><Relationship Id="rId1861" Type="http://schemas.openxmlformats.org/officeDocument/2006/relationships/hyperlink" Target="https://larazeus.com/contact-us" TargetMode="External"/><Relationship Id="rId1862" Type="http://schemas.openxmlformats.org/officeDocument/2006/relationships/hyperlink" Target="https://make.wordpress.org/chat/" TargetMode="External"/><Relationship Id="rId1863" Type="http://schemas.openxmlformats.org/officeDocument/2006/relationships/hyperlink" Target="https://www.drupal.org/community" TargetMode="External"/><Relationship Id="rId1864" Type="http://schemas.openxmlformats.org/officeDocument/2006/relationships/hyperlink" Target="https://craftcms.com/community" TargetMode="External"/><Relationship Id="rId1865" Type="http://schemas.openxmlformats.org/officeDocument/2006/relationships/hyperlink" Target="https://community.getkirby.com/" TargetMode="External"/><Relationship Id="rId1866" Type="http://schemas.openxmlformats.org/officeDocument/2006/relationships/hyperlink" Target="https://statamic.com/about" TargetMode="External"/><Relationship Id="rId1867" Type="http://schemas.openxmlformats.org/officeDocument/2006/relationships/hyperlink" Target="https://talk.octobercms.com/" TargetMode="External"/><Relationship Id="rId1868" Type="http://schemas.openxmlformats.org/officeDocument/2006/relationships/hyperlink" Target="https://getgrav.org/forum" TargetMode="External"/><Relationship Id="rId1869" Type="http://schemas.openxmlformats.org/officeDocument/2006/relationships/hyperlink" Target="https://payloadcms.com/community-help" TargetMode="External"/><Relationship Id="rId1870" Type="http://schemas.openxmlformats.org/officeDocument/2006/relationships/hyperlink" Target="https://tallcms.com/" TargetMode="External"/><Relationship Id="rId1871" Type="http://schemas.openxmlformats.org/officeDocument/2006/relationships/hyperlink" Target="https://github.com/lara-zeus/sky/blob/main/README.md" TargetMode="External"/><Relationship Id="rId1872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make.wordpress.org/core/2026/05/14/wordpress-7-0-field-guide/" TargetMode="External"/><Relationship Id="rId2" Type="http://schemas.openxmlformats.org/officeDocument/2006/relationships/hyperlink" Target="https://make.wordpress.org/core/2026/05/14/wordpress-7-0-field-guide/" TargetMode="External"/><Relationship Id="rId3" Type="http://schemas.openxmlformats.org/officeDocument/2006/relationships/hyperlink" Target="https://developer.wordpress.org/block-editor/reference-guides/block-api/block-bindings/" TargetMode="External"/><Relationship Id="rId4" Type="http://schemas.openxmlformats.org/officeDocument/2006/relationships/hyperlink" Target="https://make.wordpress.org/core/2026/05/14/wordpress-7-0-field-guide/" TargetMode="External"/><Relationship Id="rId5" Type="http://schemas.openxmlformats.org/officeDocument/2006/relationships/hyperlink" Target="https://make.wordpress.org/core/2026/05/14/wordpress-7-0-field-guide/" TargetMode="External"/><Relationship Id="rId6" Type="http://schemas.openxmlformats.org/officeDocument/2006/relationships/hyperlink" Target="https://developer.wordpress.org/themes/global-settings-and-styles/" TargetMode="External"/><Relationship Id="rId7" Type="http://schemas.openxmlformats.org/officeDocument/2006/relationships/hyperlink" Target="https://wordpress.org/news/2026/08/mary-lou/" TargetMode="External"/><Relationship Id="rId8" Type="http://schemas.openxmlformats.org/officeDocument/2006/relationships/hyperlink" Target="https://make.wordpress.org/core/2026/05/14/wordpress-7-0-field-guide/" TargetMode="External"/><Relationship Id="rId9" Type="http://schemas.openxmlformats.org/officeDocument/2006/relationships/hyperlink" Target="https://developer.wordpress.org/block-editor/reference-guides/interactivity-api/" TargetMode="External"/><Relationship Id="rId10" Type="http://schemas.openxmlformats.org/officeDocument/2006/relationships/hyperlink" Target="https://wordpress.org/documentation/article/query-loop-block/" TargetMode="External"/><Relationship Id="rId11" Type="http://schemas.openxmlformats.org/officeDocument/2006/relationships/hyperlink" Target="https://wordpress.org/documentation/article/comments-screen/" TargetMode="External"/><Relationship Id="rId12" Type="http://schemas.openxmlformats.org/officeDocument/2006/relationships/hyperlink" Target="https://developer.wordpress.org/advanced-administration/wordpress/feeds/" TargetMode="External"/><Relationship Id="rId13" Type="http://schemas.openxmlformats.org/officeDocument/2006/relationships/hyperlink" Target="https://wordpress.org/documentation/article/embeds/" TargetMode="External"/><Relationship Id="rId14" Type="http://schemas.openxmlformats.org/officeDocument/2006/relationships/hyperlink" Target="https://wordpress.org/news/2026/08/mary-lou/" TargetMode="External"/><Relationship Id="rId15" Type="http://schemas.openxmlformats.org/officeDocument/2006/relationships/hyperlink" Target="https://make.wordpress.org/core/2026/05/14/wordpress-7-0-field-guide/" TargetMode="External"/><Relationship Id="rId16" Type="http://schemas.openxmlformats.org/officeDocument/2006/relationships/hyperlink" Target="https://make.wordpress.org/core/2019/04/16/fatal-error-recovery-mode-in-5-2/" TargetMode="External"/><Relationship Id="rId17" Type="http://schemas.openxmlformats.org/officeDocument/2006/relationships/hyperlink" Target="https://make.wordpress.org/core/2024/06/25/wordpress-6-6-field-guide/" TargetMode="External"/><Relationship Id="rId18" Type="http://schemas.openxmlformats.org/officeDocument/2006/relationships/hyperlink" Target="https://make.wordpress.org/core/2024/03/05/introducing-plugin-dependencies-in-wordpress-6-5/" TargetMode="External"/><Relationship Id="rId19" Type="http://schemas.openxmlformats.org/officeDocument/2006/relationships/hyperlink" Target="https://wordpress.org/documentation/article/site-health-screen/" TargetMode="External"/><Relationship Id="rId20" Type="http://schemas.openxmlformats.org/officeDocument/2006/relationships/hyperlink" Target="https://make.wordpress.org/core/2025/03/06/speculative-loading-in-6-8/" TargetMode="External"/><Relationship Id="rId21" Type="http://schemas.openxmlformats.org/officeDocument/2006/relationships/hyperlink" Target="https://developer.wordpress.org/playground/" TargetMode="External"/><Relationship Id="rId22" Type="http://schemas.openxmlformats.org/officeDocument/2006/relationships/hyperlink" Target="https://make.wordpress.org/core/2026/05/14/wordpress-7-0-field-guide/" TargetMode="External"/><Relationship Id="rId23" Type="http://schemas.openxmlformats.org/officeDocument/2006/relationships/hyperlink" Target="https://wordpress.org/news/2026/08/mary-lou/" TargetMode="External"/><Relationship Id="rId24" Type="http://schemas.openxmlformats.org/officeDocument/2006/relationships/hyperlink" Target="https://make.wordpress.org/core/2026/05/14/wordpress-7-0-field-guide/" TargetMode="External"/><Relationship Id="rId25" Type="http://schemas.openxmlformats.org/officeDocument/2006/relationships/hyperlink" Target="https://wordpress.org/documentation/article/block-locking/" TargetMode="External"/><Relationship Id="rId26" Type="http://schemas.openxmlformats.org/officeDocument/2006/relationships/hyperlink" Target="https://wordpress.org/news/2026/08/mary-lou/" TargetMode="External"/><Relationship Id="rId27" Type="http://schemas.openxmlformats.org/officeDocument/2006/relationships/hyperlink" Target="https://make.wordpress.org/core/2026/05/14/wordpress-7-0-field-guide/" TargetMode="External"/><Relationship Id="rId28" Type="http://schemas.openxmlformats.org/officeDocument/2006/relationships/hyperlink" Target="https://developer.wordpress.org/plugins/shortcodes/" TargetMode="External"/><Relationship Id="rId29" Type="http://schemas.openxmlformats.org/officeDocument/2006/relationships/hyperlink" Target="https://apps.wordpress.com/mobile/" TargetMode="External"/><Relationship Id="rId30" Type="http://schemas.openxmlformats.org/officeDocument/2006/relationships/hyperlink" Target="https://www.drupal.org/docs/core-modules-and-themes/core-modules/views-module" TargetMode="External"/><Relationship Id="rId31" Type="http://schemas.openxmlformats.org/officeDocument/2006/relationships/hyperlink" Target="https://www.drupal.org/blog/drupal-11-4-0" TargetMode="External"/><Relationship Id="rId32" Type="http://schemas.openxmlformats.org/officeDocument/2006/relationships/hyperlink" Target="https://www.drupal.org/docs/extending-drupal/drupal-recipes" TargetMode="External"/><Relationship Id="rId33" Type="http://schemas.openxmlformats.org/officeDocument/2006/relationships/hyperlink" Target="https://www.acquia.com/blog/pick-your-starting-point-complete-guide-drupal-site-templates-marketplace" TargetMode="External"/><Relationship Id="rId34" Type="http://schemas.openxmlformats.org/officeDocument/2006/relationships/hyperlink" Target="https://project.pages.drupalcode.org/canvas/code-components/" TargetMode="External"/><Relationship Id="rId35" Type="http://schemas.openxmlformats.org/officeDocument/2006/relationships/hyperlink" Target="https://project.pages.drupalcode.org/canvas/code-components/workbench/regions" TargetMode="External"/><Relationship Id="rId36" Type="http://schemas.openxmlformats.org/officeDocument/2006/relationships/hyperlink" Target="https://project.pages.drupalcode.org/canvas/code-components/brand-kit" TargetMode="External"/><Relationship Id="rId37" Type="http://schemas.openxmlformats.org/officeDocument/2006/relationships/hyperlink" Target="https://imagexmedia.com/blog/drupal-canvas-tour-content-authoring" TargetMode="External"/><Relationship Id="rId38" Type="http://schemas.openxmlformats.org/officeDocument/2006/relationships/hyperlink" Target="https://www.drupal.org/docs/drupal-apis/cache-api" TargetMode="External"/><Relationship Id="rId39" Type="http://schemas.openxmlformats.org/officeDocument/2006/relationships/hyperlink" Target="https://www.drupal.org/blog/drupal-11-3-0" TargetMode="External"/><Relationship Id="rId40" Type="http://schemas.openxmlformats.org/officeDocument/2006/relationships/hyperlink" Target="https://www.drupal.org/node/3385551" TargetMode="External"/><Relationship Id="rId41" Type="http://schemas.openxmlformats.org/officeDocument/2006/relationships/hyperlink" Target="https://www.drupal.org/docs/drupal-apis/entity-api" TargetMode="External"/><Relationship Id="rId42" Type="http://schemas.openxmlformats.org/officeDocument/2006/relationships/hyperlink" Target="https://www.drupal.org/blog/drupal-11-2-0" TargetMode="External"/><Relationship Id="rId43" Type="http://schemas.openxmlformats.org/officeDocument/2006/relationships/hyperlink" Target="https://www.drupal.org/blog/drupal-11-1-0" TargetMode="External"/><Relationship Id="rId44" Type="http://schemas.openxmlformats.org/officeDocument/2006/relationships/hyperlink" Target="https://www.drupal.org/docs/core-modules-and-themes/core-modules/contextual-module" TargetMode="External"/><Relationship Id="rId45" Type="http://schemas.openxmlformats.org/officeDocument/2006/relationships/hyperlink" Target="https://www.drupal.org/docs/user_guide/en/menu-concept.html" TargetMode="External"/><Relationship Id="rId46" Type="http://schemas.openxmlformats.org/officeDocument/2006/relationships/hyperlink" Target="https://www.drupal.org/project/eca" TargetMode="External"/><Relationship Id="rId47" Type="http://schemas.openxmlformats.org/officeDocument/2006/relationships/hyperlink" Target="https://www.drupal.org/docs/user_guide/en/config-files.html" TargetMode="External"/><Relationship Id="rId48" Type="http://schemas.openxmlformats.org/officeDocument/2006/relationships/hyperlink" Target="https://www.drupal.org/project/project_browser" TargetMode="External"/><Relationship Id="rId49" Type="http://schemas.openxmlformats.org/officeDocument/2006/relationships/hyperlink" Target="https://www.drupal.org/blog/drupal-11-4-0" TargetMode="External"/><Relationship Id="rId50" Type="http://schemas.openxmlformats.org/officeDocument/2006/relationships/hyperlink" Target="https://www.drupal.org/blog/drupal-11-4-0" TargetMode="External"/><Relationship Id="rId51" Type="http://schemas.openxmlformats.org/officeDocument/2006/relationships/hyperlink" Target="https://project.pages.drupalcode.org/drupal_cms/get-started/cms-launcher/" TargetMode="External"/><Relationship Id="rId52" Type="http://schemas.openxmlformats.org/officeDocument/2006/relationships/hyperlink" Target="https://project.pages.drupalcode.org/drupal_cms/updates/telemetry/" TargetMode="External"/><Relationship Id="rId53" Type="http://schemas.openxmlformats.org/officeDocument/2006/relationships/hyperlink" Target="https://www.drupal.org/project/smart_date" TargetMode="External"/><Relationship Id="rId54" Type="http://schemas.openxmlformats.org/officeDocument/2006/relationships/hyperlink" Target="https://www.drupal.org/docs/multilingual-guide" TargetMode="External"/><Relationship Id="rId55" Type="http://schemas.openxmlformats.org/officeDocument/2006/relationships/hyperlink" Target="https://www.drupal.org/blog/drupal-11-4-0" TargetMode="External"/><Relationship Id="rId56" Type="http://schemas.openxmlformats.org/officeDocument/2006/relationships/hyperlink" Target="https://www.drupal.org/project/token" TargetMode="External"/><Relationship Id="rId57" Type="http://schemas.openxmlformats.org/officeDocument/2006/relationships/hyperlink" Target="https://craftcms.com/docs/5.x/reference/element-types/entries.html" TargetMode="External"/><Relationship Id="rId58" Type="http://schemas.openxmlformats.org/officeDocument/2006/relationships/hyperlink" Target="https://craftcms.com/docs/5.x/system/fields.html" TargetMode="External"/><Relationship Id="rId59" Type="http://schemas.openxmlformats.org/officeDocument/2006/relationships/hyperlink" Target="https://craftcms.com/docs/5.x/reference/element-types/addresses.html" TargetMode="External"/><Relationship Id="rId60" Type="http://schemas.openxmlformats.org/officeDocument/2006/relationships/hyperlink" Target="https://craftcms.com/docs/5.x/reference/field-types/link.html" TargetMode="External"/><Relationship Id="rId61" Type="http://schemas.openxmlformats.org/officeDocument/2006/relationships/hyperlink" Target="https://craftcms.com/docs/5.x/reference/field-types/" TargetMode="External"/><Relationship Id="rId62" Type="http://schemas.openxmlformats.org/officeDocument/2006/relationships/hyperlink" Target="https://craftcms.com/docs/5.x/reference/element-types/entries.html" TargetMode="External"/><Relationship Id="rId63" Type="http://schemas.openxmlformats.org/officeDocument/2006/relationships/hyperlink" Target="https://github.com/craftcms/cms/blob/5.x/CHANGELOG.md" TargetMode="External"/><Relationship Id="rId64" Type="http://schemas.openxmlformats.org/officeDocument/2006/relationships/hyperlink" Target="https://github.com/craftcms/cms/blob/5.x/CHANGELOG.md" TargetMode="External"/><Relationship Id="rId65" Type="http://schemas.openxmlformats.org/officeDocument/2006/relationships/hyperlink" Target="https://craftcms.com/docs/5.x/system/elements.html" TargetMode="External"/><Relationship Id="rId66" Type="http://schemas.openxmlformats.org/officeDocument/2006/relationships/hyperlink" Target="https://craftcms.com/docs/5.x/system/elements.html" TargetMode="External"/><Relationship Id="rId67" Type="http://schemas.openxmlformats.org/officeDocument/2006/relationships/hyperlink" Target="https://craftcms.com/docs/5.x/system/elements.html" TargetMode="External"/><Relationship Id="rId68" Type="http://schemas.openxmlformats.org/officeDocument/2006/relationships/hyperlink" Target="https://github.com/craftcms/cms/blob/5.x/CHANGELOG.md" TargetMode="External"/><Relationship Id="rId69" Type="http://schemas.openxmlformats.org/officeDocument/2006/relationships/hyperlink" Target="https://github.com/craftcms/cms/blob/5.x/CHANGELOG.md" TargetMode="External"/><Relationship Id="rId70" Type="http://schemas.openxmlformats.org/officeDocument/2006/relationships/hyperlink" Target="https://craftcms.com/docs/5.x/system/control-panel.html" TargetMode="External"/><Relationship Id="rId71" Type="http://schemas.openxmlformats.org/officeDocument/2006/relationships/hyperlink" Target="https://craftcms.com/docs/5.x/system/control-panel.html" TargetMode="External"/><Relationship Id="rId72" Type="http://schemas.openxmlformats.org/officeDocument/2006/relationships/hyperlink" Target="https://craftcms.com/docs/5.x/system/reference-tags.html" TargetMode="External"/><Relationship Id="rId73" Type="http://schemas.openxmlformats.org/officeDocument/2006/relationships/hyperlink" Target="https://craftcms.com/docs/5.x/reference/cli.html" TargetMode="External"/><Relationship Id="rId74" Type="http://schemas.openxmlformats.org/officeDocument/2006/relationships/hyperlink" Target="https://craftcms.com/docs/5.x/reference/twig/tags.html" TargetMode="External"/><Relationship Id="rId75" Type="http://schemas.openxmlformats.org/officeDocument/2006/relationships/hyperlink" Target="https://github.com/craftcms/cms/blob/5.x/CHANGELOG.md" TargetMode="External"/><Relationship Id="rId76" Type="http://schemas.openxmlformats.org/officeDocument/2006/relationships/hyperlink" Target="https://craftcms.com/docs/5.x/system/user-management.html" TargetMode="External"/><Relationship Id="rId77" Type="http://schemas.openxmlformats.org/officeDocument/2006/relationships/hyperlink" Target="https://github.com/craftcms/cms/blob/5.x/CHANGELOG.md" TargetMode="External"/><Relationship Id="rId78" Type="http://schemas.openxmlformats.org/officeDocument/2006/relationships/hyperlink" Target="https://craftcms.com/docs/5.x/reference/config/general.html" TargetMode="External"/><Relationship Id="rId79" Type="http://schemas.openxmlformats.org/officeDocument/2006/relationships/hyperlink" Target="https://craftcms.com/docs/5.x/reference/element-types/entries.html" TargetMode="External"/><Relationship Id="rId80" Type="http://schemas.openxmlformats.org/officeDocument/2006/relationships/hyperlink" Target="https://github.com/craftcms/cms/blob/5.x/CHANGELOG.md" TargetMode="External"/><Relationship Id="rId81" Type="http://schemas.openxmlformats.org/officeDocument/2006/relationships/hyperlink" Target="https://craftcms.com/docs/5.x/system/drafts-revisions.html" TargetMode="External"/><Relationship Id="rId82" Type="http://schemas.openxmlformats.org/officeDocument/2006/relationships/hyperlink" Target="https://craftcms.com/docs/5.x/system/mail.html" TargetMode="External"/><Relationship Id="rId83" Type="http://schemas.openxmlformats.org/officeDocument/2006/relationships/hyperlink" Target="https://craftcms.com/docs/5.x/system/user-management.html" TargetMode="External"/><Relationship Id="rId84" Type="http://schemas.openxmlformats.org/officeDocument/2006/relationships/hyperlink" Target="https://craftcms.com/cloud" TargetMode="External"/><Relationship Id="rId85" Type="http://schemas.openxmlformats.org/officeDocument/2006/relationships/hyperlink" Target="https://craftcms.com/knowledge-base/laravel-transition-planning" TargetMode="External"/><Relationship Id="rId86" Type="http://schemas.openxmlformats.org/officeDocument/2006/relationships/hyperlink" Target="https://craftcms.com/commerce" TargetMode="External"/><Relationship Id="rId87" Type="http://schemas.openxmlformats.org/officeDocument/2006/relationships/hyperlink" Target="https://getkirby.com/docs/guide/uuids" TargetMode="External"/><Relationship Id="rId88" Type="http://schemas.openxmlformats.org/officeDocument/2006/relationships/hyperlink" Target="https://getkirby.com/docs/guide/virtual-content" TargetMode="External"/><Relationship Id="rId89" Type="http://schemas.openxmlformats.org/officeDocument/2006/relationships/hyperlink" Target="https://getkirby.com/docs/guide/templates/page-models" TargetMode="External"/><Relationship Id="rId90" Type="http://schemas.openxmlformats.org/officeDocument/2006/relationships/hyperlink" Target="https://github.com/getkirby/kirby/releases/tag/5.1.0" TargetMode="External"/><Relationship Id="rId91" Type="http://schemas.openxmlformats.org/officeDocument/2006/relationships/hyperlink" Target="https://getkirby.com/releases/4" TargetMode="External"/><Relationship Id="rId92" Type="http://schemas.openxmlformats.org/officeDocument/2006/relationships/hyperlink" Target="https://getkirby.com/docs/guide/blueprints/extending-blueprints" TargetMode="External"/><Relationship Id="rId93" Type="http://schemas.openxmlformats.org/officeDocument/2006/relationships/hyperlink" Target="https://getkirby.com/docs/guide/content/publishing-workflow" TargetMode="External"/><Relationship Id="rId94" Type="http://schemas.openxmlformats.org/officeDocument/2006/relationships/hyperlink" Target="https://getkirby.com/releases/5/changes" TargetMode="External"/><Relationship Id="rId95" Type="http://schemas.openxmlformats.org/officeDocument/2006/relationships/hyperlink" Target="https://getkirby.com/docs/reference/plugins/extensions/kirbytags" TargetMode="External"/><Relationship Id="rId96" Type="http://schemas.openxmlformats.org/officeDocument/2006/relationships/hyperlink" Target="https://getkirby.com/releases/5" TargetMode="External"/><Relationship Id="rId97" Type="http://schemas.openxmlformats.org/officeDocument/2006/relationships/hyperlink" Target="https://getkirby.com/releases/5" TargetMode="External"/><Relationship Id="rId98" Type="http://schemas.openxmlformats.org/officeDocument/2006/relationships/hyperlink" Target="https://getkirby.com/releases/4" TargetMode="External"/><Relationship Id="rId99" Type="http://schemas.openxmlformats.org/officeDocument/2006/relationships/hyperlink" Target="https://getkirby.com/releases/5" TargetMode="External"/><Relationship Id="rId100" Type="http://schemas.openxmlformats.org/officeDocument/2006/relationships/hyperlink" Target="https://getkirby.com/releases/4" TargetMode="External"/><Relationship Id="rId101" Type="http://schemas.openxmlformats.org/officeDocument/2006/relationships/hyperlink" Target="https://getkirby.com/docs/guide/templates/content-representations" TargetMode="External"/><Relationship Id="rId102" Type="http://schemas.openxmlformats.org/officeDocument/2006/relationships/hyperlink" Target="https://getkirby.com/releases/6" TargetMode="External"/><Relationship Id="rId103" Type="http://schemas.openxmlformats.org/officeDocument/2006/relationships/hyperlink" Target="https://getkirby.com/releases/5" TargetMode="External"/><Relationship Id="rId104" Type="http://schemas.openxmlformats.org/officeDocument/2006/relationships/hyperlink" Target="https://getkirby.com/releases/6" TargetMode="External"/><Relationship Id="rId105" Type="http://schemas.openxmlformats.org/officeDocument/2006/relationships/hyperlink" Target="https://getkirby.com/docs/reference/plugins/extensions/core-components" TargetMode="External"/><Relationship Id="rId106" Type="http://schemas.openxmlformats.org/officeDocument/2006/relationships/hyperlink" Target="https://getkirby.com/releases/5" TargetMode="External"/><Relationship Id="rId107" Type="http://schemas.openxmlformats.org/officeDocument/2006/relationships/hyperlink" Target="https://getkirby.com/releases/4" TargetMode="External"/><Relationship Id="rId108" Type="http://schemas.openxmlformats.org/officeDocument/2006/relationships/hyperlink" Target="https://getkirby.com/releases/6" TargetMode="External"/><Relationship Id="rId109" Type="http://schemas.openxmlformats.org/officeDocument/2006/relationships/hyperlink" Target="https://getkirby.com/docs/guide/authentication/two-factor-auth" TargetMode="External"/><Relationship Id="rId110" Type="http://schemas.openxmlformats.org/officeDocument/2006/relationships/hyperlink" Target="https://getkirby.com/releases/6" TargetMode="External"/><Relationship Id="rId111" Type="http://schemas.openxmlformats.org/officeDocument/2006/relationships/hyperlink" Target="https://getkirby.com/docs/guide/content/publishing-workflow" TargetMode="External"/><Relationship Id="rId112" Type="http://schemas.openxmlformats.org/officeDocument/2006/relationships/hyperlink" Target="https://getkirby.com/docs/guide/users/permissions" TargetMode="External"/><Relationship Id="rId113" Type="http://schemas.openxmlformats.org/officeDocument/2006/relationships/hyperlink" Target="https://getkirby.com/docs/guide/languages" TargetMode="External"/><Relationship Id="rId114" Type="http://schemas.openxmlformats.org/officeDocument/2006/relationships/hyperlink" Target="https://getkirby.com/docs/guide/languages" TargetMode="External"/><Relationship Id="rId115" Type="http://schemas.openxmlformats.org/officeDocument/2006/relationships/hyperlink" Target="https://getkirby.com/releases/5" TargetMode="External"/><Relationship Id="rId116" Type="http://schemas.openxmlformats.org/officeDocument/2006/relationships/hyperlink" Target="https://getkirby.com/docs/guide/configuration/custom-folder-setup" TargetMode="External"/><Relationship Id="rId117" Type="http://schemas.openxmlformats.org/officeDocument/2006/relationships/hyperlink" Target="https://getkirby.com/docs/guide/quickstart" TargetMode="External"/><Relationship Id="rId118" Type="http://schemas.openxmlformats.org/officeDocument/2006/relationships/hyperlink" Target="https://github.com/getkirby/kirby/releases/tag/5.2.0" TargetMode="External"/><Relationship Id="rId119" Type="http://schemas.openxmlformats.org/officeDocument/2006/relationships/hyperlink" Target="https://getkirby.com/security.json" TargetMode="External"/><Relationship Id="rId120" Type="http://schemas.openxmlformats.org/officeDocument/2006/relationships/hyperlink" Target="https://statamic.dev/content-modeling/navigation" TargetMode="External"/><Relationship Id="rId121" Type="http://schemas.openxmlformats.org/officeDocument/2006/relationships/hyperlink" Target="https://statamic.dev/fieldtypes/dictionaries" TargetMode="External"/><Relationship Id="rId122" Type="http://schemas.openxmlformats.org/officeDocument/2006/relationships/hyperlink" Target="https://statamic.dev/content-modeling/data-inheritance" TargetMode="External"/><Relationship Id="rId123" Type="http://schemas.openxmlformats.org/officeDocument/2006/relationships/hyperlink" Target="https://statamic.dev/content-modeling/computed-values" TargetMode="External"/><Relationship Id="rId124" Type="http://schemas.openxmlformats.org/officeDocument/2006/relationships/hyperlink" Target="https://statamic.dev/content-modeling/collections" TargetMode="External"/><Relationship Id="rId125" Type="http://schemas.openxmlformats.org/officeDocument/2006/relationships/hyperlink" Target="https://statamic.dev/content-modeling/collections" TargetMode="External"/><Relationship Id="rId126" Type="http://schemas.openxmlformats.org/officeDocument/2006/relationships/hyperlink" Target="https://statamic.dev/content-modeling/collections" TargetMode="External"/><Relationship Id="rId127" Type="http://schemas.openxmlformats.org/officeDocument/2006/relationships/hyperlink" Target="https://statamic.dev/fieldtypes/replicator" TargetMode="External"/><Relationship Id="rId128" Type="http://schemas.openxmlformats.org/officeDocument/2006/relationships/hyperlink" Target="https://statamic.dev/control-panel/field-actions" TargetMode="External"/><Relationship Id="rId129" Type="http://schemas.openxmlformats.org/officeDocument/2006/relationships/hyperlink" Target="https://statamic.com/blog/statamic-6" TargetMode="External"/><Relationship Id="rId130" Type="http://schemas.openxmlformats.org/officeDocument/2006/relationships/hyperlink" Target="https://statamic.dev/fieldtypes/bard" TargetMode="External"/><Relationship Id="rId131" Type="http://schemas.openxmlformats.org/officeDocument/2006/relationships/hyperlink" Target="https://statamic.dev/fieldtypes/bard" TargetMode="External"/><Relationship Id="rId132" Type="http://schemas.openxmlformats.org/officeDocument/2006/relationships/hyperlink" Target="https://statamic.dev/frontend/assets" TargetMode="External"/><Relationship Id="rId133" Type="http://schemas.openxmlformats.org/officeDocument/2006/relationships/hyperlink" Target="https://statamic.dev/frontend/assets" TargetMode="External"/><Relationship Id="rId134" Type="http://schemas.openxmlformats.org/officeDocument/2006/relationships/hyperlink" Target="https://statamic.dev/tags/glide" TargetMode="External"/><Relationship Id="rId135" Type="http://schemas.openxmlformats.org/officeDocument/2006/relationships/hyperlink" Target="https://statamic.dev/control-panel/users" TargetMode="External"/><Relationship Id="rId136" Type="http://schemas.openxmlformats.org/officeDocument/2006/relationships/hyperlink" Target="https://statamic.dev/control-panel/elevated-sessions" TargetMode="External"/><Relationship Id="rId137" Type="http://schemas.openxmlformats.org/officeDocument/2006/relationships/hyperlink" Target="https://statamic.dev/frontend/protecting-content" TargetMode="External"/><Relationship Id="rId138" Type="http://schemas.openxmlformats.org/officeDocument/2006/relationships/hyperlink" Target="https://statamic.dev/getting-started/licensing" TargetMode="External"/><Relationship Id="rId139" Type="http://schemas.openxmlformats.org/officeDocument/2006/relationships/hyperlink" Target="https://statamic.dev/control-panel/git-automation" TargetMode="External"/><Relationship Id="rId140" Type="http://schemas.openxmlformats.org/officeDocument/2006/relationships/hyperlink" Target="https://statamic.dev/advanced-topics/stache" TargetMode="External"/><Relationship Id="rId141" Type="http://schemas.openxmlformats.org/officeDocument/2006/relationships/hyperlink" Target="https://statamic.dev/frontend/image-manipulation" TargetMode="External"/><Relationship Id="rId142" Type="http://schemas.openxmlformats.org/officeDocument/2006/relationships/hyperlink" Target="https://statamic.dev/advanced-topics/static-caching" TargetMode="External"/><Relationship Id="rId143" Type="http://schemas.openxmlformats.org/officeDocument/2006/relationships/hyperlink" Target="https://statamic.dev/starter-kits/updating-a-starter-kit" TargetMode="External"/><Relationship Id="rId144" Type="http://schemas.openxmlformats.org/officeDocument/2006/relationships/hyperlink" Target="https://statamic.dev/frontend/blade" TargetMode="External"/><Relationship Id="rId145" Type="http://schemas.openxmlformats.org/officeDocument/2006/relationships/hyperlink" Target="https://statamic.dev/frontend/view-models" TargetMode="External"/><Relationship Id="rId146" Type="http://schemas.openxmlformats.org/officeDocument/2006/relationships/hyperlink" Target="https://statamic.dev/backend-apis/actions" TargetMode="External"/><Relationship Id="rId147" Type="http://schemas.openxmlformats.org/officeDocument/2006/relationships/hyperlink" Target="https://statamic.dev/backend-apis/query-scopes-and-filters" TargetMode="External"/><Relationship Id="rId148" Type="http://schemas.openxmlformats.org/officeDocument/2006/relationships/hyperlink" Target="https://ui.statamic.dev/" TargetMode="External"/><Relationship Id="rId149" Type="http://schemas.openxmlformats.org/officeDocument/2006/relationships/hyperlink" Target="https://statamic.dev/control-panel/preferences" TargetMode="External"/><Relationship Id="rId150" Type="http://schemas.openxmlformats.org/officeDocument/2006/relationships/hyperlink" Target="https://statamic.dev/control-panel/utilities" TargetMode="External"/><Relationship Id="rId151" Type="http://schemas.openxmlformats.org/officeDocument/2006/relationships/hyperlink" Target="https://statamic.dev/frontend/forms" TargetMode="External"/><Relationship Id="rId152" Type="http://schemas.openxmlformats.org/officeDocument/2006/relationships/hyperlink" Target="https://statamic.com/blog/statamic-6" TargetMode="External"/><Relationship Id="rId153" Type="http://schemas.openxmlformats.org/officeDocument/2006/relationships/hyperlink" Target="https://statamic.com/sellers/statamic" TargetMode="External"/><Relationship Id="rId154" Type="http://schemas.openxmlformats.org/officeDocument/2006/relationships/hyperlink" Target="https://docs.octobercms.com/4.x/cms/tailor/blueprints.html" TargetMode="External"/><Relationship Id="rId155" Type="http://schemas.openxmlformats.org/officeDocument/2006/relationships/hyperlink" Target="https://docs.octobercms.com/4.x/cms/tailor/blueprints.html" TargetMode="External"/><Relationship Id="rId156" Type="http://schemas.openxmlformats.org/officeDocument/2006/relationships/hyperlink" Target="https://octobercms.com/support/article/rn-41" TargetMode="External"/><Relationship Id="rId157" Type="http://schemas.openxmlformats.org/officeDocument/2006/relationships/hyperlink" Target="https://octobercms.com/support/article/rn-41" TargetMode="External"/><Relationship Id="rId158" Type="http://schemas.openxmlformats.org/officeDocument/2006/relationships/hyperlink" Target="https://docs.octobercms.com/4.x/cms/tailor/introduction.html" TargetMode="External"/><Relationship Id="rId159" Type="http://schemas.openxmlformats.org/officeDocument/2006/relationships/hyperlink" Target="https://docs.octobercms.com/4.x/element/form/widget-pagefinder.html" TargetMode="External"/><Relationship Id="rId160" Type="http://schemas.openxmlformats.org/officeDocument/2006/relationships/hyperlink" Target="https://octobercms.com/support/article/rn-43" TargetMode="External"/><Relationship Id="rId161" Type="http://schemas.openxmlformats.org/officeDocument/2006/relationships/hyperlink" Target="https://docs.octobercms.com/4.x/cms/tailor/blueprints.html" TargetMode="External"/><Relationship Id="rId162" Type="http://schemas.openxmlformats.org/officeDocument/2006/relationships/hyperlink" Target="https://octobercms.com/support/article/rn-43" TargetMode="External"/><Relationship Id="rId163" Type="http://schemas.openxmlformats.org/officeDocument/2006/relationships/hyperlink" Target="https://octobercms.com/support/article/rn-42" TargetMode="External"/><Relationship Id="rId164" Type="http://schemas.openxmlformats.org/officeDocument/2006/relationships/hyperlink" Target="https://docs.octobercms.com/4.x/cms/ajax/introduction.html" TargetMode="External"/><Relationship Id="rId165" Type="http://schemas.openxmlformats.org/officeDocument/2006/relationships/hyperlink" Target="https://octobercms.com/support/article/rn-43" TargetMode="External"/><Relationship Id="rId166" Type="http://schemas.openxmlformats.org/officeDocument/2006/relationships/hyperlink" Target="https://octobercms.com/support/article/rn-42" TargetMode="External"/><Relationship Id="rId167" Type="http://schemas.openxmlformats.org/officeDocument/2006/relationships/hyperlink" Target="https://docs.octobercms.com/4.x/cms/themes/database-themes.html" TargetMode="External"/><Relationship Id="rId168" Type="http://schemas.openxmlformats.org/officeDocument/2006/relationships/hyperlink" Target="https://docs.octobercms.com/4.x/cms/themes/settings.html" TargetMode="External"/><Relationship Id="rId169" Type="http://schemas.openxmlformats.org/officeDocument/2006/relationships/hyperlink" Target="https://docs.octobercms.com/4.x/cms/themes/seeding-themes.html" TargetMode="External"/><Relationship Id="rId170" Type="http://schemas.openxmlformats.org/officeDocument/2006/relationships/hyperlink" Target="https://octobercms.com/support/article/rn-42" TargetMode="External"/><Relationship Id="rId171" Type="http://schemas.openxmlformats.org/officeDocument/2006/relationships/hyperlink" Target="https://docs.octobercms.com/4.x/cms/multisite/multisite.html" TargetMode="External"/><Relationship Id="rId172" Type="http://schemas.openxmlformats.org/officeDocument/2006/relationships/hyperlink" Target="https://docs.octobercms.com/4.x/cms/multisite/multisite.html" TargetMode="External"/><Relationship Id="rId173" Type="http://schemas.openxmlformats.org/officeDocument/2006/relationships/hyperlink" Target="https://docs.octobercms.com/4.x/cms/multisite/multisite.html" TargetMode="External"/><Relationship Id="rId174" Type="http://schemas.openxmlformats.org/officeDocument/2006/relationships/hyperlink" Target="https://docs.octobercms.com/4.x/extend/multisite/translatable.html" TargetMode="External"/><Relationship Id="rId175" Type="http://schemas.openxmlformats.org/officeDocument/2006/relationships/hyperlink" Target="https://github.com/octobercms/october/blob/develop/modules/backend/controllers/UserRoles.php" TargetMode="External"/><Relationship Id="rId176" Type="http://schemas.openxmlformats.org/officeDocument/2006/relationships/hyperlink" Target="https://octobercms.com/support/article/rn-40" TargetMode="External"/><Relationship Id="rId177" Type="http://schemas.openxmlformats.org/officeDocument/2006/relationships/hyperlink" Target="https://docs.octobercms.com/4.x/extend/database/traits.html" TargetMode="External"/><Relationship Id="rId178" Type="http://schemas.openxmlformats.org/officeDocument/2006/relationships/hyperlink" Target="https://octobercms.com/support/article/rn-43" TargetMode="External"/><Relationship Id="rId179" Type="http://schemas.openxmlformats.org/officeDocument/2006/relationships/hyperlink" Target="https://octobercms.com/support/article/rn-43" TargetMode="External"/><Relationship Id="rId180" Type="http://schemas.openxmlformats.org/officeDocument/2006/relationships/hyperlink" Target="https://docs.octobercms.com/4.x/setup/installation.html" TargetMode="External"/><Relationship Id="rId181" Type="http://schemas.openxmlformats.org/officeDocument/2006/relationships/hyperlink" Target="https://octobercms.com/plugin/rainlab-builder" TargetMode="External"/><Relationship Id="rId182" Type="http://schemas.openxmlformats.org/officeDocument/2006/relationships/hyperlink" Target="https://octobercms.com/support/article/rn-41" TargetMode="External"/><Relationship Id="rId183" Type="http://schemas.openxmlformats.org/officeDocument/2006/relationships/hyperlink" Target="https://octobercms.com/support/article/rn-40" TargetMode="External"/><Relationship Id="rId184" Type="http://schemas.openxmlformats.org/officeDocument/2006/relationships/hyperlink" Target="https://octobercms.com/plugins" TargetMode="External"/><Relationship Id="rId185" Type="http://schemas.openxmlformats.org/officeDocument/2006/relationships/hyperlink" Target="https://github.com/getgrav/grav/blob/develop/CHANGELOG.md" TargetMode="External"/><Relationship Id="rId186" Type="http://schemas.openxmlformats.org/officeDocument/2006/relationships/hyperlink" Target="https://github.com/getgrav/grav-plugin-sitemap" TargetMode="External"/><Relationship Id="rId187" Type="http://schemas.openxmlformats.org/officeDocument/2006/relationships/hyperlink" Target="https://github.com/trilbymedia/grav-plugin-flex-objects" TargetMode="External"/><Relationship Id="rId188" Type="http://schemas.openxmlformats.org/officeDocument/2006/relationships/hyperlink" Target="https://github.com/getgrav/grav-plugin-admin2/blob/develop/CHANGELOG.md" TargetMode="External"/><Relationship Id="rId189" Type="http://schemas.openxmlformats.org/officeDocument/2006/relationships/hyperlink" Target="https://github.com/trilbymedia/grav-plugin-flex-objects" TargetMode="External"/><Relationship Id="rId190" Type="http://schemas.openxmlformats.org/officeDocument/2006/relationships/hyperlink" Target="https://github.com/getgrav/grav/blob/develop/CHANGELOG.md" TargetMode="External"/><Relationship Id="rId191" Type="http://schemas.openxmlformats.org/officeDocument/2006/relationships/hyperlink" Target="https://github.com/getgrav/grav-plugin-shortcode-core" TargetMode="External"/><Relationship Id="rId192" Type="http://schemas.openxmlformats.org/officeDocument/2006/relationships/hyperlink" Target="https://github.com/getgrav/grav/blob/develop/CHANGELOG.md" TargetMode="External"/><Relationship Id="rId193" Type="http://schemas.openxmlformats.org/officeDocument/2006/relationships/hyperlink" Target="https://learn.getgrav.org/20/content/media" TargetMode="External"/><Relationship Id="rId194" Type="http://schemas.openxmlformats.org/officeDocument/2006/relationships/hyperlink" Target="https://learn.getgrav.org/20/content/media" TargetMode="External"/><Relationship Id="rId195" Type="http://schemas.openxmlformats.org/officeDocument/2006/relationships/hyperlink" Target="https://github.com/getgrav/grav/blob/develop/CHANGELOG.md" TargetMode="External"/><Relationship Id="rId196" Type="http://schemas.openxmlformats.org/officeDocument/2006/relationships/hyperlink" Target="https://getgrav.org/premium/image-optimize" TargetMode="External"/><Relationship Id="rId197" Type="http://schemas.openxmlformats.org/officeDocument/2006/relationships/hyperlink" Target="https://learn.getgrav.org/20/content/headers" TargetMode="External"/><Relationship Id="rId198" Type="http://schemas.openxmlformats.org/officeDocument/2006/relationships/hyperlink" Target="https://learn.getgrav.org/17/basics/grav-configuration" TargetMode="External"/><Relationship Id="rId199" Type="http://schemas.openxmlformats.org/officeDocument/2006/relationships/hyperlink" Target="https://github.com/getgrav/grav/blob/develop/CHANGELOG.md" TargetMode="External"/><Relationship Id="rId200" Type="http://schemas.openxmlformats.org/officeDocument/2006/relationships/hyperlink" Target="https://github.com/getgrav/grav-plugin-admin2/blob/develop/CHANGELOG.md" TargetMode="External"/><Relationship Id="rId201" Type="http://schemas.openxmlformats.org/officeDocument/2006/relationships/hyperlink" Target="https://github.com/getgrav/grav/blob/develop/CHANGELOG.md" TargetMode="External"/><Relationship Id="rId202" Type="http://schemas.openxmlformats.org/officeDocument/2006/relationships/hyperlink" Target="https://github.com/getgrav/grav-plugin-api" TargetMode="External"/><Relationship Id="rId203" Type="http://schemas.openxmlformats.org/officeDocument/2006/relationships/hyperlink" Target="https://github.com/getgrav/grav-plugin-api" TargetMode="External"/><Relationship Id="rId204" Type="http://schemas.openxmlformats.org/officeDocument/2006/relationships/hyperlink" Target="https://github.com/getgrav/grav-plugin-api" TargetMode="External"/><Relationship Id="rId205" Type="http://schemas.openxmlformats.org/officeDocument/2006/relationships/hyperlink" Target="https://github.com/getgrav/grav-plugin-login" TargetMode="External"/><Relationship Id="rId206" Type="http://schemas.openxmlformats.org/officeDocument/2006/relationships/hyperlink" Target="https://github.com/getgrav/grav/blob/develop/CHANGELOG.md" TargetMode="External"/><Relationship Id="rId207" Type="http://schemas.openxmlformats.org/officeDocument/2006/relationships/hyperlink" Target="https://getgrav.org/blog/grav-2-rc-released" TargetMode="External"/><Relationship Id="rId208" Type="http://schemas.openxmlformats.org/officeDocument/2006/relationships/hyperlink" Target="https://github.com/getgrav/grav/blob/develop/CHANGELOG.md" TargetMode="External"/><Relationship Id="rId209" Type="http://schemas.openxmlformats.org/officeDocument/2006/relationships/hyperlink" Target="https://github.com/getgrav/grav-plugin-scheduler-webhook" TargetMode="External"/><Relationship Id="rId210" Type="http://schemas.openxmlformats.org/officeDocument/2006/relationships/hyperlink" Target="https://github.com/getgrav/grav/releases" TargetMode="External"/><Relationship Id="rId211" Type="http://schemas.openxmlformats.org/officeDocument/2006/relationships/hyperlink" Target="https://github.com/getgrav/grav-plugin-admin2" TargetMode="External"/><Relationship Id="rId212" Type="http://schemas.openxmlformats.org/officeDocument/2006/relationships/hyperlink" Target="https://github.com/getgrav/grav-plugin-admin2" TargetMode="External"/><Relationship Id="rId213" Type="http://schemas.openxmlformats.org/officeDocument/2006/relationships/hyperlink" Target="https://learn.getgrav.org/20/grav-premium" TargetMode="External"/><Relationship Id="rId214" Type="http://schemas.openxmlformats.org/officeDocument/2006/relationships/hyperlink" Target="https://learn.getgrav.org/20/grav-premium/helios" TargetMode="External"/><Relationship Id="rId215" Type="http://schemas.openxmlformats.org/officeDocument/2006/relationships/hyperlink" Target="https://payloadcms.com/docs/fields/point" TargetMode="External"/><Relationship Id="rId216" Type="http://schemas.openxmlformats.org/officeDocument/2006/relationships/hyperlink" Target="https://payloadcms.com/docs/fields/json" TargetMode="External"/><Relationship Id="rId217" Type="http://schemas.openxmlformats.org/officeDocument/2006/relationships/hyperlink" Target="https://payloadcms.com/docs/fields/tabs" TargetMode="External"/><Relationship Id="rId218" Type="http://schemas.openxmlformats.org/officeDocument/2006/relationships/hyperlink" Target="https://payloadcms.com/docs/configuration/collections" TargetMode="External"/><Relationship Id="rId219" Type="http://schemas.openxmlformats.org/officeDocument/2006/relationships/hyperlink" Target="https://payloadcms.com/docs/authentication/overview" TargetMode="External"/><Relationship Id="rId220" Type="http://schemas.openxmlformats.org/officeDocument/2006/relationships/hyperlink" Target="https://payloadcms.com/docs/rich-text/custom-features" TargetMode="External"/><Relationship Id="rId221" Type="http://schemas.openxmlformats.org/officeDocument/2006/relationships/hyperlink" Target="https://payloadcms.com/docs/configuration/collections" TargetMode="External"/><Relationship Id="rId222" Type="http://schemas.openxmlformats.org/officeDocument/2006/relationships/hyperlink" Target="https://github.com/payloadcms/payload/tree/main/packages/admin-bar" TargetMode="External"/><Relationship Id="rId223" Type="http://schemas.openxmlformats.org/officeDocument/2006/relationships/hyperlink" Target="https://payloadcms.com/docs/integrations/vercel-content-link" TargetMode="External"/><Relationship Id="rId224" Type="http://schemas.openxmlformats.org/officeDocument/2006/relationships/hyperlink" Target="https://payloadcms.com/enterprise" TargetMode="External"/><Relationship Id="rId225" Type="http://schemas.openxmlformats.org/officeDocument/2006/relationships/hyperlink" Target="https://payloadcms.com/docs/local-api/overview" TargetMode="External"/><Relationship Id="rId226" Type="http://schemas.openxmlformats.org/officeDocument/2006/relationships/hyperlink" Target="https://payloadcms.com/docs/rest-api/overview" TargetMode="External"/><Relationship Id="rId227" Type="http://schemas.openxmlformats.org/officeDocument/2006/relationships/hyperlink" Target="https://payloadcms.com/docs/queries/select" TargetMode="External"/><Relationship Id="rId228" Type="http://schemas.openxmlformats.org/officeDocument/2006/relationships/hyperlink" Target="https://payloadcms.com/docs/production/preventing-abuse" TargetMode="External"/><Relationship Id="rId229" Type="http://schemas.openxmlformats.org/officeDocument/2006/relationships/hyperlink" Target="https://payloadcms.com/docs/database/transactions" TargetMode="External"/><Relationship Id="rId230" Type="http://schemas.openxmlformats.org/officeDocument/2006/relationships/hyperlink" Target="https://payloadcms.com/docs/database/postgres" TargetMode="External"/><Relationship Id="rId231" Type="http://schemas.openxmlformats.org/officeDocument/2006/relationships/hyperlink" Target="https://github.com/payloadcms/payload/tree/main/packages/kv-redis" TargetMode="External"/><Relationship Id="rId232" Type="http://schemas.openxmlformats.org/officeDocument/2006/relationships/hyperlink" Target="https://payloadcms.com/docs/database/sqlite" TargetMode="External"/><Relationship Id="rId233" Type="http://schemas.openxmlformats.org/officeDocument/2006/relationships/hyperlink" Target="https://payloadcms.com/docs/upload/storage-adapters" TargetMode="External"/><Relationship Id="rId234" Type="http://schemas.openxmlformats.org/officeDocument/2006/relationships/hyperlink" Target="https://payloadcms.com/docs/upload/overview" TargetMode="External"/><Relationship Id="rId235" Type="http://schemas.openxmlformats.org/officeDocument/2006/relationships/hyperlink" Target="https://payloadcms.com/docs/query-presets/overview" TargetMode="External"/><Relationship Id="rId236" Type="http://schemas.openxmlformats.org/officeDocument/2006/relationships/hyperlink" Target="https://payloadcms.com/docs/configuration/collections" TargetMode="External"/><Relationship Id="rId237" Type="http://schemas.openxmlformats.org/officeDocument/2006/relationships/hyperlink" Target="https://payloadcms.com/docs/admin/preferences" TargetMode="External"/><Relationship Id="rId238" Type="http://schemas.openxmlformats.org/officeDocument/2006/relationships/hyperlink" Target="https://payloadcms.com/docs/authentication/api-keys" TargetMode="External"/><Relationship Id="rId239" Type="http://schemas.openxmlformats.org/officeDocument/2006/relationships/hyperlink" Target="https://payloadcms.com/docs/access-control/overview" TargetMode="External"/><Relationship Id="rId240" Type="http://schemas.openxmlformats.org/officeDocument/2006/relationships/hyperlink" Target="https://payloadcms.com/docs/authentication/overview" TargetMode="External"/><Relationship Id="rId241" Type="http://schemas.openxmlformats.org/officeDocument/2006/relationships/hyperlink" Target="https://payloadcms.com/docs/jobs-queue/workflows" TargetMode="External"/><Relationship Id="rId242" Type="http://schemas.openxmlformats.org/officeDocument/2006/relationships/hyperlink" Target="https://payloadcms.com/docs/migration-guide/overview" TargetMode="External"/><Relationship Id="rId243" Type="http://schemas.openxmlformats.org/officeDocument/2006/relationships/hyperlink" Target="https://payloadcms.com/docs/plugins/sentry" TargetMode="External"/><Relationship Id="rId244" Type="http://schemas.openxmlformats.org/officeDocument/2006/relationships/hyperlink" Target="https://payloadcms.com/docs/admin/overview" TargetMode="External"/><Relationship Id="rId245" Type="http://schemas.openxmlformats.org/officeDocument/2006/relationships/hyperlink" Target="https://github.com/tallcms/tallcms/blob/main/docs/ref-architecture.md" TargetMode="External"/><Relationship Id="rId246" Type="http://schemas.openxmlformats.org/officeDocument/2006/relationships/hyperlink" Target="https://github.com/tallcms/tallcms/blob/main/docs/ref-rich-editor.md" TargetMode="External"/><Relationship Id="rId247" Type="http://schemas.openxmlformats.org/officeDocument/2006/relationships/hyperlink" Target="https://github.com/tallcms/tallcms/blob/main/docs/ref-rich-editor.md" TargetMode="External"/><Relationship Id="rId248" Type="http://schemas.openxmlformats.org/officeDocument/2006/relationships/hyperlink" Target="https://github.com/tallcms/tallcms/blob/main/docs/ref-rich-editor.md" TargetMode="External"/><Relationship Id="rId249" Type="http://schemas.openxmlformats.org/officeDocument/2006/relationships/hyperlink" Target="https://github.com/tallcms/tallcms/blob/main/docs/site-blocks-animations.md" TargetMode="External"/><Relationship Id="rId250" Type="http://schemas.openxmlformats.org/officeDocument/2006/relationships/hyperlink" Target="https://github.com/tallcms/tallcms/blob/main/docs/ref-pro-plugin-changelog.md" TargetMode="External"/><Relationship Id="rId251" Type="http://schemas.openxmlformats.org/officeDocument/2006/relationships/hyperlink" Target="https://github.com/tallcms/tallcms/blob/main/docs/site-blocks.md" TargetMode="External"/><Relationship Id="rId252" Type="http://schemas.openxmlformats.org/officeDocument/2006/relationships/hyperlink" Target="https://github.com/tallcms/tallcms/blob/main/docs/site-settings.md" TargetMode="External"/><Relationship Id="rId253" Type="http://schemas.openxmlformats.org/officeDocument/2006/relationships/hyperlink" Target="https://github.com/tallcms/tallcms/blob/main/docs/ref-publishing.md" TargetMode="External"/><Relationship Id="rId254" Type="http://schemas.openxmlformats.org/officeDocument/2006/relationships/hyperlink" Target="https://github.com/tallcms/tallcms/blob/main/docs/ref-publishing.md" TargetMode="External"/><Relationship Id="rId255" Type="http://schemas.openxmlformats.org/officeDocument/2006/relationships/hyperlink" Target="https://github.com/tallcms/tallcms/tree/main/packages/tallcms/cms/src/Filament/Resources/CmsPages/Schemas/CmsPageForm.php" TargetMode="External"/><Relationship Id="rId256" Type="http://schemas.openxmlformats.org/officeDocument/2006/relationships/hyperlink" Target="https://github.com/tallcms/tallcms/blob/main/docs/site-menus.md" TargetMode="External"/><Relationship Id="rId257" Type="http://schemas.openxmlformats.org/officeDocument/2006/relationships/hyperlink" Target="https://github.com/tallcms/tallcms/blob/main/docs/site-mega-menu.md" TargetMode="External"/><Relationship Id="rId258" Type="http://schemas.openxmlformats.org/officeDocument/2006/relationships/hyperlink" Target="https://github.com/tallcms/tallcms/blob/main/docs/site-templates.md" TargetMode="External"/><Relationship Id="rId259" Type="http://schemas.openxmlformats.org/officeDocument/2006/relationships/hyperlink" Target="https://github.com/tallcms/tallcms/blob/main/docs/site-settings.md" TargetMode="External"/><Relationship Id="rId260" Type="http://schemas.openxmlformats.org/officeDocument/2006/relationships/hyperlink" Target="https://github.com/tallcms/tallcms/blob/main/docs/dev-theme-switcher.md" TargetMode="External"/><Relationship Id="rId261" Type="http://schemas.openxmlformats.org/officeDocument/2006/relationships/hyperlink" Target="https://github.com/tallcms/tallcms/blob/main/docs/site-comments.md" TargetMode="External"/><Relationship Id="rId262" Type="http://schemas.openxmlformats.org/officeDocument/2006/relationships/hyperlink" Target="https://github.com/tallcms/tallcms/blob/main/docs/site-seo.md" TargetMode="External"/><Relationship Id="rId263" Type="http://schemas.openxmlformats.org/officeDocument/2006/relationships/hyperlink" Target="https://github.com/tallcms/tallcms/blob/main/docs/site-seo.md" TargetMode="External"/><Relationship Id="rId264" Type="http://schemas.openxmlformats.org/officeDocument/2006/relationships/hyperlink" Target="https://github.com/tallcms/tallcms/blob/main/docs/site-pages-posts.md" TargetMode="External"/><Relationship Id="rId265" Type="http://schemas.openxmlformats.org/officeDocument/2006/relationships/hyperlink" Target="https://github.com/tallcms/tallcms/tree/main/packages/tallcms/cms/src/Http/Controllers/LlmsTxtController.php" TargetMode="External"/><Relationship Id="rId266" Type="http://schemas.openxmlformats.org/officeDocument/2006/relationships/hyperlink" Target="https://github.com/tallcms/tallcms/blob/main/docs/site-code-injection.md" TargetMode="External"/><Relationship Id="rId267" Type="http://schemas.openxmlformats.org/officeDocument/2006/relationships/hyperlink" Target="https://github.com/tallcms/tallcms/blob/main/docs/site-settings.md" TargetMode="External"/><Relationship Id="rId268" Type="http://schemas.openxmlformats.org/officeDocument/2006/relationships/hyperlink" Target="https://github.com/tallcms/tallcms/blob/main/docs/site-multisite.md" TargetMode="External"/><Relationship Id="rId269" Type="http://schemas.openxmlformats.org/officeDocument/2006/relationships/hyperlink" Target="https://github.com/tallcms/tallcms/blob/main/docs/site-multisite.md" TargetMode="External"/><Relationship Id="rId270" Type="http://schemas.openxmlformats.org/officeDocument/2006/relationships/hyperlink" Target="https://github.com/tallcms/tallcms/blob/main/docs/ref-updating.md" TargetMode="External"/><Relationship Id="rId271" Type="http://schemas.openxmlformats.org/officeDocument/2006/relationships/hyperlink" Target="https://github.com/tallcms/tallcms/blob/main/docs/dev-plugins.md" TargetMode="External"/><Relationship Id="rId272" Type="http://schemas.openxmlformats.org/officeDocument/2006/relationships/hyperlink" Target="https://github.com/tallcms/tallcms/blob/main/docs/ref-plugin-licensing.md" TargetMode="External"/><Relationship Id="rId273" Type="http://schemas.openxmlformats.org/officeDocument/2006/relationships/hyperlink" Target="https://github.com/tallcms/tallcms/blob/main/docs/ref-i18n.md" TargetMode="External"/><Relationship Id="rId274" Type="http://schemas.openxmlformats.org/officeDocument/2006/relationships/hyperlink" Target="https://github.com/tallcms/tallcms/blob/main/docs/dev-api.md" TargetMode="External"/><Relationship Id="rId275" Type="http://schemas.openxmlformats.org/officeDocument/2006/relationships/hyperlink" Target="https://github.com/tallcms/tallcms/blob/main/docs/ref-pro-email-marketing.md" TargetMode="External"/><Relationship Id="rId276" Type="http://schemas.openxmlformats.org/officeDocument/2006/relationships/hyperlink" Target="https://github.com/lara-zeus/sky/blob/main/src/Models/PostScope.php" TargetMode="External"/><Relationship Id="rId277" Type="http://schemas.openxmlformats.org/officeDocument/2006/relationships/hyperlink" Target="https://github.com/lara-zeus/sky/blob/main/src/Livewire/Post.php" TargetMode="External"/><Relationship Id="rId278" Type="http://schemas.openxmlformats.org/officeDocument/2006/relationships/hyperlink" Target="https://github.com/lara-zeus/sky/blob/main/src/Livewire/Post.php" TargetMode="External"/><Relationship Id="rId279" Type="http://schemas.openxmlformats.org/officeDocument/2006/relationships/hyperlink" Target="https://larazeus.com/docs/sky/v5/advanced/addons" TargetMode="External"/><Relationship Id="rId280" Type="http://schemas.openxmlformats.org/officeDocument/2006/relationships/hyperlink" Target="https://larazeus.com/docs/sky/v5/advanced/addons" TargetMode="External"/><Relationship Id="rId281" Type="http://schemas.openxmlformats.org/officeDocument/2006/relationships/hyperlink" Target="https://github.com/lara-zeus/sky/blob/main/src/Filament/Resources/PostResource.php" TargetMode="External"/><Relationship Id="rId282" Type="http://schemas.openxmlformats.org/officeDocument/2006/relationships/hyperlink" Target="https://larazeus.com/docs/sky/v5/advanced/customization" TargetMode="External"/><Relationship Id="rId283" Type="http://schemas.openxmlformats.org/officeDocument/2006/relationships/hyperlink" Target="https://github.com/lara-zeus/sky/blob/main/src/Configuration.php" TargetMode="External"/><Relationship Id="rId284" Type="http://schemas.openxmlformats.org/officeDocument/2006/relationships/hyperlink" Target="https://larazeus.com/docs/sky/v5/getting-started/editor" TargetMode="External"/><Relationship Id="rId285" Type="http://schemas.openxmlformats.org/officeDocument/2006/relationships/hyperlink" Target="https://github.com/lara-zeus/sky/blob/main/config/zeus-sky.php" TargetMode="External"/><Relationship Id="rId286" Type="http://schemas.openxmlformats.org/officeDocument/2006/relationships/hyperlink" Target="https://github.com/lara-zeus/sky/blob/main/src/Classes/BoltParser.php" TargetMode="External"/><Relationship Id="rId287" Type="http://schemas.openxmlformats.org/officeDocument/2006/relationships/hyperlink" Target="https://larazeus.com/docs/sky/v5/advanced/models" TargetMode="External"/><Relationship Id="rId288" Type="http://schemas.openxmlformats.org/officeDocument/2006/relationships/hyperlink" Target="https://larazeus.com/docs/sky/v5/getting-started/configuration" TargetMode="External"/><Relationship Id="rId289" Type="http://schemas.openxmlformats.org/officeDocument/2006/relationships/hyperlink" Target="https://larazeus.com/docs/sky/v5/getting-started/configuration" TargetMode="External"/><Relationship Id="rId290" Type="http://schemas.openxmlformats.org/officeDocument/2006/relationships/hyperlink" Target="https://github.com/lara-zeus/sky/blob/main/config/zeus-sky.php" TargetMode="External"/><Relationship Id="rId291" Type="http://schemas.openxmlformats.org/officeDocument/2006/relationships/hyperlink" Target="https://github.com/lara-zeus/sky/blob/main/src/Livewire/SearchHelpers.php" TargetMode="External"/><Relationship Id="rId292" Type="http://schemas.openxmlformats.org/officeDocument/2006/relationships/hyperlink" Target="https://github.com/lara-zeus/sky/blob/main/routes/web.php" TargetMode="External"/><Relationship Id="rId293" Type="http://schemas.openxmlformats.org/officeDocument/2006/relationships/hyperlink" Target="https://github.com/lara-zeus/sky/blob/main/resources/views/themes/zeus/sky/partial/sidebar.blade.php" TargetMode="External"/><Relationship Id="rId294" Type="http://schemas.openxmlformats.org/officeDocument/2006/relationships/hyperlink" Target="https://github.com/lara-zeus/sky/blob/main/src/Console/migrateCommand.php" TargetMode="External"/><Relationship Id="rId295" Type="http://schemas.openxmlformats.org/officeDocument/2006/relationships/hyperlink" Target="https://github.com/lara-zeus/sky/blob/main/src/Filament/Resources/PostResource.php" TargetMode="External"/><Relationship Id="rId296" Type="http://schemas.openxmlformats.org/officeDocument/2006/relationships/hyperlink" Target="https://github.com/lara-zeus/artemis" TargetMode="External"/><Relationship Id="rId297" Type="http://schemas.openxmlformats.org/officeDocument/2006/relationships/hyperlink" Target="https://larazeus.com/docs/sky/v5/advanced/models" TargetMode="External"/><Relationship Id="rId298" Type="http://schemas.openxmlformats.org/officeDocument/2006/relationships/table" Target="../tables/table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34"/>
    <col collapsed="false" customWidth="true" hidden="false" outlineLevel="0" max="4" min="4" style="0" width="4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4" t="s">
        <v>5</v>
      </c>
      <c r="B6" s="2" t="s">
        <v>6</v>
      </c>
    </row>
    <row r="7" customFormat="false" ht="15" hidden="false" customHeight="false" outlineLevel="0" collapsed="false">
      <c r="A7" s="4" t="s">
        <v>7</v>
      </c>
      <c r="B7" s="2" t="s">
        <v>8</v>
      </c>
    </row>
    <row r="8" customFormat="false" ht="15" hidden="false" customHeight="false" outlineLevel="0" collapsed="false">
      <c r="A8" s="4" t="s">
        <v>9</v>
      </c>
      <c r="B8" s="2" t="s">
        <v>10</v>
      </c>
    </row>
    <row r="9" customFormat="false" ht="15" hidden="false" customHeight="false" outlineLevel="0" collapsed="false">
      <c r="A9" s="4" t="s">
        <v>11</v>
      </c>
      <c r="B9" s="2" t="s">
        <v>12</v>
      </c>
    </row>
    <row r="10" customFormat="false" ht="15" hidden="false" customHeight="false" outlineLevel="0" collapsed="false">
      <c r="A10" s="4" t="s">
        <v>13</v>
      </c>
      <c r="B10" s="2" t="s">
        <v>14</v>
      </c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5" t="s">
        <v>16</v>
      </c>
      <c r="B13" s="2" t="s">
        <v>17</v>
      </c>
    </row>
    <row r="14" customFormat="false" ht="15" hidden="false" customHeight="false" outlineLevel="0" collapsed="false">
      <c r="A14" s="6" t="s">
        <v>18</v>
      </c>
      <c r="B14" s="2" t="s">
        <v>19</v>
      </c>
    </row>
    <row r="15" customFormat="false" ht="15" hidden="false" customHeight="false" outlineLevel="0" collapsed="false">
      <c r="A15" s="7" t="s">
        <v>20</v>
      </c>
      <c r="B15" s="2" t="s">
        <v>21</v>
      </c>
    </row>
    <row r="16" customFormat="false" ht="15" hidden="false" customHeight="false" outlineLevel="0" collapsed="false">
      <c r="A16" s="8" t="s">
        <v>22</v>
      </c>
      <c r="B16" s="2" t="s">
        <v>23</v>
      </c>
    </row>
    <row r="17" customFormat="false" ht="15" hidden="false" customHeight="false" outlineLevel="0" collapsed="false">
      <c r="A17" s="9" t="s">
        <v>24</v>
      </c>
      <c r="B17" s="2" t="s">
        <v>25</v>
      </c>
    </row>
    <row r="18" customFormat="false" ht="15" hidden="false" customHeight="false" outlineLevel="0" collapsed="false">
      <c r="A18" s="10" t="s">
        <v>26</v>
      </c>
      <c r="B18" s="2" t="s">
        <v>27</v>
      </c>
    </row>
    <row r="19" customFormat="false" ht="15" hidden="false" customHeight="false" outlineLevel="0" collapsed="false">
      <c r="A19" s="11" t="s">
        <v>28</v>
      </c>
      <c r="B19" s="2" t="s">
        <v>29</v>
      </c>
    </row>
    <row r="21" customFormat="false" ht="15" hidden="false" customHeight="false" outlineLevel="0" collapsed="false">
      <c r="A21" s="3" t="s">
        <v>30</v>
      </c>
    </row>
    <row r="22" customFormat="false" ht="15" hidden="false" customHeight="false" outlineLevel="0" collapsed="false">
      <c r="A22" s="12" t="s">
        <v>31</v>
      </c>
      <c r="B22" s="12" t="s">
        <v>32</v>
      </c>
      <c r="C22" s="12" t="s">
        <v>33</v>
      </c>
      <c r="D22" s="12" t="s">
        <v>34</v>
      </c>
    </row>
    <row r="23" customFormat="false" ht="35.05" hidden="false" customHeight="false" outlineLevel="0" collapsed="false">
      <c r="A23" s="13" t="s">
        <v>35</v>
      </c>
      <c r="B23" s="13" t="s">
        <v>36</v>
      </c>
      <c r="C23" s="13" t="s">
        <v>37</v>
      </c>
      <c r="D23" s="13" t="s">
        <v>38</v>
      </c>
    </row>
    <row r="24" customFormat="false" ht="35.05" hidden="false" customHeight="false" outlineLevel="0" collapsed="false">
      <c r="A24" s="13" t="s">
        <v>39</v>
      </c>
      <c r="B24" s="13" t="s">
        <v>40</v>
      </c>
      <c r="C24" s="13" t="s">
        <v>41</v>
      </c>
      <c r="D24" s="13" t="s">
        <v>42</v>
      </c>
    </row>
    <row r="25" customFormat="false" ht="35.05" hidden="false" customHeight="false" outlineLevel="0" collapsed="false">
      <c r="A25" s="13" t="s">
        <v>43</v>
      </c>
      <c r="B25" s="13" t="s">
        <v>44</v>
      </c>
      <c r="C25" s="13" t="s">
        <v>45</v>
      </c>
      <c r="D25" s="13" t="s">
        <v>46</v>
      </c>
    </row>
    <row r="26" customFormat="false" ht="35.05" hidden="false" customHeight="false" outlineLevel="0" collapsed="false">
      <c r="A26" s="13" t="s">
        <v>47</v>
      </c>
      <c r="B26" s="13" t="s">
        <v>48</v>
      </c>
      <c r="C26" s="13" t="s">
        <v>49</v>
      </c>
      <c r="D26" s="13" t="s">
        <v>50</v>
      </c>
    </row>
    <row r="27" customFormat="false" ht="35.05" hidden="false" customHeight="false" outlineLevel="0" collapsed="false">
      <c r="A27" s="13" t="s">
        <v>51</v>
      </c>
      <c r="B27" s="13" t="s">
        <v>52</v>
      </c>
      <c r="C27" s="13" t="s">
        <v>53</v>
      </c>
      <c r="D27" s="13" t="s">
        <v>54</v>
      </c>
    </row>
    <row r="28" customFormat="false" ht="46.25" hidden="false" customHeight="false" outlineLevel="0" collapsed="false">
      <c r="A28" s="13" t="s">
        <v>55</v>
      </c>
      <c r="B28" s="13" t="s">
        <v>56</v>
      </c>
      <c r="C28" s="13" t="s">
        <v>57</v>
      </c>
      <c r="D28" s="13" t="s">
        <v>58</v>
      </c>
    </row>
    <row r="29" customFormat="false" ht="35.05" hidden="false" customHeight="false" outlineLevel="0" collapsed="false">
      <c r="A29" s="13" t="s">
        <v>59</v>
      </c>
      <c r="B29" s="13" t="s">
        <v>60</v>
      </c>
      <c r="C29" s="13" t="s">
        <v>61</v>
      </c>
      <c r="D29" s="13" t="s">
        <v>62</v>
      </c>
    </row>
    <row r="30" customFormat="false" ht="23.85" hidden="false" customHeight="false" outlineLevel="0" collapsed="false">
      <c r="A30" s="13" t="s">
        <v>63</v>
      </c>
      <c r="B30" s="13" t="s">
        <v>64</v>
      </c>
      <c r="C30" s="13" t="s">
        <v>65</v>
      </c>
      <c r="D30" s="13" t="s">
        <v>66</v>
      </c>
    </row>
    <row r="31" customFormat="false" ht="23.85" hidden="false" customHeight="false" outlineLevel="0" collapsed="false">
      <c r="A31" s="13" t="s">
        <v>67</v>
      </c>
      <c r="B31" s="13" t="s">
        <v>68</v>
      </c>
      <c r="C31" s="13" t="s">
        <v>69</v>
      </c>
      <c r="D31" s="13" t="s">
        <v>70</v>
      </c>
    </row>
    <row r="32" customFormat="false" ht="23.85" hidden="false" customHeight="false" outlineLevel="0" collapsed="false">
      <c r="A32" s="13" t="s">
        <v>71</v>
      </c>
      <c r="B32" s="13" t="s">
        <v>72</v>
      </c>
      <c r="C32" s="13" t="s">
        <v>61</v>
      </c>
      <c r="D32" s="13" t="s">
        <v>73</v>
      </c>
    </row>
    <row r="34" customFormat="false" ht="15" hidden="false" customHeight="false" outlineLevel="0" collapsed="false">
      <c r="A34" s="14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21" min="4" style="0" width="12"/>
  </cols>
  <sheetData>
    <row r="1" customFormat="false" ht="17.35" hidden="false" customHeight="false" outlineLevel="0" collapsed="false">
      <c r="A1" s="15" t="s">
        <v>75</v>
      </c>
    </row>
    <row r="2" customFormat="false" ht="15" hidden="false" customHeight="false" outlineLevel="0" collapsed="false">
      <c r="A2" s="14" t="s">
        <v>76</v>
      </c>
    </row>
    <row r="4" customFormat="false" ht="43.5" hidden="false" customHeight="true" outlineLevel="0" collapsed="false">
      <c r="A4" s="16" t="s">
        <v>31</v>
      </c>
      <c r="B4" s="16" t="s">
        <v>16</v>
      </c>
      <c r="C4" s="16" t="s">
        <v>18</v>
      </c>
      <c r="D4" s="16" t="s">
        <v>20</v>
      </c>
      <c r="E4" s="16" t="s">
        <v>22</v>
      </c>
      <c r="F4" s="16" t="s">
        <v>24</v>
      </c>
      <c r="G4" s="16" t="s">
        <v>26</v>
      </c>
      <c r="H4" s="16" t="s">
        <v>28</v>
      </c>
      <c r="I4" s="16" t="s">
        <v>77</v>
      </c>
      <c r="J4" s="16" t="s">
        <v>78</v>
      </c>
      <c r="K4" s="16" t="s">
        <v>79</v>
      </c>
    </row>
    <row r="5" customFormat="false" ht="15" hidden="false" customHeight="false" outlineLevel="0" collapsed="false">
      <c r="A5" s="17" t="s">
        <v>35</v>
      </c>
      <c r="B5" s="18" t="n">
        <f aca="false">COUNTIF(Matrice!$D$2:$D$212,"Natif")</f>
        <v>81</v>
      </c>
      <c r="C5" s="18" t="n">
        <f aca="false">COUNTIF(Matrice!$D$2:$D$212,"Officiel")</f>
        <v>49</v>
      </c>
      <c r="D5" s="18" t="n">
        <f aca="false">COUNTIF(Matrice!$D$2:$D$212,"Tiers")</f>
        <v>30</v>
      </c>
      <c r="E5" s="18" t="n">
        <f aca="false">COUNTIF(Matrice!$D$2:$D$212,"Partiel")</f>
        <v>39</v>
      </c>
      <c r="F5" s="18" t="n">
        <f aca="false">COUNTIF(Matrice!$D$2:$D$212,"Absent")</f>
        <v>2</v>
      </c>
      <c r="G5" s="18" t="n">
        <f aca="false">COUNTIF(Matrice!$D$2:$D$212,"?")</f>
        <v>0</v>
      </c>
      <c r="H5" s="18" t="n">
        <f aca="false">COUNTIF(Matrice!$D$2:$D$212,"Info")</f>
        <v>10</v>
      </c>
      <c r="I5" s="18" t="n">
        <f aca="false">SUM(B5:H5)</f>
        <v>211</v>
      </c>
      <c r="J5" s="19" t="n">
        <f aca="false">IFERROR((B5+C5)/(I5-H5),0)</f>
        <v>0.646766169154229</v>
      </c>
      <c r="K5" s="20" t="n">
        <f aca="false">IFERROR((B5+C5+D5)/(I5-H5),0)</f>
        <v>0.796019900497513</v>
      </c>
    </row>
    <row r="6" customFormat="false" ht="15" hidden="false" customHeight="false" outlineLevel="0" collapsed="false">
      <c r="A6" s="17" t="s">
        <v>39</v>
      </c>
      <c r="B6" s="18" t="n">
        <f aca="false">COUNTIF(Matrice!$E$2:$E$212,"Natif")</f>
        <v>87</v>
      </c>
      <c r="C6" s="18" t="n">
        <f aca="false">COUNTIF(Matrice!$E$2:$E$212,"Officiel")</f>
        <v>11</v>
      </c>
      <c r="D6" s="18" t="n">
        <f aca="false">COUNTIF(Matrice!$E$2:$E$212,"Tiers")</f>
        <v>67</v>
      </c>
      <c r="E6" s="18" t="n">
        <f aca="false">COUNTIF(Matrice!$E$2:$E$212,"Partiel")</f>
        <v>34</v>
      </c>
      <c r="F6" s="18" t="n">
        <f aca="false">COUNTIF(Matrice!$E$2:$E$212,"Absent")</f>
        <v>2</v>
      </c>
      <c r="G6" s="18" t="n">
        <f aca="false">COUNTIF(Matrice!$E$2:$E$212,"?")</f>
        <v>0</v>
      </c>
      <c r="H6" s="18" t="n">
        <f aca="false">COUNTIF(Matrice!$E$2:$E$212,"Info")</f>
        <v>10</v>
      </c>
      <c r="I6" s="18" t="n">
        <f aca="false">SUM(B6:H6)</f>
        <v>211</v>
      </c>
      <c r="J6" s="21" t="n">
        <f aca="false">IFERROR((B6+C6)/(I6-H6),0)</f>
        <v>0.487562189054726</v>
      </c>
      <c r="K6" s="22" t="n">
        <f aca="false">IFERROR((B6+C6+D6)/(I6-H6),0)</f>
        <v>0.82089552238806</v>
      </c>
    </row>
    <row r="7" customFormat="false" ht="15" hidden="false" customHeight="false" outlineLevel="0" collapsed="false">
      <c r="A7" s="17" t="s">
        <v>43</v>
      </c>
      <c r="B7" s="18" t="n">
        <f aca="false">COUNTIF(Matrice!$F$2:$F$212,"Natif")</f>
        <v>95</v>
      </c>
      <c r="C7" s="18" t="n">
        <f aca="false">COUNTIF(Matrice!$F$2:$F$212,"Officiel")</f>
        <v>26</v>
      </c>
      <c r="D7" s="18" t="n">
        <f aca="false">COUNTIF(Matrice!$F$2:$F$212,"Tiers")</f>
        <v>34</v>
      </c>
      <c r="E7" s="18" t="n">
        <f aca="false">COUNTIF(Matrice!$F$2:$F$212,"Partiel")</f>
        <v>28</v>
      </c>
      <c r="F7" s="18" t="n">
        <f aca="false">COUNTIF(Matrice!$F$2:$F$212,"Absent")</f>
        <v>18</v>
      </c>
      <c r="G7" s="18" t="n">
        <f aca="false">COUNTIF(Matrice!$F$2:$F$212,"?")</f>
        <v>0</v>
      </c>
      <c r="H7" s="18" t="n">
        <f aca="false">COUNTIF(Matrice!$F$2:$F$212,"Info")</f>
        <v>10</v>
      </c>
      <c r="I7" s="18" t="n">
        <f aca="false">SUM(B7:H7)</f>
        <v>211</v>
      </c>
      <c r="J7" s="23" t="n">
        <f aca="false">IFERROR((B7+C7)/(I7-H7),0)</f>
        <v>0.601990049751244</v>
      </c>
      <c r="K7" s="24" t="n">
        <f aca="false">IFERROR((B7+C7+D7)/(I7-H7),0)</f>
        <v>0.771144278606965</v>
      </c>
    </row>
    <row r="8" customFormat="false" ht="15" hidden="false" customHeight="false" outlineLevel="0" collapsed="false">
      <c r="A8" s="17" t="s">
        <v>47</v>
      </c>
      <c r="B8" s="18" t="n">
        <f aca="false">COUNTIF(Matrice!$G$2:$G$212,"Natif")</f>
        <v>74</v>
      </c>
      <c r="C8" s="18" t="n">
        <f aca="false">COUNTIF(Matrice!$G$2:$G$212,"Officiel")</f>
        <v>6</v>
      </c>
      <c r="D8" s="18" t="n">
        <f aca="false">COUNTIF(Matrice!$G$2:$G$212,"Tiers")</f>
        <v>52</v>
      </c>
      <c r="E8" s="18" t="n">
        <f aca="false">COUNTIF(Matrice!$G$2:$G$212,"Partiel")</f>
        <v>47</v>
      </c>
      <c r="F8" s="18" t="n">
        <f aca="false">COUNTIF(Matrice!$G$2:$G$212,"Absent")</f>
        <v>22</v>
      </c>
      <c r="G8" s="18" t="n">
        <f aca="false">COUNTIF(Matrice!$G$2:$G$212,"?")</f>
        <v>0</v>
      </c>
      <c r="H8" s="18" t="n">
        <f aca="false">COUNTIF(Matrice!$G$2:$G$212,"Info")</f>
        <v>10</v>
      </c>
      <c r="I8" s="18" t="n">
        <f aca="false">SUM(B8:H8)</f>
        <v>211</v>
      </c>
      <c r="J8" s="25" t="n">
        <f aca="false">IFERROR((B8+C8)/(I8-H8),0)</f>
        <v>0.398009950248756</v>
      </c>
      <c r="K8" s="26" t="n">
        <f aca="false">IFERROR((B8+C8+D8)/(I8-H8),0)</f>
        <v>0.656716417910448</v>
      </c>
    </row>
    <row r="9" customFormat="false" ht="15" hidden="false" customHeight="false" outlineLevel="0" collapsed="false">
      <c r="A9" s="17" t="s">
        <v>51</v>
      </c>
      <c r="B9" s="18" t="n">
        <f aca="false">COUNTIF(Matrice!$H$2:$H$212,"Natif")</f>
        <v>100</v>
      </c>
      <c r="C9" s="18" t="n">
        <f aca="false">COUNTIF(Matrice!$H$2:$H$212,"Officiel")</f>
        <v>40</v>
      </c>
      <c r="D9" s="18" t="n">
        <f aca="false">COUNTIF(Matrice!$H$2:$H$212,"Tiers")</f>
        <v>19</v>
      </c>
      <c r="E9" s="18" t="n">
        <f aca="false">COUNTIF(Matrice!$H$2:$H$212,"Partiel")</f>
        <v>19</v>
      </c>
      <c r="F9" s="18" t="n">
        <f aca="false">COUNTIF(Matrice!$H$2:$H$212,"Absent")</f>
        <v>21</v>
      </c>
      <c r="G9" s="18" t="n">
        <f aca="false">COUNTIF(Matrice!$H$2:$H$212,"?")</f>
        <v>2</v>
      </c>
      <c r="H9" s="18" t="n">
        <f aca="false">COUNTIF(Matrice!$H$2:$H$212,"Info")</f>
        <v>10</v>
      </c>
      <c r="I9" s="18" t="n">
        <f aca="false">SUM(B9:H9)</f>
        <v>211</v>
      </c>
      <c r="J9" s="27" t="n">
        <f aca="false">IFERROR((B9+C9)/(I9-H9),0)</f>
        <v>0.696517412935323</v>
      </c>
      <c r="K9" s="20" t="n">
        <f aca="false">IFERROR((B9+C9+D9)/(I9-H9),0)</f>
        <v>0.791044776119403</v>
      </c>
    </row>
    <row r="10" customFormat="false" ht="15" hidden="false" customHeight="false" outlineLevel="0" collapsed="false">
      <c r="A10" s="17" t="s">
        <v>55</v>
      </c>
      <c r="B10" s="18" t="n">
        <f aca="false">COUNTIF(Matrice!$I$2:$I$212,"Natif")</f>
        <v>98</v>
      </c>
      <c r="C10" s="18" t="n">
        <f aca="false">COUNTIF(Matrice!$I$2:$I$212,"Officiel")</f>
        <v>11</v>
      </c>
      <c r="D10" s="18" t="n">
        <f aca="false">COUNTIF(Matrice!$I$2:$I$212,"Tiers")</f>
        <v>15</v>
      </c>
      <c r="E10" s="18" t="n">
        <f aca="false">COUNTIF(Matrice!$I$2:$I$212,"Partiel")</f>
        <v>51</v>
      </c>
      <c r="F10" s="18" t="n">
        <f aca="false">COUNTIF(Matrice!$I$2:$I$212,"Absent")</f>
        <v>23</v>
      </c>
      <c r="G10" s="18" t="n">
        <f aca="false">COUNTIF(Matrice!$I$2:$I$212,"?")</f>
        <v>3</v>
      </c>
      <c r="H10" s="18" t="n">
        <f aca="false">COUNTIF(Matrice!$I$2:$I$212,"Info")</f>
        <v>10</v>
      </c>
      <c r="I10" s="18" t="n">
        <f aca="false">SUM(B10:H10)</f>
        <v>211</v>
      </c>
      <c r="J10" s="28" t="n">
        <f aca="false">IFERROR((B10+C10)/(I10-H10),0)</f>
        <v>0.54228855721393</v>
      </c>
      <c r="K10" s="29" t="n">
        <f aca="false">IFERROR((B10+C10+D10)/(I10-H10),0)</f>
        <v>0.616915422885572</v>
      </c>
    </row>
    <row r="11" customFormat="false" ht="15" hidden="false" customHeight="false" outlineLevel="0" collapsed="false">
      <c r="A11" s="17" t="s">
        <v>59</v>
      </c>
      <c r="B11" s="18" t="n">
        <f aca="false">COUNTIF(Matrice!$J$2:$J$212,"Natif")</f>
        <v>68</v>
      </c>
      <c r="C11" s="18" t="n">
        <f aca="false">COUNTIF(Matrice!$J$2:$J$212,"Officiel")</f>
        <v>61</v>
      </c>
      <c r="D11" s="18" t="n">
        <f aca="false">COUNTIF(Matrice!$J$2:$J$212,"Tiers")</f>
        <v>5</v>
      </c>
      <c r="E11" s="18" t="n">
        <f aca="false">COUNTIF(Matrice!$J$2:$J$212,"Partiel")</f>
        <v>38</v>
      </c>
      <c r="F11" s="18" t="n">
        <f aca="false">COUNTIF(Matrice!$J$2:$J$212,"Absent")</f>
        <v>24</v>
      </c>
      <c r="G11" s="18" t="n">
        <f aca="false">COUNTIF(Matrice!$J$2:$J$212,"?")</f>
        <v>5</v>
      </c>
      <c r="H11" s="18" t="n">
        <f aca="false">COUNTIF(Matrice!$J$2:$J$212,"Info")</f>
        <v>10</v>
      </c>
      <c r="I11" s="18" t="n">
        <f aca="false">SUM(B11:H11)</f>
        <v>211</v>
      </c>
      <c r="J11" s="30" t="n">
        <f aca="false">IFERROR((B11+C11)/(I11-H11),0)</f>
        <v>0.641791044776119</v>
      </c>
      <c r="K11" s="31" t="n">
        <f aca="false">IFERROR((B11+C11+D11)/(I11-H11),0)</f>
        <v>0.666666666666667</v>
      </c>
    </row>
    <row r="12" customFormat="false" ht="15" hidden="false" customHeight="false" outlineLevel="0" collapsed="false">
      <c r="A12" s="17" t="s">
        <v>63</v>
      </c>
      <c r="B12" s="18" t="n">
        <f aca="false">COUNTIF(Matrice!$K$2:$K$212,"Natif")</f>
        <v>88</v>
      </c>
      <c r="C12" s="18" t="n">
        <f aca="false">COUNTIF(Matrice!$K$2:$K$212,"Officiel")</f>
        <v>29</v>
      </c>
      <c r="D12" s="18" t="n">
        <f aca="false">COUNTIF(Matrice!$K$2:$K$212,"Tiers")</f>
        <v>2</v>
      </c>
      <c r="E12" s="18" t="n">
        <f aca="false">COUNTIF(Matrice!$K$2:$K$212,"Partiel")</f>
        <v>45</v>
      </c>
      <c r="F12" s="18" t="n">
        <f aca="false">COUNTIF(Matrice!$K$2:$K$212,"Absent")</f>
        <v>37</v>
      </c>
      <c r="G12" s="18" t="n">
        <f aca="false">COUNTIF(Matrice!$K$2:$K$212,"?")</f>
        <v>0</v>
      </c>
      <c r="H12" s="18" t="n">
        <f aca="false">COUNTIF(Matrice!$K$2:$K$212,"Info")</f>
        <v>10</v>
      </c>
      <c r="I12" s="18" t="n">
        <f aca="false">SUM(B12:H12)</f>
        <v>211</v>
      </c>
      <c r="J12" s="32" t="n">
        <f aca="false">IFERROR((B12+C12)/(I12-H12),0)</f>
        <v>0.582089552238806</v>
      </c>
      <c r="K12" s="33" t="n">
        <f aca="false">IFERROR((B12+C12+D12)/(I12-H12),0)</f>
        <v>0.592039800995025</v>
      </c>
    </row>
    <row r="13" customFormat="false" ht="15" hidden="false" customHeight="false" outlineLevel="0" collapsed="false">
      <c r="A13" s="17" t="s">
        <v>67</v>
      </c>
      <c r="B13" s="18" t="n">
        <f aca="false">COUNTIF(Matrice!$L$2:$L$212,"Natif")</f>
        <v>86</v>
      </c>
      <c r="C13" s="18" t="n">
        <f aca="false">COUNTIF(Matrice!$L$2:$L$212,"Officiel")</f>
        <v>9</v>
      </c>
      <c r="D13" s="18" t="n">
        <f aca="false">COUNTIF(Matrice!$L$2:$L$212,"Tiers")</f>
        <v>4</v>
      </c>
      <c r="E13" s="18" t="n">
        <f aca="false">COUNTIF(Matrice!$L$2:$L$212,"Partiel")</f>
        <v>52</v>
      </c>
      <c r="F13" s="18" t="n">
        <f aca="false">COUNTIF(Matrice!$L$2:$L$212,"Absent")</f>
        <v>47</v>
      </c>
      <c r="G13" s="18" t="n">
        <f aca="false">COUNTIF(Matrice!$L$2:$L$212,"?")</f>
        <v>3</v>
      </c>
      <c r="H13" s="18" t="n">
        <f aca="false">COUNTIF(Matrice!$L$2:$L$212,"Info")</f>
        <v>10</v>
      </c>
      <c r="I13" s="18" t="n">
        <f aca="false">SUM(B13:H13)</f>
        <v>211</v>
      </c>
      <c r="J13" s="34" t="n">
        <f aca="false">IFERROR((B13+C13)/(I13-H13),0)</f>
        <v>0.472636815920398</v>
      </c>
      <c r="K13" s="35" t="n">
        <f aca="false">IFERROR((B13+C13+D13)/(I13-H13),0)</f>
        <v>0.492537313432836</v>
      </c>
    </row>
    <row r="14" customFormat="false" ht="15" hidden="false" customHeight="false" outlineLevel="0" collapsed="false">
      <c r="A14" s="17" t="s">
        <v>71</v>
      </c>
      <c r="B14" s="18" t="n">
        <f aca="false">COUNTIF(Matrice!$M$2:$M$212,"Natif")</f>
        <v>52</v>
      </c>
      <c r="C14" s="18" t="n">
        <f aca="false">COUNTIF(Matrice!$M$2:$M$212,"Officiel")</f>
        <v>8</v>
      </c>
      <c r="D14" s="18" t="n">
        <f aca="false">COUNTIF(Matrice!$M$2:$M$212,"Tiers")</f>
        <v>6</v>
      </c>
      <c r="E14" s="18" t="n">
        <f aca="false">COUNTIF(Matrice!$M$2:$M$212,"Partiel")</f>
        <v>45</v>
      </c>
      <c r="F14" s="18" t="n">
        <f aca="false">COUNTIF(Matrice!$M$2:$M$212,"Absent")</f>
        <v>86</v>
      </c>
      <c r="G14" s="18" t="n">
        <f aca="false">COUNTIF(Matrice!$M$2:$M$212,"?")</f>
        <v>4</v>
      </c>
      <c r="H14" s="18" t="n">
        <f aca="false">COUNTIF(Matrice!$M$2:$M$212,"Info")</f>
        <v>10</v>
      </c>
      <c r="I14" s="18" t="n">
        <f aca="false">SUM(B14:H14)</f>
        <v>211</v>
      </c>
      <c r="J14" s="36" t="n">
        <f aca="false">IFERROR((B14+C14)/(I14-H14),0)</f>
        <v>0.298507462686567</v>
      </c>
      <c r="K14" s="37" t="n">
        <f aca="false">IFERROR((B14+C14+D14)/(I14-H14),0)</f>
        <v>0.328358208955224</v>
      </c>
    </row>
    <row r="15" customFormat="false" ht="15" hidden="false" customHeight="false" outlineLevel="0" collapsed="false">
      <c r="A15" s="14" t="s">
        <v>80</v>
      </c>
    </row>
    <row r="17" customFormat="false" ht="15" hidden="false" customHeight="false" outlineLevel="0" collapsed="false">
      <c r="A17" s="3" t="s">
        <v>81</v>
      </c>
    </row>
    <row r="18" customFormat="false" ht="30" hidden="false" customHeight="true" outlineLevel="0" collapsed="false">
      <c r="A18" s="16" t="s">
        <v>82</v>
      </c>
      <c r="B18" s="16" t="s">
        <v>83</v>
      </c>
      <c r="C18" s="16" t="s">
        <v>84</v>
      </c>
      <c r="D18" s="16" t="s">
        <v>35</v>
      </c>
      <c r="E18" s="16" t="s">
        <v>39</v>
      </c>
      <c r="F18" s="16" t="s">
        <v>43</v>
      </c>
      <c r="G18" s="16" t="s">
        <v>47</v>
      </c>
      <c r="H18" s="16" t="s">
        <v>51</v>
      </c>
      <c r="I18" s="16" t="s">
        <v>55</v>
      </c>
      <c r="J18" s="16" t="s">
        <v>59</v>
      </c>
      <c r="K18" s="16" t="s">
        <v>63</v>
      </c>
      <c r="L18" s="16" t="s">
        <v>67</v>
      </c>
      <c r="M18" s="16" t="s">
        <v>71</v>
      </c>
    </row>
    <row r="19" customFormat="false" ht="15" hidden="false" customHeight="false" outlineLevel="0" collapsed="false">
      <c r="A19" s="38" t="s">
        <v>85</v>
      </c>
      <c r="B19" s="38" t="s">
        <v>86</v>
      </c>
      <c r="C19" s="38" t="n">
        <v>13</v>
      </c>
      <c r="D19" s="39" t="n">
        <f aca="false">IFERROR((COUNTIF(Matrice!$D$2:$D$14,"Natif")+COUNTIF(Matrice!$D$2:$D$14,"Officiel"))/(C19-COUNTIF(Matrice!$D$2:$D$14,"Info")),0)</f>
        <v>0.923076923076923</v>
      </c>
      <c r="E19" s="40" t="n">
        <f aca="false">IFERROR((COUNTIF(Matrice!$E$2:$E$14,"Natif")+COUNTIF(Matrice!$E$2:$E$14,"Officiel"))/(C19-COUNTIF(Matrice!$E$2:$E$14,"Info")),0)</f>
        <v>0.461538461538462</v>
      </c>
      <c r="F19" s="39" t="n">
        <f aca="false">IFERROR((COUNTIF(Matrice!$F$2:$F$14,"Natif")+COUNTIF(Matrice!$F$2:$F$14,"Officiel"))/(C19-COUNTIF(Matrice!$F$2:$F$14,"Info")),0)</f>
        <v>0.923076923076923</v>
      </c>
      <c r="G19" s="41" t="n">
        <f aca="false">IFERROR((COUNTIF(Matrice!$G$2:$G$14,"Natif")+COUNTIF(Matrice!$G$2:$G$14,"Officiel"))/(C19-COUNTIF(Matrice!$G$2:$G$14,"Info")),0)</f>
        <v>0.615384615384615</v>
      </c>
      <c r="H19" s="39" t="n">
        <f aca="false">IFERROR((COUNTIF(Matrice!$H$2:$H$14,"Natif")+COUNTIF(Matrice!$H$2:$H$14,"Officiel"))/(C19-COUNTIF(Matrice!$H$2:$H$14,"Info")),0)</f>
        <v>0.923076923076923</v>
      </c>
      <c r="I19" s="42" t="n">
        <f aca="false">IFERROR((COUNTIF(Matrice!$I$2:$I$14,"Natif")+COUNTIF(Matrice!$I$2:$I$14,"Officiel"))/(C19-COUNTIF(Matrice!$I$2:$I$14,"Info")),0)</f>
        <v>0.769230769230769</v>
      </c>
      <c r="J19" s="41" t="n">
        <f aca="false">IFERROR((COUNTIF(Matrice!$J$2:$J$14,"Natif")+COUNTIF(Matrice!$J$2:$J$14,"Officiel"))/(C19-COUNTIF(Matrice!$J$2:$J$14,"Info")),0)</f>
        <v>0.615384615384615</v>
      </c>
      <c r="K19" s="43" t="n">
        <f aca="false">IFERROR((COUNTIF(Matrice!$K$2:$K$14,"Natif")+COUNTIF(Matrice!$K$2:$K$14,"Officiel"))/(C19-COUNTIF(Matrice!$K$2:$K$14,"Info")),0)</f>
        <v>0.846153846153846</v>
      </c>
      <c r="L19" s="44" t="n">
        <f aca="false">IFERROR((COUNTIF(Matrice!$L$2:$L$14,"Natif")+COUNTIF(Matrice!$L$2:$L$14,"Officiel"))/(C19-COUNTIF(Matrice!$L$2:$L$14,"Info")),0)</f>
        <v>0.307692307692308</v>
      </c>
      <c r="M19" s="45" t="n">
        <f aca="false">IFERROR((COUNTIF(Matrice!$M$2:$M$14,"Natif")+COUNTIF(Matrice!$M$2:$M$14,"Officiel"))/(C19-COUNTIF(Matrice!$M$2:$M$14,"Info")),0)</f>
        <v>0.230769230769231</v>
      </c>
    </row>
    <row r="20" customFormat="false" ht="15" hidden="false" customHeight="false" outlineLevel="0" collapsed="false">
      <c r="A20" s="38" t="s">
        <v>85</v>
      </c>
      <c r="B20" s="38" t="s">
        <v>87</v>
      </c>
      <c r="C20" s="38" t="n">
        <v>11</v>
      </c>
      <c r="D20" s="46" t="n">
        <f aca="false">IFERROR((COUNTIF(Matrice!$D$15:$D$25,"Natif")+COUNTIF(Matrice!$D$15:$D$25,"Officiel"))/(C20-COUNTIF(Matrice!$D$15:$D$25,"Info")),0)</f>
        <v>0.818181818181818</v>
      </c>
      <c r="E20" s="46" t="n">
        <f aca="false">IFERROR((COUNTIF(Matrice!$E$15:$E$25,"Natif")+COUNTIF(Matrice!$E$15:$E$25,"Officiel"))/(C20-COUNTIF(Matrice!$E$15:$E$25,"Info")),0)</f>
        <v>0.818181818181818</v>
      </c>
      <c r="F20" s="47" t="n">
        <f aca="false">IFERROR((COUNTIF(Matrice!$F$15:$F$25,"Natif")+COUNTIF(Matrice!$F$15:$F$25,"Officiel"))/(C20-COUNTIF(Matrice!$F$15:$F$25,"Info")),0)</f>
        <v>0.636363636363636</v>
      </c>
      <c r="G20" s="47" t="n">
        <f aca="false">IFERROR((COUNTIF(Matrice!$G$15:$G$25,"Natif")+COUNTIF(Matrice!$G$15:$G$25,"Officiel"))/(C20-COUNTIF(Matrice!$G$15:$G$25,"Info")),0)</f>
        <v>0.636363636363636</v>
      </c>
      <c r="H20" s="47" t="n">
        <f aca="false">IFERROR((COUNTIF(Matrice!$H$15:$H$25,"Natif")+COUNTIF(Matrice!$H$15:$H$25,"Officiel"))/(C20-COUNTIF(Matrice!$H$15:$H$25,"Info")),0)</f>
        <v>0.636363636363636</v>
      </c>
      <c r="I20" s="48" t="n">
        <f aca="false">IFERROR((COUNTIF(Matrice!$I$15:$I$25,"Natif")+COUNTIF(Matrice!$I$15:$I$25,"Officiel"))/(C20-COUNTIF(Matrice!$I$15:$I$25,"Info")),0)</f>
        <v>0.545454545454545</v>
      </c>
      <c r="J20" s="47" t="n">
        <f aca="false">IFERROR((COUNTIF(Matrice!$J$15:$J$25,"Natif")+COUNTIF(Matrice!$J$15:$J$25,"Officiel"))/(C20-COUNTIF(Matrice!$J$15:$J$25,"Info")),0)</f>
        <v>0.636363636363636</v>
      </c>
      <c r="K20" s="49" t="n">
        <f aca="false">IFERROR((COUNTIF(Matrice!$K$15:$K$25,"Natif")+COUNTIF(Matrice!$K$15:$K$25,"Officiel"))/(C20-COUNTIF(Matrice!$K$15:$K$25,"Info")),0)</f>
        <v>0.909090909090909</v>
      </c>
      <c r="L20" s="50" t="n">
        <f aca="false">IFERROR((COUNTIF(Matrice!$L$15:$L$25,"Natif")+COUNTIF(Matrice!$L$15:$L$25,"Officiel"))/(C20-COUNTIF(Matrice!$L$15:$L$25,"Info")),0)</f>
        <v>0.454545454545455</v>
      </c>
      <c r="M20" s="51" t="n">
        <f aca="false">IFERROR((COUNTIF(Matrice!$M$15:$M$25,"Natif")+COUNTIF(Matrice!$M$15:$M$25,"Officiel"))/(C20-COUNTIF(Matrice!$M$15:$M$25,"Info")),0)</f>
        <v>0.272727272727273</v>
      </c>
    </row>
    <row r="21" customFormat="false" ht="15" hidden="false" customHeight="false" outlineLevel="0" collapsed="false">
      <c r="A21" s="38" t="s">
        <v>85</v>
      </c>
      <c r="B21" s="38" t="s">
        <v>88</v>
      </c>
      <c r="C21" s="38" t="n">
        <v>10</v>
      </c>
      <c r="D21" s="52" t="n">
        <f aca="false">IFERROR((COUNTIF(Matrice!$D$26:$D$35,"Natif")+COUNTIF(Matrice!$D$26:$D$35,"Officiel"))/(C21-COUNTIF(Matrice!$D$26:$D$35,"Info")),0)</f>
        <v>0.5</v>
      </c>
      <c r="E21" s="52" t="n">
        <f aca="false">IFERROR((COUNTIF(Matrice!$E$26:$E$35,"Natif")+COUNTIF(Matrice!$E$26:$E$35,"Officiel"))/(C21-COUNTIF(Matrice!$E$26:$E$35,"Info")),0)</f>
        <v>0.5</v>
      </c>
      <c r="F21" s="53" t="n">
        <f aca="false">IFERROR((COUNTIF(Matrice!$F$26:$F$35,"Natif")+COUNTIF(Matrice!$F$26:$F$35,"Officiel"))/(C21-COUNTIF(Matrice!$F$26:$F$35,"Info")),0)</f>
        <v>0.9</v>
      </c>
      <c r="G21" s="54" t="n">
        <f aca="false">IFERROR((COUNTIF(Matrice!$G$26:$G$35,"Natif")+COUNTIF(Matrice!$G$26:$G$35,"Officiel"))/(C21-COUNTIF(Matrice!$G$26:$G$35,"Info")),0)</f>
        <v>0.6</v>
      </c>
      <c r="H21" s="53" t="n">
        <f aca="false">IFERROR((COUNTIF(Matrice!$H$26:$H$35,"Natif")+COUNTIF(Matrice!$H$26:$H$35,"Officiel"))/(C21-COUNTIF(Matrice!$H$26:$H$35,"Info")),0)</f>
        <v>0.9</v>
      </c>
      <c r="I21" s="54" t="n">
        <f aca="false">IFERROR((COUNTIF(Matrice!$I$26:$I$35,"Natif")+COUNTIF(Matrice!$I$26:$I$35,"Officiel"))/(C21-COUNTIF(Matrice!$I$26:$I$35,"Info")),0)</f>
        <v>0.6</v>
      </c>
      <c r="J21" s="55" t="n">
        <f aca="false">IFERROR((COUNTIF(Matrice!$J$26:$J$35,"Natif")+COUNTIF(Matrice!$J$26:$J$35,"Officiel"))/(C21-COUNTIF(Matrice!$J$26:$J$35,"Info")),0)</f>
        <v>0.7</v>
      </c>
      <c r="K21" s="56" t="n">
        <f aca="false">IFERROR((COUNTIF(Matrice!$K$26:$K$35,"Natif")+COUNTIF(Matrice!$K$26:$K$35,"Officiel"))/(C21-COUNTIF(Matrice!$K$26:$K$35,"Info")),0)</f>
        <v>0.8</v>
      </c>
      <c r="L21" s="57" t="n">
        <f aca="false">IFERROR((COUNTIF(Matrice!$L$26:$L$35,"Natif")+COUNTIF(Matrice!$L$26:$L$35,"Officiel"))/(C21-COUNTIF(Matrice!$L$26:$L$35,"Info")),0)</f>
        <v>0.4</v>
      </c>
      <c r="M21" s="58" t="n">
        <f aca="false">IFERROR((COUNTIF(Matrice!$M$26:$M$35,"Natif")+COUNTIF(Matrice!$M$26:$M$35,"Officiel"))/(C21-COUNTIF(Matrice!$M$26:$M$35,"Info")),0)</f>
        <v>0.3</v>
      </c>
    </row>
    <row r="22" customFormat="false" ht="15" hidden="false" customHeight="false" outlineLevel="0" collapsed="false">
      <c r="A22" s="38" t="s">
        <v>85</v>
      </c>
      <c r="B22" s="38" t="s">
        <v>89</v>
      </c>
      <c r="C22" s="38" t="n">
        <v>8</v>
      </c>
      <c r="D22" s="59" t="n">
        <f aca="false">IFERROR((COUNTIF(Matrice!$D$36:$D$43,"Natif")+COUNTIF(Matrice!$D$36:$D$43,"Officiel"))/(C22-COUNTIF(Matrice!$D$36:$D$43,"Info")),0)</f>
        <v>0.75</v>
      </c>
      <c r="E22" s="60" t="n">
        <f aca="false">IFERROR((COUNTIF(Matrice!$E$36:$E$43,"Natif")+COUNTIF(Matrice!$E$36:$E$43,"Officiel"))/(C22-COUNTIF(Matrice!$E$36:$E$43,"Info")),0)</f>
        <v>0.375</v>
      </c>
      <c r="F22" s="61" t="n">
        <f aca="false">IFERROR((COUNTIF(Matrice!$F$36:$F$43,"Natif")+COUNTIF(Matrice!$F$36:$F$43,"Officiel"))/(C22-COUNTIF(Matrice!$F$36:$F$43,"Info")),0)</f>
        <v>0.875</v>
      </c>
      <c r="G22" s="62" t="n">
        <f aca="false">IFERROR((COUNTIF(Matrice!$G$36:$G$43,"Natif")+COUNTIF(Matrice!$G$36:$G$43,"Officiel"))/(C22-COUNTIF(Matrice!$G$36:$G$43,"Info")),0)</f>
        <v>0.25</v>
      </c>
      <c r="H22" s="63" t="n">
        <f aca="false">IFERROR((COUNTIF(Matrice!$H$36:$H$43,"Natif")+COUNTIF(Matrice!$H$36:$H$43,"Officiel"))/(C22-COUNTIF(Matrice!$H$36:$H$43,"Info")),0)</f>
        <v>0.625</v>
      </c>
      <c r="I22" s="63" t="n">
        <f aca="false">IFERROR((COUNTIF(Matrice!$I$36:$I$43,"Natif")+COUNTIF(Matrice!$I$36:$I$43,"Officiel"))/(C22-COUNTIF(Matrice!$I$36:$I$43,"Info")),0)</f>
        <v>0.625</v>
      </c>
      <c r="J22" s="61" t="n">
        <f aca="false">IFERROR((COUNTIF(Matrice!$J$36:$J$43,"Natif")+COUNTIF(Matrice!$J$36:$J$43,"Officiel"))/(C22-COUNTIF(Matrice!$J$36:$J$43,"Info")),0)</f>
        <v>0.875</v>
      </c>
      <c r="K22" s="64" t="n">
        <f aca="false">IFERROR((COUNTIF(Matrice!$K$36:$K$43,"Natif")+COUNTIF(Matrice!$K$36:$K$43,"Officiel"))/(C22-COUNTIF(Matrice!$K$36:$K$43,"Info")),0)</f>
        <v>1</v>
      </c>
      <c r="L22" s="59" t="n">
        <f aca="false">IFERROR((COUNTIF(Matrice!$L$36:$L$43,"Natif")+COUNTIF(Matrice!$L$36:$L$43,"Officiel"))/(C22-COUNTIF(Matrice!$L$36:$L$43,"Info")),0)</f>
        <v>0.75</v>
      </c>
      <c r="M22" s="60" t="n">
        <f aca="false">IFERROR((COUNTIF(Matrice!$M$36:$M$43,"Natif")+COUNTIF(Matrice!$M$36:$M$43,"Officiel"))/(C22-COUNTIF(Matrice!$M$36:$M$43,"Info")),0)</f>
        <v>0.375</v>
      </c>
    </row>
    <row r="23" customFormat="false" ht="15" hidden="false" customHeight="false" outlineLevel="0" collapsed="false">
      <c r="A23" s="38" t="s">
        <v>85</v>
      </c>
      <c r="B23" s="38" t="s">
        <v>90</v>
      </c>
      <c r="C23" s="38" t="n">
        <v>6</v>
      </c>
      <c r="D23" s="65" t="n">
        <f aca="false">IFERROR((COUNTIF(Matrice!$D$44:$D$49,"Natif")+COUNTIF(Matrice!$D$44:$D$49,"Officiel"))/(C23-COUNTIF(Matrice!$D$44:$D$49,"Info")),0)</f>
        <v>0.666666666666667</v>
      </c>
      <c r="E23" s="66" t="n">
        <f aca="false">IFERROR((COUNTIF(Matrice!$E$44:$E$49,"Natif")+COUNTIF(Matrice!$E$44:$E$49,"Officiel"))/(C23-COUNTIF(Matrice!$E$44:$E$49,"Info")),0)</f>
        <v>0.166666666666667</v>
      </c>
      <c r="F23" s="65" t="n">
        <f aca="false">IFERROR((COUNTIF(Matrice!$F$44:$F$49,"Natif")+COUNTIF(Matrice!$F$44:$F$49,"Officiel"))/(C23-COUNTIF(Matrice!$F$44:$F$49,"Info")),0)</f>
        <v>0.666666666666667</v>
      </c>
      <c r="G23" s="67" t="n">
        <f aca="false">IFERROR((COUNTIF(Matrice!$G$44:$G$49,"Natif")+COUNTIF(Matrice!$G$44:$G$49,"Officiel"))/(C23-COUNTIF(Matrice!$G$44:$G$49,"Info")),0)</f>
        <v>0.333333333333333</v>
      </c>
      <c r="H23" s="68" t="n">
        <f aca="false">IFERROR((COUNTIF(Matrice!$H$44:$H$49,"Natif")+COUNTIF(Matrice!$H$44:$H$49,"Officiel"))/(C23-COUNTIF(Matrice!$H$44:$H$49,"Info")),0)</f>
        <v>0.833333333333333</v>
      </c>
      <c r="I23" s="66" t="n">
        <f aca="false">IFERROR((COUNTIF(Matrice!$I$44:$I$49,"Natif")+COUNTIF(Matrice!$I$44:$I$49,"Officiel"))/(C23-COUNTIF(Matrice!$I$44:$I$49,"Info")),0)</f>
        <v>0.166666666666667</v>
      </c>
      <c r="J23" s="68" t="n">
        <f aca="false">IFERROR((COUNTIF(Matrice!$J$44:$J$49,"Natif")+COUNTIF(Matrice!$J$44:$J$49,"Officiel"))/(C23-COUNTIF(Matrice!$J$44:$J$49,"Info")),0)</f>
        <v>0.833333333333333</v>
      </c>
      <c r="K23" s="65" t="n">
        <f aca="false">IFERROR((COUNTIF(Matrice!$K$44:$K$49,"Natif")+COUNTIF(Matrice!$K$44:$K$49,"Officiel"))/(C23-COUNTIF(Matrice!$K$44:$K$49,"Info")),0)</f>
        <v>0.666666666666667</v>
      </c>
      <c r="L23" s="67" t="n">
        <f aca="false">IFERROR((COUNTIF(Matrice!$L$44:$L$49,"Natif")+COUNTIF(Matrice!$L$44:$L$49,"Officiel"))/(C23-COUNTIF(Matrice!$L$44:$L$49,"Info")),0)</f>
        <v>0.333333333333333</v>
      </c>
      <c r="M23" s="67" t="n">
        <f aca="false">IFERROR((COUNTIF(Matrice!$M$44:$M$49,"Natif")+COUNTIF(Matrice!$M$44:$M$49,"Officiel"))/(C23-COUNTIF(Matrice!$M$44:$M$49,"Info")),0)</f>
        <v>0.333333333333333</v>
      </c>
    </row>
    <row r="24" customFormat="false" ht="15" hidden="false" customHeight="false" outlineLevel="0" collapsed="false">
      <c r="A24" s="38" t="s">
        <v>85</v>
      </c>
      <c r="B24" s="38" t="s">
        <v>91</v>
      </c>
      <c r="C24" s="38" t="n">
        <v>7</v>
      </c>
      <c r="D24" s="64" t="n">
        <f aca="false">IFERROR((COUNTIF(Matrice!$D$50:$D$56,"Natif")+COUNTIF(Matrice!$D$50:$D$56,"Officiel"))/(C24-COUNTIF(Matrice!$D$50:$D$56,"Info")),0)</f>
        <v>1</v>
      </c>
      <c r="E24" s="69" t="n">
        <f aca="false">IFERROR((COUNTIF(Matrice!$E$50:$E$56,"Natif")+COUNTIF(Matrice!$E$50:$E$56,"Officiel"))/(C24-COUNTIF(Matrice!$E$50:$E$56,"Info")),0)</f>
        <v>0</v>
      </c>
      <c r="F24" s="70" t="n">
        <f aca="false">IFERROR((COUNTIF(Matrice!$F$50:$F$56,"Natif")+COUNTIF(Matrice!$F$50:$F$56,"Officiel"))/(C24-COUNTIF(Matrice!$F$50:$F$56,"Info")),0)</f>
        <v>0.428571428571429</v>
      </c>
      <c r="G24" s="69" t="n">
        <f aca="false">IFERROR((COUNTIF(Matrice!$G$50:$G$56,"Natif")+COUNTIF(Matrice!$G$50:$G$56,"Officiel"))/(C24-COUNTIF(Matrice!$G$50:$G$56,"Info")),0)</f>
        <v>0</v>
      </c>
      <c r="H24" s="64" t="n">
        <f aca="false">IFERROR((COUNTIF(Matrice!$H$50:$H$56,"Natif")+COUNTIF(Matrice!$H$50:$H$56,"Officiel"))/(C24-COUNTIF(Matrice!$H$50:$H$56,"Info")),0)</f>
        <v>1</v>
      </c>
      <c r="I24" s="71" t="n">
        <f aca="false">IFERROR((COUNTIF(Matrice!$I$50:$I$56,"Natif")+COUNTIF(Matrice!$I$50:$I$56,"Officiel"))/(C24-COUNTIF(Matrice!$I$50:$I$56,"Info")),0)</f>
        <v>0.714285714285714</v>
      </c>
      <c r="J24" s="72" t="n">
        <f aca="false">IFERROR((COUNTIF(Matrice!$J$50:$J$56,"Natif")+COUNTIF(Matrice!$J$50:$J$56,"Officiel"))/(C24-COUNTIF(Matrice!$J$50:$J$56,"Info")),0)</f>
        <v>0.571428571428571</v>
      </c>
      <c r="K24" s="71" t="n">
        <f aca="false">IFERROR((COUNTIF(Matrice!$K$50:$K$56,"Natif")+COUNTIF(Matrice!$K$50:$K$56,"Officiel"))/(C24-COUNTIF(Matrice!$K$50:$K$56,"Info")),0)</f>
        <v>0.714285714285714</v>
      </c>
      <c r="L24" s="73" t="n">
        <f aca="false">IFERROR((COUNTIF(Matrice!$L$50:$L$56,"Natif")+COUNTIF(Matrice!$L$50:$L$56,"Officiel"))/(C24-COUNTIF(Matrice!$L$50:$L$56,"Info")),0)</f>
        <v>0.285714285714286</v>
      </c>
      <c r="M24" s="74" t="n">
        <f aca="false">IFERROR((COUNTIF(Matrice!$M$50:$M$56,"Natif")+COUNTIF(Matrice!$M$50:$M$56,"Officiel"))/(C24-COUNTIF(Matrice!$M$50:$M$56,"Info")),0)</f>
        <v>0.857142857142857</v>
      </c>
    </row>
    <row r="25" customFormat="false" ht="15" hidden="false" customHeight="false" outlineLevel="0" collapsed="false">
      <c r="A25" s="38" t="s">
        <v>92</v>
      </c>
      <c r="B25" s="38" t="s">
        <v>93</v>
      </c>
      <c r="C25" s="38" t="n">
        <v>9</v>
      </c>
      <c r="D25" s="75" t="n">
        <f aca="false">IFERROR((COUNTIF(Matrice!$D$57:$D$65,"Natif")+COUNTIF(Matrice!$D$57:$D$65,"Officiel"))/(C25-COUNTIF(Matrice!$D$57:$D$65,"Info")),0)</f>
        <v>0.444444444444444</v>
      </c>
      <c r="E25" s="75" t="n">
        <f aca="false">IFERROR((COUNTIF(Matrice!$E$57:$E$65,"Natif")+COUNTIF(Matrice!$E$57:$E$65,"Officiel"))/(C25-COUNTIF(Matrice!$E$57:$E$65,"Info")),0)</f>
        <v>0.444444444444444</v>
      </c>
      <c r="F25" s="64" t="n">
        <f aca="false">IFERROR((COUNTIF(Matrice!$F$57:$F$65,"Natif")+COUNTIF(Matrice!$F$57:$F$65,"Officiel"))/(C25-COUNTIF(Matrice!$F$57:$F$65,"Info")),0)</f>
        <v>1</v>
      </c>
      <c r="G25" s="67" t="n">
        <f aca="false">IFERROR((COUNTIF(Matrice!$G$57:$G$65,"Natif")+COUNTIF(Matrice!$G$57:$G$65,"Officiel"))/(C25-COUNTIF(Matrice!$G$57:$G$65,"Info")),0)</f>
        <v>0.333333333333333</v>
      </c>
      <c r="H25" s="53" t="n">
        <f aca="false">IFERROR((COUNTIF(Matrice!$H$57:$H$65,"Natif")+COUNTIF(Matrice!$H$57:$H$65,"Officiel"))/(C25-COUNTIF(Matrice!$H$57:$H$65,"Info")),0)</f>
        <v>0.888888888888889</v>
      </c>
      <c r="I25" s="65" t="n">
        <f aca="false">IFERROR((COUNTIF(Matrice!$I$57:$I$65,"Natif")+COUNTIF(Matrice!$I$57:$I$65,"Officiel"))/(C25-COUNTIF(Matrice!$I$57:$I$65,"Info")),0)</f>
        <v>0.666666666666667</v>
      </c>
      <c r="J25" s="42" t="n">
        <f aca="false">IFERROR((COUNTIF(Matrice!$J$57:$J$65,"Natif")+COUNTIF(Matrice!$J$57:$J$65,"Officiel"))/(C25-COUNTIF(Matrice!$J$57:$J$65,"Info")),0)</f>
        <v>0.777777777777778</v>
      </c>
      <c r="K25" s="76" t="n">
        <f aca="false">IFERROR((COUNTIF(Matrice!$K$57:$K$65,"Natif")+COUNTIF(Matrice!$K$57:$K$65,"Officiel"))/(C25-COUNTIF(Matrice!$K$57:$K$65,"Info")),0)</f>
        <v>0.555555555555556</v>
      </c>
      <c r="L25" s="75" t="n">
        <f aca="false">IFERROR((COUNTIF(Matrice!$L$57:$L$65,"Natif")+COUNTIF(Matrice!$L$57:$L$65,"Officiel"))/(C25-COUNTIF(Matrice!$L$57:$L$65,"Info")),0)</f>
        <v>0.444444444444444</v>
      </c>
      <c r="M25" s="77" t="n">
        <f aca="false">IFERROR((COUNTIF(Matrice!$M$57:$M$65,"Natif")+COUNTIF(Matrice!$M$57:$M$65,"Officiel"))/(C25-COUNTIF(Matrice!$M$57:$M$65,"Info")),0)</f>
        <v>0.111111111111111</v>
      </c>
    </row>
    <row r="26" customFormat="false" ht="15" hidden="false" customHeight="false" outlineLevel="0" collapsed="false">
      <c r="A26" s="38" t="s">
        <v>92</v>
      </c>
      <c r="B26" s="38" t="s">
        <v>94</v>
      </c>
      <c r="C26" s="38" t="n">
        <v>6</v>
      </c>
      <c r="D26" s="52" t="n">
        <f aca="false">IFERROR((COUNTIF(Matrice!$D$66:$D$71,"Natif")+COUNTIF(Matrice!$D$66:$D$71,"Officiel"))/(C26-COUNTIF(Matrice!$D$66:$D$71,"Info")),0)</f>
        <v>0.5</v>
      </c>
      <c r="E26" s="67" t="n">
        <f aca="false">IFERROR((COUNTIF(Matrice!$E$66:$E$71,"Natif")+COUNTIF(Matrice!$E$66:$E$71,"Officiel"))/(C26-COUNTIF(Matrice!$E$66:$E$71,"Info")),0)</f>
        <v>0.333333333333333</v>
      </c>
      <c r="F26" s="69" t="n">
        <f aca="false">IFERROR((COUNTIF(Matrice!$F$66:$F$71,"Natif")+COUNTIF(Matrice!$F$66:$F$71,"Officiel"))/(C26-COUNTIF(Matrice!$F$66:$F$71,"Info")),0)</f>
        <v>0</v>
      </c>
      <c r="G26" s="66" t="n">
        <f aca="false">IFERROR((COUNTIF(Matrice!$G$66:$G$71,"Natif")+COUNTIF(Matrice!$G$66:$G$71,"Officiel"))/(C26-COUNTIF(Matrice!$G$66:$G$71,"Info")),0)</f>
        <v>0.166666666666667</v>
      </c>
      <c r="H26" s="67" t="n">
        <f aca="false">IFERROR((COUNTIF(Matrice!$H$66:$H$71,"Natif")+COUNTIF(Matrice!$H$66:$H$71,"Officiel"))/(C26-COUNTIF(Matrice!$H$66:$H$71,"Info")),0)</f>
        <v>0.333333333333333</v>
      </c>
      <c r="I26" s="69" t="n">
        <f aca="false">IFERROR((COUNTIF(Matrice!$I$66:$I$71,"Natif")+COUNTIF(Matrice!$I$66:$I$71,"Officiel"))/(C26-COUNTIF(Matrice!$I$66:$I$71,"Info")),0)</f>
        <v>0</v>
      </c>
      <c r="J26" s="66" t="n">
        <f aca="false">IFERROR((COUNTIF(Matrice!$J$66:$J$71,"Natif")+COUNTIF(Matrice!$J$66:$J$71,"Officiel"))/(C26-COUNTIF(Matrice!$J$66:$J$71,"Info")),0)</f>
        <v>0.166666666666667</v>
      </c>
      <c r="K26" s="68" t="n">
        <f aca="false">IFERROR((COUNTIF(Matrice!$K$66:$K$71,"Natif")+COUNTIF(Matrice!$K$66:$K$71,"Officiel"))/(C26-COUNTIF(Matrice!$K$66:$K$71,"Info")),0)</f>
        <v>0.833333333333333</v>
      </c>
      <c r="L26" s="66" t="n">
        <f aca="false">IFERROR((COUNTIF(Matrice!$L$66:$L$71,"Natif")+COUNTIF(Matrice!$L$66:$L$71,"Officiel"))/(C26-COUNTIF(Matrice!$L$66:$L$71,"Info")),0)</f>
        <v>0.166666666666667</v>
      </c>
      <c r="M26" s="66" t="n">
        <f aca="false">IFERROR((COUNTIF(Matrice!$M$66:$M$71,"Natif")+COUNTIF(Matrice!$M$66:$M$71,"Officiel"))/(C26-COUNTIF(Matrice!$M$66:$M$71,"Info")),0)</f>
        <v>0.166666666666667</v>
      </c>
    </row>
    <row r="27" customFormat="false" ht="15" hidden="false" customHeight="false" outlineLevel="0" collapsed="false">
      <c r="A27" s="38" t="s">
        <v>92</v>
      </c>
      <c r="B27" s="38" t="s">
        <v>95</v>
      </c>
      <c r="C27" s="38" t="n">
        <v>5</v>
      </c>
      <c r="D27" s="78" t="n">
        <f aca="false">IFERROR((COUNTIF(Matrice!$D$72:$D$76,"Natif")+COUNTIF(Matrice!$D$72:$D$76,"Officiel"))/(C27-COUNTIF(Matrice!$D$72:$D$76,"Info")),0)</f>
        <v>0.2</v>
      </c>
      <c r="E27" s="78" t="n">
        <f aca="false">IFERROR((COUNTIF(Matrice!$E$72:$E$76,"Natif")+COUNTIF(Matrice!$E$72:$E$76,"Officiel"))/(C27-COUNTIF(Matrice!$E$72:$E$76,"Info")),0)</f>
        <v>0.2</v>
      </c>
      <c r="F27" s="54" t="n">
        <f aca="false">IFERROR((COUNTIF(Matrice!$F$72:$F$76,"Natif")+COUNTIF(Matrice!$F$72:$F$76,"Officiel"))/(C27-COUNTIF(Matrice!$F$72:$F$76,"Info")),0)</f>
        <v>0.6</v>
      </c>
      <c r="G27" s="78" t="n">
        <f aca="false">IFERROR((COUNTIF(Matrice!$G$72:$G$76,"Natif")+COUNTIF(Matrice!$G$72:$G$76,"Officiel"))/(C27-COUNTIF(Matrice!$G$72:$G$76,"Info")),0)</f>
        <v>0.2</v>
      </c>
      <c r="H27" s="78" t="n">
        <f aca="false">IFERROR((COUNTIF(Matrice!$H$72:$H$76,"Natif")+COUNTIF(Matrice!$H$72:$H$76,"Officiel"))/(C27-COUNTIF(Matrice!$H$72:$H$76,"Info")),0)</f>
        <v>0.2</v>
      </c>
      <c r="I27" s="56" t="n">
        <f aca="false">IFERROR((COUNTIF(Matrice!$I$72:$I$76,"Natif")+COUNTIF(Matrice!$I$72:$I$76,"Officiel"))/(C27-COUNTIF(Matrice!$I$72:$I$76,"Info")),0)</f>
        <v>0.8</v>
      </c>
      <c r="J27" s="54" t="n">
        <f aca="false">IFERROR((COUNTIF(Matrice!$J$72:$J$76,"Natif")+COUNTIF(Matrice!$J$72:$J$76,"Officiel"))/(C27-COUNTIF(Matrice!$J$72:$J$76,"Info")),0)</f>
        <v>0.6</v>
      </c>
      <c r="K27" s="57" t="n">
        <f aca="false">IFERROR((COUNTIF(Matrice!$K$72:$K$76,"Natif")+COUNTIF(Matrice!$K$72:$K$76,"Officiel"))/(C27-COUNTIF(Matrice!$K$72:$K$76,"Info")),0)</f>
        <v>0.4</v>
      </c>
      <c r="L27" s="56" t="n">
        <f aca="false">IFERROR((COUNTIF(Matrice!$L$72:$L$76,"Natif")+COUNTIF(Matrice!$L$72:$L$76,"Officiel"))/(C27-COUNTIF(Matrice!$L$72:$L$76,"Info")),0)</f>
        <v>0.8</v>
      </c>
      <c r="M27" s="78" t="n">
        <f aca="false">IFERROR((COUNTIF(Matrice!$M$72:$M$76,"Natif")+COUNTIF(Matrice!$M$72:$M$76,"Officiel"))/(C27-COUNTIF(Matrice!$M$72:$M$76,"Info")),0)</f>
        <v>0.2</v>
      </c>
    </row>
    <row r="28" customFormat="false" ht="15" hidden="false" customHeight="false" outlineLevel="0" collapsed="false">
      <c r="A28" s="38" t="s">
        <v>96</v>
      </c>
      <c r="B28" s="38" t="s">
        <v>97</v>
      </c>
      <c r="C28" s="38" t="n">
        <v>7</v>
      </c>
      <c r="D28" s="73" t="n">
        <f aca="false">IFERROR((COUNTIF(Matrice!$D$77:$D$83,"Natif")+COUNTIF(Matrice!$D$77:$D$83,"Officiel"))/(C28-COUNTIF(Matrice!$D$77:$D$83,"Info")),0)</f>
        <v>0.285714285714286</v>
      </c>
      <c r="E28" s="71" t="n">
        <f aca="false">IFERROR((COUNTIF(Matrice!$E$77:$E$83,"Natif")+COUNTIF(Matrice!$E$77:$E$83,"Officiel"))/(C28-COUNTIF(Matrice!$E$77:$E$83,"Info")),0)</f>
        <v>0.714285714285714</v>
      </c>
      <c r="F28" s="71" t="n">
        <f aca="false">IFERROR((COUNTIF(Matrice!$F$77:$F$83,"Natif")+COUNTIF(Matrice!$F$77:$F$83,"Officiel"))/(C28-COUNTIF(Matrice!$F$77:$F$83,"Info")),0)</f>
        <v>0.714285714285714</v>
      </c>
      <c r="G28" s="72" t="n">
        <f aca="false">IFERROR((COUNTIF(Matrice!$G$77:$G$83,"Natif")+COUNTIF(Matrice!$G$77:$G$83,"Officiel"))/(C28-COUNTIF(Matrice!$G$77:$G$83,"Info")),0)</f>
        <v>0.571428571428571</v>
      </c>
      <c r="H28" s="74" t="n">
        <f aca="false">IFERROR((COUNTIF(Matrice!$H$77:$H$83,"Natif")+COUNTIF(Matrice!$H$77:$H$83,"Officiel"))/(C28-COUNTIF(Matrice!$H$77:$H$83,"Info")),0)</f>
        <v>0.857142857142857</v>
      </c>
      <c r="I28" s="71" t="n">
        <f aca="false">IFERROR((COUNTIF(Matrice!$I$77:$I$83,"Natif")+COUNTIF(Matrice!$I$77:$I$83,"Officiel"))/(C28-COUNTIF(Matrice!$I$77:$I$83,"Info")),0)</f>
        <v>0.714285714285714</v>
      </c>
      <c r="J28" s="70" t="n">
        <f aca="false">IFERROR((COUNTIF(Matrice!$J$77:$J$83,"Natif")+COUNTIF(Matrice!$J$77:$J$83,"Officiel"))/(C28-COUNTIF(Matrice!$J$77:$J$83,"Info")),0)</f>
        <v>0.428571428571429</v>
      </c>
      <c r="K28" s="71" t="n">
        <f aca="false">IFERROR((COUNTIF(Matrice!$K$77:$K$83,"Natif")+COUNTIF(Matrice!$K$77:$K$83,"Officiel"))/(C28-COUNTIF(Matrice!$K$77:$K$83,"Info")),0)</f>
        <v>0.714285714285714</v>
      </c>
      <c r="L28" s="74" t="n">
        <f aca="false">IFERROR((COUNTIF(Matrice!$L$77:$L$83,"Natif")+COUNTIF(Matrice!$L$77:$L$83,"Officiel"))/(C28-COUNTIF(Matrice!$L$77:$L$83,"Info")),0)</f>
        <v>0.857142857142857</v>
      </c>
      <c r="M28" s="70" t="n">
        <f aca="false">IFERROR((COUNTIF(Matrice!$M$77:$M$83,"Natif")+COUNTIF(Matrice!$M$77:$M$83,"Officiel"))/(C28-COUNTIF(Matrice!$M$77:$M$83,"Info")),0)</f>
        <v>0.428571428571429</v>
      </c>
    </row>
    <row r="29" customFormat="false" ht="15" hidden="false" customHeight="false" outlineLevel="0" collapsed="false">
      <c r="A29" s="38" t="s">
        <v>96</v>
      </c>
      <c r="B29" s="38" t="s">
        <v>98</v>
      </c>
      <c r="C29" s="38" t="n">
        <v>9</v>
      </c>
      <c r="D29" s="76" t="n">
        <f aca="false">IFERROR((COUNTIF(Matrice!$D$84:$D$92,"Natif")+COUNTIF(Matrice!$D$84:$D$92,"Officiel"))/(C29-COUNTIF(Matrice!$D$84:$D$92,"Info")),0)</f>
        <v>0.555555555555556</v>
      </c>
      <c r="E29" s="75" t="n">
        <f aca="false">IFERROR((COUNTIF(Matrice!$E$84:$E$92,"Natif")+COUNTIF(Matrice!$E$84:$E$92,"Officiel"))/(C29-COUNTIF(Matrice!$E$84:$E$92,"Info")),0)</f>
        <v>0.444444444444444</v>
      </c>
      <c r="F29" s="76" t="n">
        <f aca="false">IFERROR((COUNTIF(Matrice!$F$84:$F$92,"Natif")+COUNTIF(Matrice!$F$84:$F$92,"Officiel"))/(C29-COUNTIF(Matrice!$F$84:$F$92,"Info")),0)</f>
        <v>0.555555555555556</v>
      </c>
      <c r="G29" s="75" t="n">
        <f aca="false">IFERROR((COUNTIF(Matrice!$G$84:$G$92,"Natif")+COUNTIF(Matrice!$G$84:$G$92,"Officiel"))/(C29-COUNTIF(Matrice!$G$84:$G$92,"Info")),0)</f>
        <v>0.444444444444444</v>
      </c>
      <c r="H29" s="64" t="n">
        <f aca="false">IFERROR((COUNTIF(Matrice!$H$84:$H$92,"Natif")+COUNTIF(Matrice!$H$84:$H$92,"Officiel"))/(C29-COUNTIF(Matrice!$H$84:$H$92,"Info")),0)</f>
        <v>1</v>
      </c>
      <c r="I29" s="65" t="n">
        <f aca="false">IFERROR((COUNTIF(Matrice!$I$84:$I$92,"Natif")+COUNTIF(Matrice!$I$84:$I$92,"Officiel"))/(C29-COUNTIF(Matrice!$I$84:$I$92,"Info")),0)</f>
        <v>0.666666666666667</v>
      </c>
      <c r="J29" s="65" t="n">
        <f aca="false">IFERROR((COUNTIF(Matrice!$J$84:$J$92,"Natif")+COUNTIF(Matrice!$J$84:$J$92,"Officiel"))/(C29-COUNTIF(Matrice!$J$84:$J$92,"Info")),0)</f>
        <v>0.666666666666667</v>
      </c>
      <c r="K29" s="67" t="n">
        <f aca="false">IFERROR((COUNTIF(Matrice!$K$84:$K$92,"Natif")+COUNTIF(Matrice!$K$84:$K$92,"Officiel"))/(C29-COUNTIF(Matrice!$K$84:$K$92,"Info")),0)</f>
        <v>0.333333333333333</v>
      </c>
      <c r="L29" s="75" t="n">
        <f aca="false">IFERROR((COUNTIF(Matrice!$L$84:$L$92,"Natif")+COUNTIF(Matrice!$L$84:$L$92,"Officiel"))/(C29-COUNTIF(Matrice!$L$84:$L$92,"Info")),0)</f>
        <v>0.444444444444444</v>
      </c>
      <c r="M29" s="79" t="n">
        <f aca="false">IFERROR((COUNTIF(Matrice!$M$84:$M$92,"Natif")+COUNTIF(Matrice!$M$84:$M$92,"Officiel"))/(C29-COUNTIF(Matrice!$M$84:$M$92,"Info")),0)</f>
        <v>0.222222222222222</v>
      </c>
    </row>
    <row r="30" customFormat="false" ht="15" hidden="false" customHeight="false" outlineLevel="0" collapsed="false">
      <c r="A30" s="38" t="s">
        <v>96</v>
      </c>
      <c r="B30" s="38" t="s">
        <v>99</v>
      </c>
      <c r="C30" s="38" t="n">
        <v>7</v>
      </c>
      <c r="D30" s="64" t="n">
        <f aca="false">IFERROR((COUNTIF(Matrice!$D$93:$D$99,"Natif")+COUNTIF(Matrice!$D$93:$D$99,"Officiel"))/(C30-COUNTIF(Matrice!$D$93:$D$99,"Info")),0)</f>
        <v>1</v>
      </c>
      <c r="E30" s="68" t="n">
        <f aca="false">IFERROR((COUNTIF(Matrice!$E$93:$E$99,"Natif")+COUNTIF(Matrice!$E$93:$E$99,"Officiel"))/(C30-COUNTIF(Matrice!$E$93:$E$99,"Info")),0)</f>
        <v>0.833333333333333</v>
      </c>
      <c r="F30" s="52" t="n">
        <f aca="false">IFERROR((COUNTIF(Matrice!$F$93:$F$99,"Natif")+COUNTIF(Matrice!$F$93:$F$99,"Officiel"))/(C30-COUNTIF(Matrice!$F$93:$F$99,"Info")),0)</f>
        <v>0.5</v>
      </c>
      <c r="G30" s="68" t="n">
        <f aca="false">IFERROR((COUNTIF(Matrice!$G$93:$G$99,"Natif")+COUNTIF(Matrice!$G$93:$G$99,"Officiel"))/(C30-COUNTIF(Matrice!$G$93:$G$99,"Info")),0)</f>
        <v>0.833333333333333</v>
      </c>
      <c r="H30" s="65" t="n">
        <f aca="false">IFERROR((COUNTIF(Matrice!$H$93:$H$99,"Natif")+COUNTIF(Matrice!$H$93:$H$99,"Officiel"))/(C30-COUNTIF(Matrice!$H$93:$H$99,"Info")),0)</f>
        <v>0.666666666666667</v>
      </c>
      <c r="I30" s="65" t="n">
        <f aca="false">IFERROR((COUNTIF(Matrice!$I$93:$I$99,"Natif")+COUNTIF(Matrice!$I$93:$I$99,"Officiel"))/(C30-COUNTIF(Matrice!$I$93:$I$99,"Info")),0)</f>
        <v>0.666666666666667</v>
      </c>
      <c r="J30" s="68" t="n">
        <f aca="false">IFERROR((COUNTIF(Matrice!$J$93:$J$99,"Natif")+COUNTIF(Matrice!$J$93:$J$99,"Officiel"))/(C30-COUNTIF(Matrice!$J$93:$J$99,"Info")),0)</f>
        <v>0.833333333333333</v>
      </c>
      <c r="K30" s="69" t="n">
        <f aca="false">IFERROR((COUNTIF(Matrice!$K$93:$K$99,"Natif")+COUNTIF(Matrice!$K$93:$K$99,"Officiel"))/(C30-COUNTIF(Matrice!$K$93:$K$99,"Info")),0)</f>
        <v>0</v>
      </c>
      <c r="L30" s="68" t="n">
        <f aca="false">IFERROR((COUNTIF(Matrice!$L$93:$L$99,"Natif")+COUNTIF(Matrice!$L$93:$L$99,"Officiel"))/(C30-COUNTIF(Matrice!$L$93:$L$99,"Info")),0)</f>
        <v>0.833333333333333</v>
      </c>
      <c r="M30" s="52" t="n">
        <f aca="false">IFERROR((COUNTIF(Matrice!$M$93:$M$99,"Natif")+COUNTIF(Matrice!$M$93:$M$99,"Officiel"))/(C30-COUNTIF(Matrice!$M$93:$M$99,"Info")),0)</f>
        <v>0.5</v>
      </c>
    </row>
    <row r="31" customFormat="false" ht="15" hidden="false" customHeight="false" outlineLevel="0" collapsed="false">
      <c r="A31" s="38" t="s">
        <v>96</v>
      </c>
      <c r="B31" s="38" t="s">
        <v>100</v>
      </c>
      <c r="C31" s="38" t="n">
        <v>7</v>
      </c>
      <c r="D31" s="71" t="n">
        <f aca="false">IFERROR((COUNTIF(Matrice!$D$100:$D$106,"Natif")+COUNTIF(Matrice!$D$100:$D$106,"Officiel"))/(C31-COUNTIF(Matrice!$D$100:$D$106,"Info")),0)</f>
        <v>0.714285714285714</v>
      </c>
      <c r="E31" s="71" t="n">
        <f aca="false">IFERROR((COUNTIF(Matrice!$E$100:$E$106,"Natif")+COUNTIF(Matrice!$E$100:$E$106,"Officiel"))/(C31-COUNTIF(Matrice!$E$100:$E$106,"Info")),0)</f>
        <v>0.714285714285714</v>
      </c>
      <c r="F31" s="73" t="n">
        <f aca="false">IFERROR((COUNTIF(Matrice!$F$100:$F$106,"Natif")+COUNTIF(Matrice!$F$100:$F$106,"Officiel"))/(C31-COUNTIF(Matrice!$F$100:$F$106,"Info")),0)</f>
        <v>0.285714285714286</v>
      </c>
      <c r="G31" s="73" t="n">
        <f aca="false">IFERROR((COUNTIF(Matrice!$G$100:$G$106,"Natif")+COUNTIF(Matrice!$G$100:$G$106,"Officiel"))/(C31-COUNTIF(Matrice!$G$100:$G$106,"Info")),0)</f>
        <v>0.285714285714286</v>
      </c>
      <c r="H31" s="72" t="n">
        <f aca="false">IFERROR((COUNTIF(Matrice!$H$100:$H$106,"Natif")+COUNTIF(Matrice!$H$100:$H$106,"Officiel"))/(C31-COUNTIF(Matrice!$H$100:$H$106,"Info")),0)</f>
        <v>0.571428571428571</v>
      </c>
      <c r="I31" s="72" t="n">
        <f aca="false">IFERROR((COUNTIF(Matrice!$I$100:$I$106,"Natif")+COUNTIF(Matrice!$I$100:$I$106,"Officiel"))/(C31-COUNTIF(Matrice!$I$100:$I$106,"Info")),0)</f>
        <v>0.571428571428571</v>
      </c>
      <c r="J31" s="74" t="n">
        <f aca="false">IFERROR((COUNTIF(Matrice!$J$100:$J$106,"Natif")+COUNTIF(Matrice!$J$100:$J$106,"Officiel"))/(C31-COUNTIF(Matrice!$J$100:$J$106,"Info")),0)</f>
        <v>0.857142857142857</v>
      </c>
      <c r="K31" s="73" t="n">
        <f aca="false">IFERROR((COUNTIF(Matrice!$K$100:$K$106,"Natif")+COUNTIF(Matrice!$K$100:$K$106,"Officiel"))/(C31-COUNTIF(Matrice!$K$100:$K$106,"Info")),0)</f>
        <v>0.285714285714286</v>
      </c>
      <c r="L31" s="71" t="n">
        <f aca="false">IFERROR((COUNTIF(Matrice!$L$100:$L$106,"Natif")+COUNTIF(Matrice!$L$100:$L$106,"Officiel"))/(C31-COUNTIF(Matrice!$L$100:$L$106,"Info")),0)</f>
        <v>0.714285714285714</v>
      </c>
      <c r="M31" s="70" t="n">
        <f aca="false">IFERROR((COUNTIF(Matrice!$M$100:$M$106,"Natif")+COUNTIF(Matrice!$M$100:$M$106,"Officiel"))/(C31-COUNTIF(Matrice!$M$100:$M$106,"Info")),0)</f>
        <v>0.428571428571429</v>
      </c>
    </row>
    <row r="32" customFormat="false" ht="15" hidden="false" customHeight="false" outlineLevel="0" collapsed="false">
      <c r="A32" s="38" t="s">
        <v>96</v>
      </c>
      <c r="B32" s="38" t="s">
        <v>101</v>
      </c>
      <c r="C32" s="38" t="n">
        <v>7</v>
      </c>
      <c r="D32" s="70" t="n">
        <f aca="false">IFERROR((COUNTIF(Matrice!$D$107:$D$113,"Natif")+COUNTIF(Matrice!$D$107:$D$113,"Officiel"))/(C32-COUNTIF(Matrice!$D$107:$D$113,"Info")),0)</f>
        <v>0.428571428571429</v>
      </c>
      <c r="E32" s="69" t="n">
        <f aca="false">IFERROR((COUNTIF(Matrice!$E$107:$E$113,"Natif")+COUNTIF(Matrice!$E$107:$E$113,"Officiel"))/(C32-COUNTIF(Matrice!$E$107:$E$113,"Info")),0)</f>
        <v>0</v>
      </c>
      <c r="F32" s="69" t="n">
        <f aca="false">IFERROR((COUNTIF(Matrice!$F$107:$F$113,"Natif")+COUNTIF(Matrice!$F$107:$F$113,"Officiel"))/(C32-COUNTIF(Matrice!$F$107:$F$113,"Info")),0)</f>
        <v>0</v>
      </c>
      <c r="G32" s="69" t="n">
        <f aca="false">IFERROR((COUNTIF(Matrice!$G$107:$G$113,"Natif")+COUNTIF(Matrice!$G$107:$G$113,"Officiel"))/(C32-COUNTIF(Matrice!$G$107:$G$113,"Info")),0)</f>
        <v>0</v>
      </c>
      <c r="H32" s="74" t="n">
        <f aca="false">IFERROR((COUNTIF(Matrice!$H$107:$H$113,"Natif")+COUNTIF(Matrice!$H$107:$H$113,"Officiel"))/(C32-COUNTIF(Matrice!$H$107:$H$113,"Info")),0)</f>
        <v>0.857142857142857</v>
      </c>
      <c r="I32" s="80" t="n">
        <f aca="false">IFERROR((COUNTIF(Matrice!$I$107:$I$113,"Natif")+COUNTIF(Matrice!$I$107:$I$113,"Officiel"))/(C32-COUNTIF(Matrice!$I$107:$I$113,"Info")),0)</f>
        <v>0.142857142857143</v>
      </c>
      <c r="J32" s="74" t="n">
        <f aca="false">IFERROR((COUNTIF(Matrice!$J$107:$J$113,"Natif")+COUNTIF(Matrice!$J$107:$J$113,"Officiel"))/(C32-COUNTIF(Matrice!$J$107:$J$113,"Info")),0)</f>
        <v>0.857142857142857</v>
      </c>
      <c r="K32" s="73" t="n">
        <f aca="false">IFERROR((COUNTIF(Matrice!$K$107:$K$113,"Natif")+COUNTIF(Matrice!$K$107:$K$113,"Officiel"))/(C32-COUNTIF(Matrice!$K$107:$K$113,"Info")),0)</f>
        <v>0.285714285714286</v>
      </c>
      <c r="L32" s="71" t="n">
        <f aca="false">IFERROR((COUNTIF(Matrice!$L$107:$L$113,"Natif")+COUNTIF(Matrice!$L$107:$L$113,"Officiel"))/(C32-COUNTIF(Matrice!$L$107:$L$113,"Info")),0)</f>
        <v>0.714285714285714</v>
      </c>
      <c r="M32" s="80" t="n">
        <f aca="false">IFERROR((COUNTIF(Matrice!$M$107:$M$113,"Natif")+COUNTIF(Matrice!$M$107:$M$113,"Officiel"))/(C32-COUNTIF(Matrice!$M$107:$M$113,"Info")),0)</f>
        <v>0.142857142857143</v>
      </c>
    </row>
    <row r="33" customFormat="false" ht="15" hidden="false" customHeight="false" outlineLevel="0" collapsed="false">
      <c r="A33" s="38" t="s">
        <v>96</v>
      </c>
      <c r="B33" s="38" t="s">
        <v>102</v>
      </c>
      <c r="C33" s="38" t="n">
        <v>8</v>
      </c>
      <c r="D33" s="63" t="n">
        <f aca="false">IFERROR((COUNTIF(Matrice!$D$114:$D$121,"Natif")+COUNTIF(Matrice!$D$114:$D$121,"Officiel"))/(C33-COUNTIF(Matrice!$D$114:$D$121,"Info")),0)</f>
        <v>0.625</v>
      </c>
      <c r="E33" s="59" t="n">
        <f aca="false">IFERROR((COUNTIF(Matrice!$E$114:$E$121,"Natif")+COUNTIF(Matrice!$E$114:$E$121,"Officiel"))/(C33-COUNTIF(Matrice!$E$114:$E$121,"Info")),0)</f>
        <v>0.75</v>
      </c>
      <c r="F33" s="61" t="n">
        <f aca="false">IFERROR((COUNTIF(Matrice!$F$114:$F$121,"Natif")+COUNTIF(Matrice!$F$114:$F$121,"Officiel"))/(C33-COUNTIF(Matrice!$F$114:$F$121,"Info")),0)</f>
        <v>0.875</v>
      </c>
      <c r="G33" s="60" t="n">
        <f aca="false">IFERROR((COUNTIF(Matrice!$G$114:$G$121,"Natif")+COUNTIF(Matrice!$G$114:$G$121,"Officiel"))/(C33-COUNTIF(Matrice!$G$114:$G$121,"Info")),0)</f>
        <v>0.375</v>
      </c>
      <c r="H33" s="63" t="n">
        <f aca="false">IFERROR((COUNTIF(Matrice!$H$114:$H$121,"Natif")+COUNTIF(Matrice!$H$114:$H$121,"Officiel"))/(C33-COUNTIF(Matrice!$H$114:$H$121,"Info")),0)</f>
        <v>0.625</v>
      </c>
      <c r="I33" s="69" t="n">
        <f aca="false">IFERROR((COUNTIF(Matrice!$I$114:$I$121,"Natif")+COUNTIF(Matrice!$I$114:$I$121,"Officiel"))/(C33-COUNTIF(Matrice!$I$114:$I$121,"Info")),0)</f>
        <v>0</v>
      </c>
      <c r="J33" s="63" t="n">
        <f aca="false">IFERROR((COUNTIF(Matrice!$J$114:$J$121,"Natif")+COUNTIF(Matrice!$J$114:$J$121,"Officiel"))/(C33-COUNTIF(Matrice!$J$114:$J$121,"Info")),0)</f>
        <v>0.625</v>
      </c>
      <c r="K33" s="61" t="n">
        <f aca="false">IFERROR((COUNTIF(Matrice!$K$114:$K$121,"Natif")+COUNTIF(Matrice!$K$114:$K$121,"Officiel"))/(C33-COUNTIF(Matrice!$K$114:$K$121,"Info")),0)</f>
        <v>0.875</v>
      </c>
      <c r="L33" s="63" t="n">
        <f aca="false">IFERROR((COUNTIF(Matrice!$L$114:$L$121,"Natif")+COUNTIF(Matrice!$L$114:$L$121,"Officiel"))/(C33-COUNTIF(Matrice!$L$114:$L$121,"Info")),0)</f>
        <v>0.625</v>
      </c>
      <c r="M33" s="69" t="n">
        <f aca="false">IFERROR((COUNTIF(Matrice!$M$114:$M$121,"Natif")+COUNTIF(Matrice!$M$114:$M$121,"Officiel"))/(C33-COUNTIF(Matrice!$M$114:$M$121,"Info")),0)</f>
        <v>0</v>
      </c>
    </row>
    <row r="34" customFormat="false" ht="15" hidden="false" customHeight="false" outlineLevel="0" collapsed="false">
      <c r="A34" s="38" t="s">
        <v>96</v>
      </c>
      <c r="B34" s="38" t="s">
        <v>103</v>
      </c>
      <c r="C34" s="38" t="n">
        <v>5</v>
      </c>
      <c r="D34" s="56" t="n">
        <f aca="false">IFERROR((COUNTIF(Matrice!$D$122:$D$126,"Natif")+COUNTIF(Matrice!$D$122:$D$126,"Officiel"))/(C34-COUNTIF(Matrice!$D$122:$D$126,"Info")),0)</f>
        <v>0.8</v>
      </c>
      <c r="E34" s="69" t="n">
        <f aca="false">IFERROR((COUNTIF(Matrice!$E$122:$E$126,"Natif")+COUNTIF(Matrice!$E$122:$E$126,"Officiel"))/(C34-COUNTIF(Matrice!$E$122:$E$126,"Info")),0)</f>
        <v>0</v>
      </c>
      <c r="F34" s="56" t="n">
        <f aca="false">IFERROR((COUNTIF(Matrice!$F$122:$F$126,"Natif")+COUNTIF(Matrice!$F$122:$F$126,"Officiel"))/(C34-COUNTIF(Matrice!$F$122:$F$126,"Info")),0)</f>
        <v>0.8</v>
      </c>
      <c r="G34" s="69" t="n">
        <f aca="false">IFERROR((COUNTIF(Matrice!$G$122:$G$126,"Natif")+COUNTIF(Matrice!$G$122:$G$126,"Officiel"))/(C34-COUNTIF(Matrice!$G$122:$G$126,"Info")),0)</f>
        <v>0</v>
      </c>
      <c r="H34" s="69" t="n">
        <f aca="false">IFERROR((COUNTIF(Matrice!$H$122:$H$126,"Natif")+COUNTIF(Matrice!$H$122:$H$126,"Officiel"))/(C34-COUNTIF(Matrice!$H$122:$H$126,"Info")),0)</f>
        <v>0</v>
      </c>
      <c r="I34" s="54" t="n">
        <f aca="false">IFERROR((COUNTIF(Matrice!$I$122:$I$126,"Natif")+COUNTIF(Matrice!$I$122:$I$126,"Officiel"))/(C34-COUNTIF(Matrice!$I$122:$I$126,"Info")),0)</f>
        <v>0.6</v>
      </c>
      <c r="J34" s="54" t="n">
        <f aca="false">IFERROR((COUNTIF(Matrice!$J$122:$J$126,"Natif")+COUNTIF(Matrice!$J$122:$J$126,"Officiel"))/(C34-COUNTIF(Matrice!$J$122:$J$126,"Info")),0)</f>
        <v>0.6</v>
      </c>
      <c r="K34" s="57" t="n">
        <f aca="false">IFERROR((COUNTIF(Matrice!$K$122:$K$126,"Natif")+COUNTIF(Matrice!$K$122:$K$126,"Officiel"))/(C34-COUNTIF(Matrice!$K$122:$K$126,"Info")),0)</f>
        <v>0.4</v>
      </c>
      <c r="L34" s="78" t="n">
        <f aca="false">IFERROR((COUNTIF(Matrice!$L$122:$L$126,"Natif")+COUNTIF(Matrice!$L$122:$L$126,"Officiel"))/(C34-COUNTIF(Matrice!$L$122:$L$126,"Info")),0)</f>
        <v>0.2</v>
      </c>
      <c r="M34" s="69" t="n">
        <f aca="false">IFERROR((COUNTIF(Matrice!$M$122:$M$126,"Natif")+COUNTIF(Matrice!$M$122:$M$126,"Officiel"))/(C34-COUNTIF(Matrice!$M$122:$M$126,"Info")),0)</f>
        <v>0</v>
      </c>
    </row>
    <row r="35" customFormat="false" ht="15" hidden="false" customHeight="false" outlineLevel="0" collapsed="false">
      <c r="A35" s="38" t="s">
        <v>96</v>
      </c>
      <c r="B35" s="38" t="s">
        <v>104</v>
      </c>
      <c r="C35" s="38" t="n">
        <v>4</v>
      </c>
      <c r="D35" s="52" t="n">
        <f aca="false">IFERROR((COUNTIF(Matrice!$D$127:$D$130,"Natif")+COUNTIF(Matrice!$D$127:$D$130,"Officiel"))/(C35-COUNTIF(Matrice!$D$127:$D$130,"Info")),0)</f>
        <v>0.5</v>
      </c>
      <c r="E35" s="59" t="n">
        <f aca="false">IFERROR((COUNTIF(Matrice!$E$127:$E$130,"Natif")+COUNTIF(Matrice!$E$127:$E$130,"Officiel"))/(C35-COUNTIF(Matrice!$E$127:$E$130,"Info")),0)</f>
        <v>0.75</v>
      </c>
      <c r="F35" s="52" t="n">
        <f aca="false">IFERROR((COUNTIF(Matrice!$F$127:$F$130,"Natif")+COUNTIF(Matrice!$F$127:$F$130,"Officiel"))/(C35-COUNTIF(Matrice!$F$127:$F$130,"Info")),0)</f>
        <v>0.5</v>
      </c>
      <c r="G35" s="69" t="n">
        <f aca="false">IFERROR((COUNTIF(Matrice!$G$127:$G$130,"Natif")+COUNTIF(Matrice!$G$127:$G$130,"Officiel"))/(C35-COUNTIF(Matrice!$G$127:$G$130,"Info")),0)</f>
        <v>0</v>
      </c>
      <c r="H35" s="69" t="n">
        <f aca="false">IFERROR((COUNTIF(Matrice!$H$127:$H$130,"Natif")+COUNTIF(Matrice!$H$127:$H$130,"Officiel"))/(C35-COUNTIF(Matrice!$H$127:$H$130,"Info")),0)</f>
        <v>0</v>
      </c>
      <c r="I35" s="69" t="n">
        <f aca="false">IFERROR((COUNTIF(Matrice!$I$127:$I$130,"Natif")+COUNTIF(Matrice!$I$127:$I$130,"Officiel"))/(C35-COUNTIF(Matrice!$I$127:$I$130,"Info")),0)</f>
        <v>0</v>
      </c>
      <c r="J35" s="69" t="n">
        <f aca="false">IFERROR((COUNTIF(Matrice!$J$127:$J$130,"Natif")+COUNTIF(Matrice!$J$127:$J$130,"Officiel"))/(C35-COUNTIF(Matrice!$J$127:$J$130,"Info")),0)</f>
        <v>0</v>
      </c>
      <c r="K35" s="69" t="n">
        <f aca="false">IFERROR((COUNTIF(Matrice!$K$127:$K$130,"Natif")+COUNTIF(Matrice!$K$127:$K$130,"Officiel"))/(C35-COUNTIF(Matrice!$K$127:$K$130,"Info")),0)</f>
        <v>0</v>
      </c>
      <c r="L35" s="69" t="n">
        <f aca="false">IFERROR((COUNTIF(Matrice!$L$127:$L$130,"Natif")+COUNTIF(Matrice!$L$127:$L$130,"Officiel"))/(C35-COUNTIF(Matrice!$L$127:$L$130,"Info")),0)</f>
        <v>0</v>
      </c>
      <c r="M35" s="69" t="n">
        <f aca="false">IFERROR((COUNTIF(Matrice!$M$127:$M$130,"Natif")+COUNTIF(Matrice!$M$127:$M$130,"Officiel"))/(C35-COUNTIF(Matrice!$M$127:$M$130,"Info")),0)</f>
        <v>0</v>
      </c>
    </row>
    <row r="36" customFormat="false" ht="15" hidden="false" customHeight="false" outlineLevel="0" collapsed="false">
      <c r="A36" s="38" t="s">
        <v>105</v>
      </c>
      <c r="B36" s="38" t="s">
        <v>106</v>
      </c>
      <c r="C36" s="38" t="n">
        <v>5</v>
      </c>
      <c r="D36" s="62" t="n">
        <f aca="false">IFERROR((COUNTIF(Matrice!$D$131:$D$135,"Natif")+COUNTIF(Matrice!$D$131:$D$135,"Officiel"))/(C36-COUNTIF(Matrice!$D$131:$D$135,"Info")),0)</f>
        <v>0.25</v>
      </c>
      <c r="E36" s="62" t="n">
        <f aca="false">IFERROR((COUNTIF(Matrice!$E$131:$E$135,"Natif")+COUNTIF(Matrice!$E$131:$E$135,"Officiel"))/(C36-COUNTIF(Matrice!$E$131:$E$135,"Info")),0)</f>
        <v>0.25</v>
      </c>
      <c r="F36" s="62" t="n">
        <f aca="false">IFERROR((COUNTIF(Matrice!$F$131:$F$135,"Natif")+COUNTIF(Matrice!$F$131:$F$135,"Officiel"))/(C36-COUNTIF(Matrice!$F$131:$F$135,"Info")),0)</f>
        <v>0.25</v>
      </c>
      <c r="G36" s="59" t="n">
        <f aca="false">IFERROR((COUNTIF(Matrice!$G$131:$G$135,"Natif")+COUNTIF(Matrice!$G$131:$G$135,"Officiel"))/(C36-COUNTIF(Matrice!$G$131:$G$135,"Info")),0)</f>
        <v>0.75</v>
      </c>
      <c r="H36" s="64" t="n">
        <f aca="false">IFERROR((COUNTIF(Matrice!$H$131:$H$135,"Natif")+COUNTIF(Matrice!$H$131:$H$135,"Officiel"))/(C36-COUNTIF(Matrice!$H$131:$H$135,"Info")),0)</f>
        <v>1</v>
      </c>
      <c r="I36" s="52" t="n">
        <f aca="false">IFERROR((COUNTIF(Matrice!$I$131:$I$135,"Natif")+COUNTIF(Matrice!$I$131:$I$135,"Officiel"))/(C36-COUNTIF(Matrice!$I$131:$I$135,"Info")),0)</f>
        <v>0.5</v>
      </c>
      <c r="J36" s="52" t="n">
        <f aca="false">IFERROR((COUNTIF(Matrice!$J$131:$J$135,"Natif")+COUNTIF(Matrice!$J$131:$J$135,"Officiel"))/(C36-COUNTIF(Matrice!$J$131:$J$135,"Info")),0)</f>
        <v>0.5</v>
      </c>
      <c r="K36" s="62" t="n">
        <f aca="false">IFERROR((COUNTIF(Matrice!$K$131:$K$135,"Natif")+COUNTIF(Matrice!$K$131:$K$135,"Officiel"))/(C36-COUNTIF(Matrice!$K$131:$K$135,"Info")),0)</f>
        <v>0.25</v>
      </c>
      <c r="L36" s="62" t="n">
        <f aca="false">IFERROR((COUNTIF(Matrice!$L$131:$L$135,"Natif")+COUNTIF(Matrice!$L$131:$L$135,"Officiel"))/(C36-COUNTIF(Matrice!$L$131:$L$135,"Info")),0)</f>
        <v>0.25</v>
      </c>
      <c r="M36" s="62" t="n">
        <f aca="false">IFERROR((COUNTIF(Matrice!$M$131:$M$135,"Natif")+COUNTIF(Matrice!$M$131:$M$135,"Officiel"))/(C36-COUNTIF(Matrice!$M$131:$M$135,"Info")),0)</f>
        <v>0.25</v>
      </c>
    </row>
    <row r="37" customFormat="false" ht="15" hidden="false" customHeight="false" outlineLevel="0" collapsed="false">
      <c r="A37" s="38" t="s">
        <v>105</v>
      </c>
      <c r="B37" s="38" t="s">
        <v>107</v>
      </c>
      <c r="C37" s="38" t="n">
        <v>4</v>
      </c>
      <c r="D37" s="52" t="n">
        <f aca="false">IFERROR((COUNTIF(Matrice!$D$136:$D$139,"Natif")+COUNTIF(Matrice!$D$136:$D$139,"Officiel"))/(C37-COUNTIF(Matrice!$D$136:$D$139,"Info")),0)</f>
        <v>0.5</v>
      </c>
      <c r="E37" s="59" t="n">
        <f aca="false">IFERROR((COUNTIF(Matrice!$E$136:$E$139,"Natif")+COUNTIF(Matrice!$E$136:$E$139,"Officiel"))/(C37-COUNTIF(Matrice!$E$136:$E$139,"Info")),0)</f>
        <v>0.75</v>
      </c>
      <c r="F37" s="64" t="n">
        <f aca="false">IFERROR((COUNTIF(Matrice!$F$136:$F$139,"Natif")+COUNTIF(Matrice!$F$136:$F$139,"Officiel"))/(C37-COUNTIF(Matrice!$F$136:$F$139,"Info")),0)</f>
        <v>1</v>
      </c>
      <c r="G37" s="59" t="n">
        <f aca="false">IFERROR((COUNTIF(Matrice!$G$136:$G$139,"Natif")+COUNTIF(Matrice!$G$136:$G$139,"Officiel"))/(C37-COUNTIF(Matrice!$G$136:$G$139,"Info")),0)</f>
        <v>0.75</v>
      </c>
      <c r="H37" s="64" t="n">
        <f aca="false">IFERROR((COUNTIF(Matrice!$H$136:$H$139,"Natif")+COUNTIF(Matrice!$H$136:$H$139,"Officiel"))/(C37-COUNTIF(Matrice!$H$136:$H$139,"Info")),0)</f>
        <v>1</v>
      </c>
      <c r="I37" s="52" t="n">
        <f aca="false">IFERROR((COUNTIF(Matrice!$I$136:$I$139,"Natif")+COUNTIF(Matrice!$I$136:$I$139,"Officiel"))/(C37-COUNTIF(Matrice!$I$136:$I$139,"Info")),0)</f>
        <v>0.5</v>
      </c>
      <c r="J37" s="64" t="n">
        <f aca="false">IFERROR((COUNTIF(Matrice!$J$136:$J$139,"Natif")+COUNTIF(Matrice!$J$136:$J$139,"Officiel"))/(C37-COUNTIF(Matrice!$J$136:$J$139,"Info")),0)</f>
        <v>1</v>
      </c>
      <c r="K37" s="64" t="n">
        <f aca="false">IFERROR((COUNTIF(Matrice!$K$136:$K$139,"Natif")+COUNTIF(Matrice!$K$136:$K$139,"Officiel"))/(C37-COUNTIF(Matrice!$K$136:$K$139,"Info")),0)</f>
        <v>1</v>
      </c>
      <c r="L37" s="62" t="n">
        <f aca="false">IFERROR((COUNTIF(Matrice!$L$136:$L$139,"Natif")+COUNTIF(Matrice!$L$136:$L$139,"Officiel"))/(C37-COUNTIF(Matrice!$L$136:$L$139,"Info")),0)</f>
        <v>0.25</v>
      </c>
      <c r="M37" s="62" t="n">
        <f aca="false">IFERROR((COUNTIF(Matrice!$M$136:$M$139,"Natif")+COUNTIF(Matrice!$M$136:$M$139,"Officiel"))/(C37-COUNTIF(Matrice!$M$136:$M$139,"Info")),0)</f>
        <v>0.25</v>
      </c>
    </row>
    <row r="38" customFormat="false" ht="15" hidden="false" customHeight="false" outlineLevel="0" collapsed="false">
      <c r="A38" s="38" t="s">
        <v>105</v>
      </c>
      <c r="B38" s="38" t="s">
        <v>108</v>
      </c>
      <c r="C38" s="38" t="n">
        <v>4</v>
      </c>
      <c r="D38" s="69" t="n">
        <f aca="false">IFERROR((COUNTIF(Matrice!$D$140:$D$143,"Natif")+COUNTIF(Matrice!$D$140:$D$143,"Officiel"))/(C38-COUNTIF(Matrice!$D$140:$D$143,"Info")),0)</f>
        <v>0</v>
      </c>
      <c r="E38" s="59" t="n">
        <f aca="false">IFERROR((COUNTIF(Matrice!$E$140:$E$143,"Natif")+COUNTIF(Matrice!$E$140:$E$143,"Officiel"))/(C38-COUNTIF(Matrice!$E$140:$E$143,"Info")),0)</f>
        <v>0.75</v>
      </c>
      <c r="F38" s="52" t="n">
        <f aca="false">IFERROR((COUNTIF(Matrice!$F$140:$F$143,"Natif")+COUNTIF(Matrice!$F$140:$F$143,"Officiel"))/(C38-COUNTIF(Matrice!$F$140:$F$143,"Info")),0)</f>
        <v>0.5</v>
      </c>
      <c r="G38" s="62" t="n">
        <f aca="false">IFERROR((COUNTIF(Matrice!$G$140:$G$143,"Natif")+COUNTIF(Matrice!$G$140:$G$143,"Officiel"))/(C38-COUNTIF(Matrice!$G$140:$G$143,"Info")),0)</f>
        <v>0.25</v>
      </c>
      <c r="H38" s="59" t="n">
        <f aca="false">IFERROR((COUNTIF(Matrice!$H$140:$H$143,"Natif")+COUNTIF(Matrice!$H$140:$H$143,"Officiel"))/(C38-COUNTIF(Matrice!$H$140:$H$143,"Info")),0)</f>
        <v>0.75</v>
      </c>
      <c r="I38" s="62" t="n">
        <f aca="false">IFERROR((COUNTIF(Matrice!$I$140:$I$143,"Natif")+COUNTIF(Matrice!$I$140:$I$143,"Officiel"))/(C38-COUNTIF(Matrice!$I$140:$I$143,"Info")),0)</f>
        <v>0.25</v>
      </c>
      <c r="J38" s="52" t="n">
        <f aca="false">IFERROR((COUNTIF(Matrice!$J$140:$J$143,"Natif")+COUNTIF(Matrice!$J$140:$J$143,"Officiel"))/(C38-COUNTIF(Matrice!$J$140:$J$143,"Info")),0)</f>
        <v>0.5</v>
      </c>
      <c r="K38" s="52" t="n">
        <f aca="false">IFERROR((COUNTIF(Matrice!$K$140:$K$143,"Natif")+COUNTIF(Matrice!$K$140:$K$143,"Officiel"))/(C38-COUNTIF(Matrice!$K$140:$K$143,"Info")),0)</f>
        <v>0.5</v>
      </c>
      <c r="L38" s="62" t="n">
        <f aca="false">IFERROR((COUNTIF(Matrice!$L$140:$L$143,"Natif")+COUNTIF(Matrice!$L$140:$L$143,"Officiel"))/(C38-COUNTIF(Matrice!$L$140:$L$143,"Info")),0)</f>
        <v>0.25</v>
      </c>
      <c r="M38" s="69" t="n">
        <f aca="false">IFERROR((COUNTIF(Matrice!$M$140:$M$143,"Natif")+COUNTIF(Matrice!$M$140:$M$143,"Officiel"))/(C38-COUNTIF(Matrice!$M$140:$M$143,"Info")),0)</f>
        <v>0</v>
      </c>
    </row>
    <row r="39" customFormat="false" ht="15" hidden="false" customHeight="false" outlineLevel="0" collapsed="false">
      <c r="A39" s="38" t="s">
        <v>105</v>
      </c>
      <c r="B39" s="38" t="s">
        <v>109</v>
      </c>
      <c r="C39" s="38" t="n">
        <v>7</v>
      </c>
      <c r="D39" s="64" t="n">
        <f aca="false">IFERROR((COUNTIF(Matrice!$D$144:$D$150,"Natif")+COUNTIF(Matrice!$D$144:$D$150,"Officiel"))/(C39-COUNTIF(Matrice!$D$144:$D$150,"Info")),0)</f>
        <v>1</v>
      </c>
      <c r="E39" s="64" t="n">
        <f aca="false">IFERROR((COUNTIF(Matrice!$E$144:$E$150,"Natif")+COUNTIF(Matrice!$E$144:$E$150,"Officiel"))/(C39-COUNTIF(Matrice!$E$144:$E$150,"Info")),0)</f>
        <v>1</v>
      </c>
      <c r="F39" s="64" t="n">
        <f aca="false">IFERROR((COUNTIF(Matrice!$F$144:$F$150,"Natif")+COUNTIF(Matrice!$F$144:$F$150,"Officiel"))/(C39-COUNTIF(Matrice!$F$144:$F$150,"Info")),0)</f>
        <v>1</v>
      </c>
      <c r="G39" s="74" t="n">
        <f aca="false">IFERROR((COUNTIF(Matrice!$G$144:$G$150,"Natif")+COUNTIF(Matrice!$G$144:$G$150,"Officiel"))/(C39-COUNTIF(Matrice!$G$144:$G$150,"Info")),0)</f>
        <v>0.857142857142857</v>
      </c>
      <c r="H39" s="64" t="n">
        <f aca="false">IFERROR((COUNTIF(Matrice!$H$144:$H$150,"Natif")+COUNTIF(Matrice!$H$144:$H$150,"Officiel"))/(C39-COUNTIF(Matrice!$H$144:$H$150,"Info")),0)</f>
        <v>1</v>
      </c>
      <c r="I39" s="64" t="n">
        <f aca="false">IFERROR((COUNTIF(Matrice!$I$144:$I$150,"Natif")+COUNTIF(Matrice!$I$144:$I$150,"Officiel"))/(C39-COUNTIF(Matrice!$I$144:$I$150,"Info")),0)</f>
        <v>1</v>
      </c>
      <c r="J39" s="64" t="n">
        <f aca="false">IFERROR((COUNTIF(Matrice!$J$144:$J$150,"Natif")+COUNTIF(Matrice!$J$144:$J$150,"Officiel"))/(C39-COUNTIF(Matrice!$J$144:$J$150,"Info")),0)</f>
        <v>1</v>
      </c>
      <c r="K39" s="74" t="n">
        <f aca="false">IFERROR((COUNTIF(Matrice!$K$144:$K$150,"Natif")+COUNTIF(Matrice!$K$144:$K$150,"Officiel"))/(C39-COUNTIF(Matrice!$K$144:$K$150,"Info")),0)</f>
        <v>0.857142857142857</v>
      </c>
      <c r="L39" s="74" t="n">
        <f aca="false">IFERROR((COUNTIF(Matrice!$L$144:$L$150,"Natif")+COUNTIF(Matrice!$L$144:$L$150,"Officiel"))/(C39-COUNTIF(Matrice!$L$144:$L$150,"Info")),0)</f>
        <v>0.857142857142857</v>
      </c>
      <c r="M39" s="74" t="n">
        <f aca="false">IFERROR((COUNTIF(Matrice!$M$144:$M$150,"Natif")+COUNTIF(Matrice!$M$144:$M$150,"Officiel"))/(C39-COUNTIF(Matrice!$M$144:$M$150,"Info")),0)</f>
        <v>0.857142857142857</v>
      </c>
    </row>
    <row r="40" customFormat="false" ht="15" hidden="false" customHeight="false" outlineLevel="0" collapsed="false">
      <c r="A40" s="38" t="s">
        <v>105</v>
      </c>
      <c r="B40" s="38" t="s">
        <v>110</v>
      </c>
      <c r="C40" s="38" t="n">
        <v>7</v>
      </c>
      <c r="D40" s="64" t="n">
        <f aca="false">IFERROR((COUNTIF(Matrice!$D$151:$D$157,"Natif")+COUNTIF(Matrice!$D$151:$D$157,"Officiel"))/(C40-COUNTIF(Matrice!$D$151:$D$157,"Info")),0)</f>
        <v>1</v>
      </c>
      <c r="E40" s="71" t="n">
        <f aca="false">IFERROR((COUNTIF(Matrice!$E$151:$E$157,"Natif")+COUNTIF(Matrice!$E$151:$E$157,"Officiel"))/(C40-COUNTIF(Matrice!$E$151:$E$157,"Info")),0)</f>
        <v>0.714285714285714</v>
      </c>
      <c r="F40" s="70" t="n">
        <f aca="false">IFERROR((COUNTIF(Matrice!$F$151:$F$157,"Natif")+COUNTIF(Matrice!$F$151:$F$157,"Officiel"))/(C40-COUNTIF(Matrice!$F$151:$F$157,"Info")),0)</f>
        <v>0.428571428571429</v>
      </c>
      <c r="G40" s="70" t="n">
        <f aca="false">IFERROR((COUNTIF(Matrice!$G$151:$G$157,"Natif")+COUNTIF(Matrice!$G$151:$G$157,"Officiel"))/(C40-COUNTIF(Matrice!$G$151:$G$157,"Info")),0)</f>
        <v>0.428571428571429</v>
      </c>
      <c r="H40" s="71" t="n">
        <f aca="false">IFERROR((COUNTIF(Matrice!$H$151:$H$157,"Natif")+COUNTIF(Matrice!$H$151:$H$157,"Officiel"))/(C40-COUNTIF(Matrice!$H$151:$H$157,"Info")),0)</f>
        <v>0.714285714285714</v>
      </c>
      <c r="I40" s="73" t="n">
        <f aca="false">IFERROR((COUNTIF(Matrice!$I$151:$I$157,"Natif")+COUNTIF(Matrice!$I$151:$I$157,"Officiel"))/(C40-COUNTIF(Matrice!$I$151:$I$157,"Info")),0)</f>
        <v>0.285714285714286</v>
      </c>
      <c r="J40" s="71" t="n">
        <f aca="false">IFERROR((COUNTIF(Matrice!$J$151:$J$157,"Natif")+COUNTIF(Matrice!$J$151:$J$157,"Officiel"))/(C40-COUNTIF(Matrice!$J$151:$J$157,"Info")),0)</f>
        <v>0.714285714285714</v>
      </c>
      <c r="K40" s="80" t="n">
        <f aca="false">IFERROR((COUNTIF(Matrice!$K$151:$K$157,"Natif")+COUNTIF(Matrice!$K$151:$K$157,"Officiel"))/(C40-COUNTIF(Matrice!$K$151:$K$157,"Info")),0)</f>
        <v>0.142857142857143</v>
      </c>
      <c r="L40" s="73" t="n">
        <f aca="false">IFERROR((COUNTIF(Matrice!$L$151:$L$157,"Natif")+COUNTIF(Matrice!$L$151:$L$157,"Officiel"))/(C40-COUNTIF(Matrice!$L$151:$L$157,"Info")),0)</f>
        <v>0.285714285714286</v>
      </c>
      <c r="M40" s="80" t="n">
        <f aca="false">IFERROR((COUNTIF(Matrice!$M$151:$M$157,"Natif")+COUNTIF(Matrice!$M$151:$M$157,"Officiel"))/(C40-COUNTIF(Matrice!$M$151:$M$157,"Info")),0)</f>
        <v>0.142857142857143</v>
      </c>
    </row>
    <row r="41" customFormat="false" ht="15" hidden="false" customHeight="false" outlineLevel="0" collapsed="false">
      <c r="A41" s="38" t="s">
        <v>105</v>
      </c>
      <c r="B41" s="38" t="s">
        <v>111</v>
      </c>
      <c r="C41" s="38" t="n">
        <v>3</v>
      </c>
      <c r="D41" s="65" t="n">
        <f aca="false">IFERROR((COUNTIF(Matrice!$D$158:$D$160,"Natif")+COUNTIF(Matrice!$D$158:$D$160,"Officiel"))/(C41-COUNTIF(Matrice!$D$158:$D$160,"Info")),0)</f>
        <v>0.666666666666667</v>
      </c>
      <c r="E41" s="64" t="n">
        <f aca="false">IFERROR((COUNTIF(Matrice!$E$158:$E$160,"Natif")+COUNTIF(Matrice!$E$158:$E$160,"Officiel"))/(C41-COUNTIF(Matrice!$E$158:$E$160,"Info")),0)</f>
        <v>1</v>
      </c>
      <c r="F41" s="65" t="n">
        <f aca="false">IFERROR((COUNTIF(Matrice!$F$158:$F$160,"Natif")+COUNTIF(Matrice!$F$158:$F$160,"Officiel"))/(C41-COUNTIF(Matrice!$F$158:$F$160,"Info")),0)</f>
        <v>0.666666666666667</v>
      </c>
      <c r="G41" s="69" t="n">
        <f aca="false">IFERROR((COUNTIF(Matrice!$G$158:$G$160,"Natif")+COUNTIF(Matrice!$G$158:$G$160,"Officiel"))/(C41-COUNTIF(Matrice!$G$158:$G$160,"Info")),0)</f>
        <v>0</v>
      </c>
      <c r="H41" s="64" t="n">
        <f aca="false">IFERROR((COUNTIF(Matrice!$H$158:$H$160,"Natif")+COUNTIF(Matrice!$H$158:$H$160,"Officiel"))/(C41-COUNTIF(Matrice!$H$158:$H$160,"Info")),0)</f>
        <v>1</v>
      </c>
      <c r="I41" s="65" t="n">
        <f aca="false">IFERROR((COUNTIF(Matrice!$I$158:$I$160,"Natif")+COUNTIF(Matrice!$I$158:$I$160,"Officiel"))/(C41-COUNTIF(Matrice!$I$158:$I$160,"Info")),0)</f>
        <v>0.666666666666667</v>
      </c>
      <c r="J41" s="67" t="n">
        <f aca="false">IFERROR((COUNTIF(Matrice!$J$158:$J$160,"Natif")+COUNTIF(Matrice!$J$158:$J$160,"Officiel"))/(C41-COUNTIF(Matrice!$J$158:$J$160,"Info")),0)</f>
        <v>0.333333333333333</v>
      </c>
      <c r="K41" s="64" t="n">
        <f aca="false">IFERROR((COUNTIF(Matrice!$K$158:$K$160,"Natif")+COUNTIF(Matrice!$K$158:$K$160,"Officiel"))/(C41-COUNTIF(Matrice!$K$158:$K$160,"Info")),0)</f>
        <v>1</v>
      </c>
      <c r="L41" s="64" t="n">
        <f aca="false">IFERROR((COUNTIF(Matrice!$L$158:$L$160,"Natif")+COUNTIF(Matrice!$L$158:$L$160,"Officiel"))/(C41-COUNTIF(Matrice!$L$158:$L$160,"Info")),0)</f>
        <v>1</v>
      </c>
      <c r="M41" s="65" t="n">
        <f aca="false">IFERROR((COUNTIF(Matrice!$M$158:$M$160,"Natif")+COUNTIF(Matrice!$M$158:$M$160,"Officiel"))/(C41-COUNTIF(Matrice!$M$158:$M$160,"Info")),0)</f>
        <v>0.666666666666667</v>
      </c>
    </row>
    <row r="42" customFormat="false" ht="15" hidden="false" customHeight="false" outlineLevel="0" collapsed="false">
      <c r="A42" s="38" t="s">
        <v>105</v>
      </c>
      <c r="B42" s="38" t="s">
        <v>112</v>
      </c>
      <c r="C42" s="38" t="n">
        <v>7</v>
      </c>
      <c r="D42" s="71" t="n">
        <f aca="false">IFERROR((COUNTIF(Matrice!$D$161:$D$167,"Natif")+COUNTIF(Matrice!$D$161:$D$167,"Officiel"))/(C42-COUNTIF(Matrice!$D$161:$D$167,"Info")),0)</f>
        <v>0.714285714285714</v>
      </c>
      <c r="E42" s="72" t="n">
        <f aca="false">IFERROR((COUNTIF(Matrice!$E$161:$E$167,"Natif")+COUNTIF(Matrice!$E$161:$E$167,"Officiel"))/(C42-COUNTIF(Matrice!$E$161:$E$167,"Info")),0)</f>
        <v>0.571428571428571</v>
      </c>
      <c r="F42" s="72" t="n">
        <f aca="false">IFERROR((COUNTIF(Matrice!$F$161:$F$167,"Natif")+COUNTIF(Matrice!$F$161:$F$167,"Officiel"))/(C42-COUNTIF(Matrice!$F$161:$F$167,"Info")),0)</f>
        <v>0.571428571428571</v>
      </c>
      <c r="G42" s="72" t="n">
        <f aca="false">IFERROR((COUNTIF(Matrice!$G$161:$G$167,"Natif")+COUNTIF(Matrice!$G$161:$G$167,"Officiel"))/(C42-COUNTIF(Matrice!$G$161:$G$167,"Info")),0)</f>
        <v>0.571428571428571</v>
      </c>
      <c r="H42" s="71" t="n">
        <f aca="false">IFERROR((COUNTIF(Matrice!$H$161:$H$167,"Natif")+COUNTIF(Matrice!$H$161:$H$167,"Officiel"))/(C42-COUNTIF(Matrice!$H$161:$H$167,"Info")),0)</f>
        <v>0.714285714285714</v>
      </c>
      <c r="I42" s="71" t="n">
        <f aca="false">IFERROR((COUNTIF(Matrice!$I$161:$I$167,"Natif")+COUNTIF(Matrice!$I$161:$I$167,"Officiel"))/(C42-COUNTIF(Matrice!$I$161:$I$167,"Info")),0)</f>
        <v>0.714285714285714</v>
      </c>
      <c r="J42" s="71" t="n">
        <f aca="false">IFERROR((COUNTIF(Matrice!$J$161:$J$167,"Natif")+COUNTIF(Matrice!$J$161:$J$167,"Officiel"))/(C42-COUNTIF(Matrice!$J$161:$J$167,"Info")),0)</f>
        <v>0.714285714285714</v>
      </c>
      <c r="K42" s="72" t="n">
        <f aca="false">IFERROR((COUNTIF(Matrice!$K$161:$K$167,"Natif")+COUNTIF(Matrice!$K$161:$K$167,"Officiel"))/(C42-COUNTIF(Matrice!$K$161:$K$167,"Info")),0)</f>
        <v>0.571428571428571</v>
      </c>
      <c r="L42" s="70" t="n">
        <f aca="false">IFERROR((COUNTIF(Matrice!$L$161:$L$167,"Natif")+COUNTIF(Matrice!$L$161:$L$167,"Officiel"))/(C42-COUNTIF(Matrice!$L$161:$L$167,"Info")),0)</f>
        <v>0.428571428571429</v>
      </c>
      <c r="M42" s="73" t="n">
        <f aca="false">IFERROR((COUNTIF(Matrice!$M$161:$M$167,"Natif")+COUNTIF(Matrice!$M$161:$M$167,"Officiel"))/(C42-COUNTIF(Matrice!$M$161:$M$167,"Info")),0)</f>
        <v>0.285714285714286</v>
      </c>
    </row>
    <row r="43" customFormat="false" ht="15" hidden="false" customHeight="false" outlineLevel="0" collapsed="false">
      <c r="A43" s="38" t="s">
        <v>105</v>
      </c>
      <c r="B43" s="38" t="s">
        <v>113</v>
      </c>
      <c r="C43" s="38" t="n">
        <v>8</v>
      </c>
      <c r="D43" s="52" t="n">
        <f aca="false">IFERROR((COUNTIF(Matrice!$D$168:$D$175,"Natif")+COUNTIF(Matrice!$D$168:$D$175,"Officiel"))/(C43-COUNTIF(Matrice!$D$168:$D$175,"Info")),0)</f>
        <v>0.5</v>
      </c>
      <c r="E43" s="52" t="n">
        <f aca="false">IFERROR((COUNTIF(Matrice!$E$168:$E$175,"Natif")+COUNTIF(Matrice!$E$168:$E$175,"Officiel"))/(C43-COUNTIF(Matrice!$E$168:$E$175,"Info")),0)</f>
        <v>0.5</v>
      </c>
      <c r="F43" s="59" t="n">
        <f aca="false">IFERROR((COUNTIF(Matrice!$F$168:$F$175,"Natif")+COUNTIF(Matrice!$F$168:$F$175,"Officiel"))/(C43-COUNTIF(Matrice!$F$168:$F$175,"Info")),0)</f>
        <v>0.75</v>
      </c>
      <c r="G43" s="52" t="n">
        <f aca="false">IFERROR((COUNTIF(Matrice!$G$168:$G$175,"Natif")+COUNTIF(Matrice!$G$168:$G$175,"Officiel"))/(C43-COUNTIF(Matrice!$G$168:$G$175,"Info")),0)</f>
        <v>0.5</v>
      </c>
      <c r="H43" s="59" t="n">
        <f aca="false">IFERROR((COUNTIF(Matrice!$H$168:$H$175,"Natif")+COUNTIF(Matrice!$H$168:$H$175,"Officiel"))/(C43-COUNTIF(Matrice!$H$168:$H$175,"Info")),0)</f>
        <v>0.75</v>
      </c>
      <c r="I43" s="61" t="n">
        <f aca="false">IFERROR((COUNTIF(Matrice!$I$168:$I$175,"Natif")+COUNTIF(Matrice!$I$168:$I$175,"Officiel"))/(C43-COUNTIF(Matrice!$I$168:$I$175,"Info")),0)</f>
        <v>0.875</v>
      </c>
      <c r="J43" s="52" t="n">
        <f aca="false">IFERROR((COUNTIF(Matrice!$J$168:$J$175,"Natif")+COUNTIF(Matrice!$J$168:$J$175,"Officiel"))/(C43-COUNTIF(Matrice!$J$168:$J$175,"Info")),0)</f>
        <v>0.5</v>
      </c>
      <c r="K43" s="52" t="n">
        <f aca="false">IFERROR((COUNTIF(Matrice!$K$168:$K$175,"Natif")+COUNTIF(Matrice!$K$168:$K$175,"Officiel"))/(C43-COUNTIF(Matrice!$K$168:$K$175,"Info")),0)</f>
        <v>0.5</v>
      </c>
      <c r="L43" s="52" t="n">
        <f aca="false">IFERROR((COUNTIF(Matrice!$L$168:$L$175,"Natif")+COUNTIF(Matrice!$L$168:$L$175,"Officiel"))/(C43-COUNTIF(Matrice!$L$168:$L$175,"Info")),0)</f>
        <v>0.5</v>
      </c>
      <c r="M43" s="60" t="n">
        <f aca="false">IFERROR((COUNTIF(Matrice!$M$168:$M$175,"Natif")+COUNTIF(Matrice!$M$168:$M$175,"Officiel"))/(C43-COUNTIF(Matrice!$M$168:$M$175,"Info")),0)</f>
        <v>0.375</v>
      </c>
    </row>
    <row r="44" customFormat="false" ht="15" hidden="false" customHeight="false" outlineLevel="0" collapsed="false">
      <c r="A44" s="38" t="s">
        <v>105</v>
      </c>
      <c r="B44" s="38" t="s">
        <v>114</v>
      </c>
      <c r="C44" s="38" t="n">
        <v>6</v>
      </c>
      <c r="D44" s="68" t="n">
        <f aca="false">IFERROR((COUNTIF(Matrice!$D$176:$D$181,"Natif")+COUNTIF(Matrice!$D$176:$D$181,"Officiel"))/(C44-COUNTIF(Matrice!$D$176:$D$181,"Info")),0)</f>
        <v>0.833333333333333</v>
      </c>
      <c r="E44" s="65" t="n">
        <f aca="false">IFERROR((COUNTIF(Matrice!$E$176:$E$181,"Natif")+COUNTIF(Matrice!$E$176:$E$181,"Officiel"))/(C44-COUNTIF(Matrice!$E$176:$E$181,"Info")),0)</f>
        <v>0.666666666666667</v>
      </c>
      <c r="F44" s="52" t="n">
        <f aca="false">IFERROR((COUNTIF(Matrice!$F$176:$F$181,"Natif")+COUNTIF(Matrice!$F$176:$F$181,"Officiel"))/(C44-COUNTIF(Matrice!$F$176:$F$181,"Info")),0)</f>
        <v>0.5</v>
      </c>
      <c r="G44" s="52" t="n">
        <f aca="false">IFERROR((COUNTIF(Matrice!$G$176:$G$181,"Natif")+COUNTIF(Matrice!$G$176:$G$181,"Officiel"))/(C44-COUNTIF(Matrice!$G$176:$G$181,"Info")),0)</f>
        <v>0.5</v>
      </c>
      <c r="H44" s="67" t="n">
        <f aca="false">IFERROR((COUNTIF(Matrice!$H$176:$H$181,"Natif")+COUNTIF(Matrice!$H$176:$H$181,"Officiel"))/(C44-COUNTIF(Matrice!$H$176:$H$181,"Info")),0)</f>
        <v>0.333333333333333</v>
      </c>
      <c r="I44" s="65" t="n">
        <f aca="false">IFERROR((COUNTIF(Matrice!$I$176:$I$181,"Natif")+COUNTIF(Matrice!$I$176:$I$181,"Officiel"))/(C44-COUNTIF(Matrice!$I$176:$I$181,"Info")),0)</f>
        <v>0.666666666666667</v>
      </c>
      <c r="J44" s="65" t="n">
        <f aca="false">IFERROR((COUNTIF(Matrice!$J$176:$J$181,"Natif")+COUNTIF(Matrice!$J$176:$J$181,"Officiel"))/(C44-COUNTIF(Matrice!$J$176:$J$181,"Info")),0)</f>
        <v>0.666666666666667</v>
      </c>
      <c r="K44" s="66" t="n">
        <f aca="false">IFERROR((COUNTIF(Matrice!$K$176:$K$181,"Natif")+COUNTIF(Matrice!$K$176:$K$181,"Officiel"))/(C44-COUNTIF(Matrice!$K$176:$K$181,"Info")),0)</f>
        <v>0.166666666666667</v>
      </c>
      <c r="L44" s="65" t="n">
        <f aca="false">IFERROR((COUNTIF(Matrice!$L$176:$L$181,"Natif")+COUNTIF(Matrice!$L$176:$L$181,"Officiel"))/(C44-COUNTIF(Matrice!$L$176:$L$181,"Info")),0)</f>
        <v>0.666666666666667</v>
      </c>
      <c r="M44" s="67" t="n">
        <f aca="false">IFERROR((COUNTIF(Matrice!$M$176:$M$181,"Natif")+COUNTIF(Matrice!$M$176:$M$181,"Officiel"))/(C44-COUNTIF(Matrice!$M$176:$M$181,"Info")),0)</f>
        <v>0.333333333333333</v>
      </c>
    </row>
    <row r="45" customFormat="false" ht="15" hidden="false" customHeight="false" outlineLevel="0" collapsed="false">
      <c r="A45" s="38" t="s">
        <v>105</v>
      </c>
      <c r="B45" s="38" t="s">
        <v>115</v>
      </c>
      <c r="C45" s="38" t="n">
        <v>5</v>
      </c>
      <c r="D45" s="56" t="n">
        <f aca="false">IFERROR((COUNTIF(Matrice!$D$182:$D$186,"Natif")+COUNTIF(Matrice!$D$182:$D$186,"Officiel"))/(C45-COUNTIF(Matrice!$D$182:$D$186,"Info")),0)</f>
        <v>0.8</v>
      </c>
      <c r="E45" s="69" t="n">
        <f aca="false">IFERROR((COUNTIF(Matrice!$E$182:$E$186,"Natif")+COUNTIF(Matrice!$E$182:$E$186,"Officiel"))/(C45-COUNTIF(Matrice!$E$182:$E$186,"Info")),0)</f>
        <v>0</v>
      </c>
      <c r="F45" s="69" t="n">
        <f aca="false">IFERROR((COUNTIF(Matrice!$F$182:$F$186,"Natif")+COUNTIF(Matrice!$F$182:$F$186,"Officiel"))/(C45-COUNTIF(Matrice!$F$182:$F$186,"Info")),0)</f>
        <v>0</v>
      </c>
      <c r="G45" s="69" t="n">
        <f aca="false">IFERROR((COUNTIF(Matrice!$G$182:$G$186,"Natif")+COUNTIF(Matrice!$G$182:$G$186,"Officiel"))/(C45-COUNTIF(Matrice!$G$182:$G$186,"Info")),0)</f>
        <v>0</v>
      </c>
      <c r="H45" s="69" t="n">
        <f aca="false">IFERROR((COUNTIF(Matrice!$H$182:$H$186,"Natif")+COUNTIF(Matrice!$H$182:$H$186,"Officiel"))/(C45-COUNTIF(Matrice!$H$182:$H$186,"Info")),0)</f>
        <v>0</v>
      </c>
      <c r="I45" s="78" t="n">
        <f aca="false">IFERROR((COUNTIF(Matrice!$I$182:$I$186,"Natif")+COUNTIF(Matrice!$I$182:$I$186,"Officiel"))/(C45-COUNTIF(Matrice!$I$182:$I$186,"Info")),0)</f>
        <v>0.2</v>
      </c>
      <c r="J45" s="56" t="n">
        <f aca="false">IFERROR((COUNTIF(Matrice!$J$182:$J$186,"Natif")+COUNTIF(Matrice!$J$182:$J$186,"Officiel"))/(C45-COUNTIF(Matrice!$J$182:$J$186,"Info")),0)</f>
        <v>0.8</v>
      </c>
      <c r="K45" s="56" t="n">
        <f aca="false">IFERROR((COUNTIF(Matrice!$K$182:$K$186,"Natif")+COUNTIF(Matrice!$K$182:$K$186,"Officiel"))/(C45-COUNTIF(Matrice!$K$182:$K$186,"Info")),0)</f>
        <v>0.8</v>
      </c>
      <c r="L45" s="69" t="n">
        <f aca="false">IFERROR((COUNTIF(Matrice!$L$182:$L$186,"Natif")+COUNTIF(Matrice!$L$182:$L$186,"Officiel"))/(C45-COUNTIF(Matrice!$L$182:$L$186,"Info")),0)</f>
        <v>0</v>
      </c>
      <c r="M45" s="69" t="n">
        <f aca="false">IFERROR((COUNTIF(Matrice!$M$182:$M$186,"Natif")+COUNTIF(Matrice!$M$182:$M$186,"Officiel"))/(C45-COUNTIF(Matrice!$M$182:$M$186,"Info")),0)</f>
        <v>0</v>
      </c>
    </row>
    <row r="46" customFormat="false" ht="15" hidden="false" customHeight="false" outlineLevel="0" collapsed="false">
      <c r="A46" s="38" t="s">
        <v>116</v>
      </c>
      <c r="B46" s="38" t="s">
        <v>117</v>
      </c>
      <c r="C46" s="38" t="n">
        <v>5</v>
      </c>
      <c r="D46" s="54" t="n">
        <f aca="false">IFERROR((COUNTIF(Matrice!$D$187:$D$191,"Natif")+COUNTIF(Matrice!$D$187:$D$191,"Officiel"))/(C46-COUNTIF(Matrice!$D$187:$D$191,"Info")),0)</f>
        <v>0.6</v>
      </c>
      <c r="E46" s="69" t="n">
        <f aca="false">IFERROR((COUNTIF(Matrice!$E$187:$E$191,"Natif")+COUNTIF(Matrice!$E$187:$E$191,"Officiel"))/(C46-COUNTIF(Matrice!$E$187:$E$191,"Info")),0)</f>
        <v>0</v>
      </c>
      <c r="F46" s="69" t="n">
        <f aca="false">IFERROR((COUNTIF(Matrice!$F$187:$F$191,"Natif")+COUNTIF(Matrice!$F$187:$F$191,"Officiel"))/(C46-COUNTIF(Matrice!$F$187:$F$191,"Info")),0)</f>
        <v>0</v>
      </c>
      <c r="G46" s="69" t="n">
        <f aca="false">IFERROR((COUNTIF(Matrice!$G$187:$G$191,"Natif")+COUNTIF(Matrice!$G$187:$G$191,"Officiel"))/(C46-COUNTIF(Matrice!$G$187:$G$191,"Info")),0)</f>
        <v>0</v>
      </c>
      <c r="H46" s="69" t="n">
        <f aca="false">IFERROR((COUNTIF(Matrice!$H$187:$H$191,"Natif")+COUNTIF(Matrice!$H$187:$H$191,"Officiel"))/(C46-COUNTIF(Matrice!$H$187:$H$191,"Info")),0)</f>
        <v>0</v>
      </c>
      <c r="I46" s="69" t="n">
        <f aca="false">IFERROR((COUNTIF(Matrice!$I$187:$I$191,"Natif")+COUNTIF(Matrice!$I$187:$I$191,"Officiel"))/(C46-COUNTIF(Matrice!$I$187:$I$191,"Info")),0)</f>
        <v>0</v>
      </c>
      <c r="J46" s="69" t="n">
        <f aca="false">IFERROR((COUNTIF(Matrice!$J$187:$J$191,"Natif")+COUNTIF(Matrice!$J$187:$J$191,"Officiel"))/(C46-COUNTIF(Matrice!$J$187:$J$191,"Info")),0)</f>
        <v>0</v>
      </c>
      <c r="K46" s="69" t="n">
        <f aca="false">IFERROR((COUNTIF(Matrice!$K$187:$K$191,"Natif")+COUNTIF(Matrice!$K$187:$K$191,"Officiel"))/(C46-COUNTIF(Matrice!$K$187:$K$191,"Info")),0)</f>
        <v>0</v>
      </c>
      <c r="L46" s="69" t="n">
        <f aca="false">IFERROR((COUNTIF(Matrice!$L$187:$L$191,"Natif")+COUNTIF(Matrice!$L$187:$L$191,"Officiel"))/(C46-COUNTIF(Matrice!$L$187:$L$191,"Info")),0)</f>
        <v>0</v>
      </c>
      <c r="M46" s="69" t="n">
        <f aca="false">IFERROR((COUNTIF(Matrice!$M$187:$M$191,"Natif")+COUNTIF(Matrice!$M$187:$M$191,"Officiel"))/(C46-COUNTIF(Matrice!$M$187:$M$191,"Info")),0)</f>
        <v>0</v>
      </c>
    </row>
    <row r="47" customFormat="false" ht="15" hidden="false" customHeight="false" outlineLevel="0" collapsed="false">
      <c r="A47" s="38" t="s">
        <v>116</v>
      </c>
      <c r="B47" s="38" t="s">
        <v>118</v>
      </c>
      <c r="C47" s="38" t="n">
        <v>4</v>
      </c>
      <c r="D47" s="52" t="n">
        <f aca="false">IFERROR((COUNTIF(Matrice!$D$192:$D$195,"Natif")+COUNTIF(Matrice!$D$192:$D$195,"Officiel"))/(C47-COUNTIF(Matrice!$D$192:$D$195,"Info")),0)</f>
        <v>0.5</v>
      </c>
      <c r="E47" s="62" t="n">
        <f aca="false">IFERROR((COUNTIF(Matrice!$E$192:$E$195,"Natif")+COUNTIF(Matrice!$E$192:$E$195,"Officiel"))/(C47-COUNTIF(Matrice!$E$192:$E$195,"Info")),0)</f>
        <v>0.25</v>
      </c>
      <c r="F47" s="62" t="n">
        <f aca="false">IFERROR((COUNTIF(Matrice!$F$192:$F$195,"Natif")+COUNTIF(Matrice!$F$192:$F$195,"Officiel"))/(C47-COUNTIF(Matrice!$F$192:$F$195,"Info")),0)</f>
        <v>0.25</v>
      </c>
      <c r="G47" s="69" t="n">
        <f aca="false">IFERROR((COUNTIF(Matrice!$G$192:$G$195,"Natif")+COUNTIF(Matrice!$G$192:$G$195,"Officiel"))/(C47-COUNTIF(Matrice!$G$192:$G$195,"Info")),0)</f>
        <v>0</v>
      </c>
      <c r="H47" s="52" t="n">
        <f aca="false">IFERROR((COUNTIF(Matrice!$H$192:$H$195,"Natif")+COUNTIF(Matrice!$H$192:$H$195,"Officiel"))/(C47-COUNTIF(Matrice!$H$192:$H$195,"Info")),0)</f>
        <v>0.5</v>
      </c>
      <c r="I47" s="59" t="n">
        <f aca="false">IFERROR((COUNTIF(Matrice!$I$192:$I$195,"Natif")+COUNTIF(Matrice!$I$192:$I$195,"Officiel"))/(C47-COUNTIF(Matrice!$I$192:$I$195,"Info")),0)</f>
        <v>0.75</v>
      </c>
      <c r="J47" s="52" t="n">
        <f aca="false">IFERROR((COUNTIF(Matrice!$J$192:$J$195,"Natif")+COUNTIF(Matrice!$J$192:$J$195,"Officiel"))/(C47-COUNTIF(Matrice!$J$192:$J$195,"Info")),0)</f>
        <v>0.5</v>
      </c>
      <c r="K47" s="62" t="n">
        <f aca="false">IFERROR((COUNTIF(Matrice!$K$192:$K$195,"Natif")+COUNTIF(Matrice!$K$192:$K$195,"Officiel"))/(C47-COUNTIF(Matrice!$K$192:$K$195,"Info")),0)</f>
        <v>0.25</v>
      </c>
      <c r="L47" s="59" t="n">
        <f aca="false">IFERROR((COUNTIF(Matrice!$L$192:$L$195,"Natif")+COUNTIF(Matrice!$L$192:$L$195,"Officiel"))/(C47-COUNTIF(Matrice!$L$192:$L$195,"Info")),0)</f>
        <v>0.75</v>
      </c>
      <c r="M47" s="62" t="n">
        <f aca="false">IFERROR((COUNTIF(Matrice!$M$192:$M$195,"Natif")+COUNTIF(Matrice!$M$192:$M$195,"Officiel"))/(C47-COUNTIF(Matrice!$M$192:$M$195,"Info")),0)</f>
        <v>0.25</v>
      </c>
    </row>
    <row r="48" customFormat="false" ht="15" hidden="false" customHeight="false" outlineLevel="0" collapsed="false">
      <c r="A48" s="38" t="s">
        <v>116</v>
      </c>
      <c r="B48" s="38" t="s">
        <v>119</v>
      </c>
      <c r="C48" s="38" t="n">
        <v>9</v>
      </c>
      <c r="D48" s="76" t="n">
        <f aca="false">IFERROR((COUNTIF(Matrice!$D$196:$D$204,"Natif")+COUNTIF(Matrice!$D$196:$D$204,"Officiel"))/(C48-COUNTIF(Matrice!$D$196:$D$204,"Info")),0)</f>
        <v>0.555555555555556</v>
      </c>
      <c r="E48" s="75" t="n">
        <f aca="false">IFERROR((COUNTIF(Matrice!$E$196:$E$204,"Natif")+COUNTIF(Matrice!$E$196:$E$204,"Officiel"))/(C48-COUNTIF(Matrice!$E$196:$E$204,"Info")),0)</f>
        <v>0.444444444444444</v>
      </c>
      <c r="F48" s="65" t="n">
        <f aca="false">IFERROR((COUNTIF(Matrice!$F$196:$F$204,"Natif")+COUNTIF(Matrice!$F$196:$F$204,"Officiel"))/(C48-COUNTIF(Matrice!$F$196:$F$204,"Info")),0)</f>
        <v>0.666666666666667</v>
      </c>
      <c r="G48" s="76" t="n">
        <f aca="false">IFERROR((COUNTIF(Matrice!$G$196:$G$204,"Natif")+COUNTIF(Matrice!$G$196:$G$204,"Officiel"))/(C48-COUNTIF(Matrice!$G$196:$G$204,"Info")),0)</f>
        <v>0.555555555555556</v>
      </c>
      <c r="H48" s="64" t="n">
        <f aca="false">IFERROR((COUNTIF(Matrice!$H$196:$H$204,"Natif")+COUNTIF(Matrice!$H$196:$H$204,"Officiel"))/(C48-COUNTIF(Matrice!$H$196:$H$204,"Info")),0)</f>
        <v>1</v>
      </c>
      <c r="I48" s="42" t="n">
        <f aca="false">IFERROR((COUNTIF(Matrice!$I$196:$I$204,"Natif")+COUNTIF(Matrice!$I$196:$I$204,"Officiel"))/(C48-COUNTIF(Matrice!$I$196:$I$204,"Info")),0)</f>
        <v>0.777777777777778</v>
      </c>
      <c r="J48" s="65" t="n">
        <f aca="false">IFERROR((COUNTIF(Matrice!$J$196:$J$204,"Natif")+COUNTIF(Matrice!$J$196:$J$204,"Officiel"))/(C48-COUNTIF(Matrice!$J$196:$J$204,"Info")),0)</f>
        <v>0.666666666666667</v>
      </c>
      <c r="K48" s="42" t="n">
        <f aca="false">IFERROR((COUNTIF(Matrice!$K$196:$K$204,"Natif")+COUNTIF(Matrice!$K$196:$K$204,"Officiel"))/(C48-COUNTIF(Matrice!$K$196:$K$204,"Info")),0)</f>
        <v>0.777777777777778</v>
      </c>
      <c r="L48" s="75" t="n">
        <f aca="false">IFERROR((COUNTIF(Matrice!$L$196:$L$204,"Natif")+COUNTIF(Matrice!$L$196:$L$204,"Officiel"))/(C48-COUNTIF(Matrice!$L$196:$L$204,"Info")),0)</f>
        <v>0.444444444444444</v>
      </c>
      <c r="M48" s="65" t="n">
        <f aca="false">IFERROR((COUNTIF(Matrice!$M$196:$M$204,"Natif")+COUNTIF(Matrice!$M$196:$M$204,"Officiel"))/(C48-COUNTIF(Matrice!$M$196:$M$204,"Info")),0)</f>
        <v>0.666666666666667</v>
      </c>
    </row>
    <row r="49" customFormat="false" ht="15" hidden="false" customHeight="false" outlineLevel="0" collapsed="false">
      <c r="A49" s="38" t="s">
        <v>116</v>
      </c>
      <c r="B49" s="38" t="s">
        <v>120</v>
      </c>
      <c r="C49" s="38" t="n">
        <v>8</v>
      </c>
      <c r="D49" s="69" t="n">
        <f aca="false">IFERROR((COUNTIF(Matrice!$D$205:$D$212,"Natif")+COUNTIF(Matrice!$D$205:$D$212,"Officiel"))/(C49-COUNTIF(Matrice!$D$205:$D$212,"Info")),0)</f>
        <v>0</v>
      </c>
      <c r="E49" s="69" t="n">
        <f aca="false">IFERROR((COUNTIF(Matrice!$E$205:$E$212,"Natif")+COUNTIF(Matrice!$E$205:$E$212,"Officiel"))/(C49-COUNTIF(Matrice!$E$205:$E$212,"Info")),0)</f>
        <v>0</v>
      </c>
      <c r="F49" s="69" t="n">
        <f aca="false">IFERROR((COUNTIF(Matrice!$F$205:$F$212,"Natif")+COUNTIF(Matrice!$F$205:$F$212,"Officiel"))/(C49-COUNTIF(Matrice!$F$205:$F$212,"Info")),0)</f>
        <v>0</v>
      </c>
      <c r="G49" s="69" t="n">
        <f aca="false">IFERROR((COUNTIF(Matrice!$G$205:$G$212,"Natif")+COUNTIF(Matrice!$G$205:$G$212,"Officiel"))/(C49-COUNTIF(Matrice!$G$205:$G$212,"Info")),0)</f>
        <v>0</v>
      </c>
      <c r="H49" s="69" t="n">
        <f aca="false">IFERROR((COUNTIF(Matrice!$H$205:$H$212,"Natif")+COUNTIF(Matrice!$H$205:$H$212,"Officiel"))/(C49-COUNTIF(Matrice!$H$205:$H$212,"Info")),0)</f>
        <v>0</v>
      </c>
      <c r="I49" s="69" t="n">
        <f aca="false">IFERROR((COUNTIF(Matrice!$I$205:$I$212,"Natif")+COUNTIF(Matrice!$I$205:$I$212,"Officiel"))/(C49-COUNTIF(Matrice!$I$205:$I$212,"Info")),0)</f>
        <v>0</v>
      </c>
      <c r="J49" s="69" t="n">
        <f aca="false">IFERROR((COUNTIF(Matrice!$J$205:$J$212,"Natif")+COUNTIF(Matrice!$J$205:$J$212,"Officiel"))/(C49-COUNTIF(Matrice!$J$205:$J$212,"Info")),0)</f>
        <v>0</v>
      </c>
      <c r="K49" s="69" t="n">
        <f aca="false">IFERROR((COUNTIF(Matrice!$K$205:$K$212,"Natif")+COUNTIF(Matrice!$K$205:$K$212,"Officiel"))/(C49-COUNTIF(Matrice!$K$205:$K$212,"Info")),0)</f>
        <v>0</v>
      </c>
      <c r="L49" s="69" t="n">
        <f aca="false">IFERROR((COUNTIF(Matrice!$L$205:$L$212,"Natif")+COUNTIF(Matrice!$L$205:$L$212,"Officiel"))/(C49-COUNTIF(Matrice!$L$205:$L$212,"Info")),0)</f>
        <v>0</v>
      </c>
      <c r="M49" s="69" t="n">
        <f aca="false">IFERROR((COUNTIF(Matrice!$M$205:$M$212,"Natif")+COUNTIF(Matrice!$M$205:$M$212,"Officiel"))/(C49-COUNTIF(Matrice!$M$205:$M$212,"Info")),0)</f>
        <v>0</v>
      </c>
    </row>
  </sheetData>
  <conditionalFormatting sqref="D19:M49">
    <cfRule type="colorScale" priority="2">
      <colorScale>
        <cfvo type="num" val="0"/>
        <cfvo type="num" val="0.5"/>
        <cfvo type="num" val="1"/>
        <color rgb="FFF8CBAD"/>
        <color rgb="FFFFEB84"/>
        <color rgb="FFA9D08E"/>
      </colorScale>
    </cfRule>
  </conditionalFormatting>
  <conditionalFormatting sqref="J5:K14">
    <cfRule type="colorScale" priority="3">
      <colorScale>
        <cfvo type="num" val="0"/>
        <cfvo type="num" val="0.5"/>
        <cfvo type="num" val="1"/>
        <color rgb="FFF8CBAD"/>
        <color rgb="FFFFEB84"/>
        <color rgb="FFA9D0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1" topLeftCell="D12" activePane="bottomRight" state="frozen"/>
      <selection pane="topLeft" activeCell="A1" activeCellId="0" sqref="A1"/>
      <selection pane="topRight" activeCell="D1" activeCellId="0" sqref="D1"/>
      <selection pane="bottomLeft" activeCell="A12" activeCellId="0" sqref="A1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52"/>
    <col collapsed="false" customWidth="true" hidden="false" outlineLevel="0" max="4" min="4" style="0" width="16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5" t="s">
        <v>121</v>
      </c>
    </row>
    <row r="2" customFormat="false" ht="42" hidden="false" customHeight="true" outlineLevel="0" collapsed="false">
      <c r="A2" s="81" t="s">
        <v>122</v>
      </c>
      <c r="B2" s="81"/>
      <c r="C2" s="81"/>
      <c r="D2" s="81"/>
      <c r="E2" s="81"/>
      <c r="F2" s="81"/>
      <c r="G2" s="81"/>
      <c r="H2" s="81"/>
    </row>
    <row r="4" customFormat="false" ht="15" hidden="false" customHeight="false" outlineLevel="0" collapsed="false">
      <c r="A4" s="82" t="s">
        <v>123</v>
      </c>
      <c r="B4" s="82" t="s">
        <v>84</v>
      </c>
      <c r="C4" s="82" t="s">
        <v>124</v>
      </c>
    </row>
    <row r="5" customFormat="false" ht="15" hidden="false" customHeight="false" outlineLevel="0" collapsed="false">
      <c r="A5" s="83" t="s">
        <v>125</v>
      </c>
      <c r="B5" s="18" t="n">
        <f aca="false">COUNTIF($F$12:$F$2000,A5)</f>
        <v>109</v>
      </c>
      <c r="C5" s="18" t="n">
        <f aca="false">COUNTIFS($F$12:$F$2000,A5,$G$12:$G$2000,"Oui")</f>
        <v>17</v>
      </c>
    </row>
    <row r="6" customFormat="false" ht="15" hidden="false" customHeight="false" outlineLevel="0" collapsed="false">
      <c r="A6" s="84" t="s">
        <v>126</v>
      </c>
      <c r="B6" s="18" t="n">
        <f aca="false">COUNTIF($F$12:$F$2000,A6)</f>
        <v>123</v>
      </c>
      <c r="C6" s="18" t="n">
        <f aca="false">COUNTIFS($F$12:$F$2000,A6,$G$12:$G$2000,"Oui")</f>
        <v>37</v>
      </c>
    </row>
    <row r="7" customFormat="false" ht="15" hidden="false" customHeight="false" outlineLevel="0" collapsed="false">
      <c r="A7" s="85" t="s">
        <v>127</v>
      </c>
      <c r="B7" s="18" t="n">
        <f aca="false">COUNTIF($F$12:$F$2000,A7)</f>
        <v>75</v>
      </c>
      <c r="C7" s="18" t="n">
        <f aca="false">COUNTIFS($F$12:$F$2000,A7,$G$12:$G$2000,"Oui")</f>
        <v>25</v>
      </c>
    </row>
    <row r="8" customFormat="false" ht="15" hidden="false" customHeight="false" outlineLevel="0" collapsed="false">
      <c r="A8" s="86" t="s">
        <v>128</v>
      </c>
      <c r="B8" s="18" t="n">
        <f aca="false">COUNTIF($F$12:$F$2000,A8)</f>
        <v>26</v>
      </c>
      <c r="C8" s="18" t="n">
        <f aca="false">COUNTIFS($F$12:$F$2000,A8,$G$12:$G$2000,"Oui")</f>
        <v>0</v>
      </c>
    </row>
    <row r="9" customFormat="false" ht="15" hidden="false" customHeight="false" outlineLevel="0" collapsed="false">
      <c r="A9" s="17" t="s">
        <v>77</v>
      </c>
      <c r="B9" s="87" t="n">
        <f aca="false">SUM(B5:B8)</f>
        <v>333</v>
      </c>
      <c r="C9" s="87" t="n">
        <f aca="false">SUM(C5:C8)</f>
        <v>79</v>
      </c>
    </row>
    <row r="11" customFormat="false" ht="30" hidden="false" customHeight="true" outlineLevel="0" collapsed="false">
      <c r="A11" s="16" t="s">
        <v>82</v>
      </c>
      <c r="B11" s="16" t="s">
        <v>83</v>
      </c>
      <c r="C11" s="16" t="s">
        <v>129</v>
      </c>
      <c r="D11" s="16" t="s">
        <v>130</v>
      </c>
      <c r="E11" s="16" t="s">
        <v>131</v>
      </c>
      <c r="F11" s="16" t="s">
        <v>123</v>
      </c>
      <c r="G11" s="16" t="s">
        <v>132</v>
      </c>
      <c r="H11" s="16" t="s">
        <v>133</v>
      </c>
      <c r="I11" s="16" t="s">
        <v>134</v>
      </c>
    </row>
    <row r="12" customFormat="false" ht="15" hidden="false" customHeight="false" outlineLevel="0" collapsed="false">
      <c r="A12" s="13" t="s">
        <v>85</v>
      </c>
      <c r="B12" s="13" t="s">
        <v>86</v>
      </c>
      <c r="C12" s="13" t="s">
        <v>135</v>
      </c>
      <c r="D12" s="13" t="s">
        <v>136</v>
      </c>
      <c r="E12" s="88" t="n">
        <f aca="false">Matrice!O2</f>
        <v>4</v>
      </c>
      <c r="F12" s="89" t="s">
        <v>127</v>
      </c>
      <c r="G12" s="90"/>
      <c r="H12" s="13" t="s">
        <v>137</v>
      </c>
      <c r="I12" s="13"/>
    </row>
    <row r="13" customFormat="false" ht="15" hidden="false" customHeight="false" outlineLevel="0" collapsed="false">
      <c r="A13" s="13" t="s">
        <v>85</v>
      </c>
      <c r="B13" s="13" t="s">
        <v>86</v>
      </c>
      <c r="C13" s="13" t="s">
        <v>138</v>
      </c>
      <c r="D13" s="13" t="s">
        <v>136</v>
      </c>
      <c r="E13" s="91" t="n">
        <f aca="false">Matrice!O3</f>
        <v>8</v>
      </c>
      <c r="F13" s="92" t="s">
        <v>125</v>
      </c>
      <c r="G13" s="90"/>
      <c r="H13" s="13" t="s">
        <v>139</v>
      </c>
      <c r="I13" s="13"/>
    </row>
    <row r="14" customFormat="false" ht="15" hidden="false" customHeight="false" outlineLevel="0" collapsed="false">
      <c r="A14" s="13" t="s">
        <v>85</v>
      </c>
      <c r="B14" s="13" t="s">
        <v>86</v>
      </c>
      <c r="C14" s="13" t="s">
        <v>140</v>
      </c>
      <c r="D14" s="13" t="s">
        <v>136</v>
      </c>
      <c r="E14" s="91" t="n">
        <f aca="false">Matrice!O4</f>
        <v>8</v>
      </c>
      <c r="F14" s="92" t="s">
        <v>125</v>
      </c>
      <c r="G14" s="90"/>
      <c r="H14" s="13" t="s">
        <v>141</v>
      </c>
      <c r="I14" s="13"/>
    </row>
    <row r="15" customFormat="false" ht="15" hidden="false" customHeight="false" outlineLevel="0" collapsed="false">
      <c r="A15" s="13" t="s">
        <v>85</v>
      </c>
      <c r="B15" s="13" t="s">
        <v>86</v>
      </c>
      <c r="C15" s="13" t="s">
        <v>142</v>
      </c>
      <c r="D15" s="13" t="s">
        <v>136</v>
      </c>
      <c r="E15" s="93" t="n">
        <f aca="false">Matrice!O5</f>
        <v>7</v>
      </c>
      <c r="F15" s="92" t="s">
        <v>125</v>
      </c>
      <c r="G15" s="90"/>
      <c r="H15" s="13" t="s">
        <v>143</v>
      </c>
      <c r="I15" s="13"/>
    </row>
    <row r="16" customFormat="false" ht="23.85" hidden="false" customHeight="false" outlineLevel="0" collapsed="false">
      <c r="A16" s="13" t="s">
        <v>85</v>
      </c>
      <c r="B16" s="13" t="s">
        <v>86</v>
      </c>
      <c r="C16" s="13" t="s">
        <v>144</v>
      </c>
      <c r="D16" s="13" t="s">
        <v>136</v>
      </c>
      <c r="E16" s="93" t="n">
        <f aca="false">Matrice!O6</f>
        <v>7</v>
      </c>
      <c r="F16" s="92" t="s">
        <v>125</v>
      </c>
      <c r="G16" s="90"/>
      <c r="H16" s="13" t="s">
        <v>145</v>
      </c>
      <c r="I16" s="13"/>
    </row>
    <row r="17" customFormat="false" ht="15" hidden="false" customHeight="false" outlineLevel="0" collapsed="false">
      <c r="A17" s="13" t="s">
        <v>85</v>
      </c>
      <c r="B17" s="13" t="s">
        <v>86</v>
      </c>
      <c r="C17" s="13" t="s">
        <v>146</v>
      </c>
      <c r="D17" s="13" t="s">
        <v>136</v>
      </c>
      <c r="E17" s="94" t="n">
        <f aca="false">Matrice!O7</f>
        <v>3</v>
      </c>
      <c r="F17" s="95" t="s">
        <v>126</v>
      </c>
      <c r="G17" s="96" t="s">
        <v>147</v>
      </c>
      <c r="H17" s="13" t="s">
        <v>148</v>
      </c>
      <c r="I17" s="13"/>
    </row>
    <row r="18" customFormat="false" ht="15" hidden="false" customHeight="false" outlineLevel="0" collapsed="false">
      <c r="A18" s="13" t="s">
        <v>85</v>
      </c>
      <c r="B18" s="13" t="s">
        <v>86</v>
      </c>
      <c r="C18" s="13" t="s">
        <v>149</v>
      </c>
      <c r="D18" s="13" t="s">
        <v>136</v>
      </c>
      <c r="E18" s="97" t="n">
        <f aca="false">Matrice!O8</f>
        <v>6</v>
      </c>
      <c r="F18" s="92" t="s">
        <v>125</v>
      </c>
      <c r="G18" s="90"/>
      <c r="H18" s="13" t="s">
        <v>150</v>
      </c>
      <c r="I18" s="13"/>
    </row>
    <row r="19" customFormat="false" ht="15" hidden="false" customHeight="false" outlineLevel="0" collapsed="false">
      <c r="A19" s="13" t="s">
        <v>85</v>
      </c>
      <c r="B19" s="13" t="s">
        <v>86</v>
      </c>
      <c r="C19" s="13" t="s">
        <v>151</v>
      </c>
      <c r="D19" s="13" t="s">
        <v>136</v>
      </c>
      <c r="E19" s="98" t="n">
        <f aca="false">Matrice!O9</f>
        <v>9</v>
      </c>
      <c r="F19" s="92" t="s">
        <v>125</v>
      </c>
      <c r="G19" s="90"/>
      <c r="H19" s="13" t="s">
        <v>152</v>
      </c>
      <c r="I19" s="13"/>
    </row>
    <row r="20" customFormat="false" ht="15" hidden="false" customHeight="false" outlineLevel="0" collapsed="false">
      <c r="A20" s="13" t="s">
        <v>85</v>
      </c>
      <c r="B20" s="13" t="s">
        <v>86</v>
      </c>
      <c r="C20" s="13" t="s">
        <v>153</v>
      </c>
      <c r="D20" s="13" t="s">
        <v>136</v>
      </c>
      <c r="E20" s="93" t="n">
        <f aca="false">Matrice!O10</f>
        <v>7</v>
      </c>
      <c r="F20" s="92" t="s">
        <v>125</v>
      </c>
      <c r="G20" s="90"/>
      <c r="H20" s="13" t="s">
        <v>154</v>
      </c>
      <c r="I20" s="13"/>
    </row>
    <row r="21" customFormat="false" ht="15" hidden="false" customHeight="false" outlineLevel="0" collapsed="false">
      <c r="A21" s="13" t="s">
        <v>85</v>
      </c>
      <c r="B21" s="13" t="s">
        <v>86</v>
      </c>
      <c r="C21" s="13" t="s">
        <v>155</v>
      </c>
      <c r="D21" s="13" t="s">
        <v>136</v>
      </c>
      <c r="E21" s="91" t="n">
        <f aca="false">Matrice!O11</f>
        <v>8</v>
      </c>
      <c r="F21" s="92" t="s">
        <v>125</v>
      </c>
      <c r="G21" s="90"/>
      <c r="H21" s="13" t="s">
        <v>156</v>
      </c>
      <c r="I21" s="13"/>
    </row>
    <row r="22" customFormat="false" ht="15" hidden="false" customHeight="false" outlineLevel="0" collapsed="false">
      <c r="A22" s="13" t="s">
        <v>85</v>
      </c>
      <c r="B22" s="13" t="s">
        <v>86</v>
      </c>
      <c r="C22" s="13" t="s">
        <v>157</v>
      </c>
      <c r="D22" s="13" t="s">
        <v>136</v>
      </c>
      <c r="E22" s="99" t="n">
        <f aca="false">Matrice!O12</f>
        <v>10</v>
      </c>
      <c r="F22" s="92" t="s">
        <v>125</v>
      </c>
      <c r="G22" s="90"/>
      <c r="H22" s="13" t="s">
        <v>158</v>
      </c>
      <c r="I22" s="13"/>
    </row>
    <row r="23" customFormat="false" ht="15" hidden="false" customHeight="false" outlineLevel="0" collapsed="false">
      <c r="A23" s="13" t="s">
        <v>85</v>
      </c>
      <c r="B23" s="13" t="s">
        <v>86</v>
      </c>
      <c r="C23" s="13" t="s">
        <v>159</v>
      </c>
      <c r="D23" s="13" t="s">
        <v>136</v>
      </c>
      <c r="E23" s="97" t="n">
        <f aca="false">Matrice!O13</f>
        <v>6</v>
      </c>
      <c r="F23" s="92" t="s">
        <v>125</v>
      </c>
      <c r="G23" s="90"/>
      <c r="H23" s="13" t="s">
        <v>160</v>
      </c>
      <c r="I23" s="13"/>
    </row>
    <row r="24" customFormat="false" ht="15" hidden="false" customHeight="false" outlineLevel="0" collapsed="false">
      <c r="A24" s="13" t="s">
        <v>85</v>
      </c>
      <c r="B24" s="13" t="s">
        <v>86</v>
      </c>
      <c r="C24" s="13" t="s">
        <v>161</v>
      </c>
      <c r="D24" s="13" t="s">
        <v>136</v>
      </c>
      <c r="E24" s="94" t="n">
        <f aca="false">Matrice!O14</f>
        <v>3</v>
      </c>
      <c r="F24" s="95" t="s">
        <v>126</v>
      </c>
      <c r="G24" s="90"/>
      <c r="H24" s="13" t="s">
        <v>162</v>
      </c>
      <c r="I24" s="13"/>
    </row>
    <row r="25" customFormat="false" ht="23.85" hidden="false" customHeight="false" outlineLevel="0" collapsed="false">
      <c r="A25" s="13" t="s">
        <v>85</v>
      </c>
      <c r="B25" s="13" t="s">
        <v>86</v>
      </c>
      <c r="C25" s="13" t="s">
        <v>163</v>
      </c>
      <c r="D25" s="13" t="s">
        <v>164</v>
      </c>
      <c r="E25" s="90"/>
      <c r="F25" s="89" t="s">
        <v>127</v>
      </c>
      <c r="G25" s="96" t="s">
        <v>147</v>
      </c>
      <c r="H25" s="13" t="s">
        <v>165</v>
      </c>
      <c r="I25" s="13" t="s">
        <v>166</v>
      </c>
    </row>
    <row r="26" customFormat="false" ht="23.85" hidden="false" customHeight="false" outlineLevel="0" collapsed="false">
      <c r="A26" s="13" t="s">
        <v>85</v>
      </c>
      <c r="B26" s="13" t="s">
        <v>86</v>
      </c>
      <c r="C26" s="13" t="s">
        <v>167</v>
      </c>
      <c r="D26" s="13" t="s">
        <v>164</v>
      </c>
      <c r="E26" s="90"/>
      <c r="F26" s="95" t="s">
        <v>126</v>
      </c>
      <c r="G26" s="90"/>
      <c r="H26" s="13" t="s">
        <v>168</v>
      </c>
      <c r="I26" s="13" t="s">
        <v>169</v>
      </c>
    </row>
    <row r="27" customFormat="false" ht="15" hidden="false" customHeight="false" outlineLevel="0" collapsed="false">
      <c r="A27" s="13" t="s">
        <v>85</v>
      </c>
      <c r="B27" s="13" t="s">
        <v>86</v>
      </c>
      <c r="C27" s="13" t="s">
        <v>170</v>
      </c>
      <c r="D27" s="13" t="s">
        <v>164</v>
      </c>
      <c r="E27" s="90"/>
      <c r="F27" s="95" t="s">
        <v>126</v>
      </c>
      <c r="G27" s="90"/>
      <c r="H27" s="13" t="s">
        <v>171</v>
      </c>
      <c r="I27" s="13" t="s">
        <v>172</v>
      </c>
    </row>
    <row r="28" customFormat="false" ht="15" hidden="false" customHeight="false" outlineLevel="0" collapsed="false">
      <c r="A28" s="13" t="s">
        <v>85</v>
      </c>
      <c r="B28" s="13" t="s">
        <v>86</v>
      </c>
      <c r="C28" s="13" t="s">
        <v>173</v>
      </c>
      <c r="D28" s="13" t="s">
        <v>164</v>
      </c>
      <c r="E28" s="90"/>
      <c r="F28" s="89" t="s">
        <v>127</v>
      </c>
      <c r="G28" s="90"/>
      <c r="H28" s="13" t="s">
        <v>174</v>
      </c>
      <c r="I28" s="13" t="s">
        <v>51</v>
      </c>
    </row>
    <row r="29" customFormat="false" ht="15" hidden="false" customHeight="false" outlineLevel="0" collapsed="false">
      <c r="A29" s="13" t="s">
        <v>85</v>
      </c>
      <c r="B29" s="13" t="s">
        <v>86</v>
      </c>
      <c r="C29" s="13" t="s">
        <v>175</v>
      </c>
      <c r="D29" s="13" t="s">
        <v>164</v>
      </c>
      <c r="E29" s="90"/>
      <c r="F29" s="89" t="s">
        <v>127</v>
      </c>
      <c r="G29" s="90"/>
      <c r="H29" s="13" t="s">
        <v>176</v>
      </c>
      <c r="I29" s="13" t="s">
        <v>47</v>
      </c>
    </row>
    <row r="30" customFormat="false" ht="15" hidden="false" customHeight="false" outlineLevel="0" collapsed="false">
      <c r="A30" s="13" t="s">
        <v>85</v>
      </c>
      <c r="B30" s="13" t="s">
        <v>86</v>
      </c>
      <c r="C30" s="13" t="s">
        <v>177</v>
      </c>
      <c r="D30" s="13" t="s">
        <v>164</v>
      </c>
      <c r="E30" s="90"/>
      <c r="F30" s="92" t="s">
        <v>125</v>
      </c>
      <c r="G30" s="90"/>
      <c r="H30" s="13" t="s">
        <v>178</v>
      </c>
      <c r="I30" s="13" t="s">
        <v>179</v>
      </c>
    </row>
    <row r="31" customFormat="false" ht="15" hidden="false" customHeight="false" outlineLevel="0" collapsed="false">
      <c r="A31" s="13" t="s">
        <v>85</v>
      </c>
      <c r="B31" s="13" t="s">
        <v>86</v>
      </c>
      <c r="C31" s="13" t="s">
        <v>180</v>
      </c>
      <c r="D31" s="13" t="s">
        <v>164</v>
      </c>
      <c r="E31" s="90"/>
      <c r="F31" s="95" t="s">
        <v>126</v>
      </c>
      <c r="G31" s="90"/>
      <c r="H31" s="13" t="s">
        <v>181</v>
      </c>
      <c r="I31" s="13" t="s">
        <v>39</v>
      </c>
    </row>
    <row r="32" customFormat="false" ht="23.85" hidden="false" customHeight="false" outlineLevel="0" collapsed="false">
      <c r="A32" s="13" t="s">
        <v>85</v>
      </c>
      <c r="B32" s="13" t="s">
        <v>86</v>
      </c>
      <c r="C32" s="13" t="s">
        <v>182</v>
      </c>
      <c r="D32" s="13" t="s">
        <v>164</v>
      </c>
      <c r="E32" s="90"/>
      <c r="F32" s="95" t="s">
        <v>126</v>
      </c>
      <c r="G32" s="90"/>
      <c r="H32" s="13" t="s">
        <v>183</v>
      </c>
      <c r="I32" s="13" t="s">
        <v>184</v>
      </c>
    </row>
    <row r="33" customFormat="false" ht="15" hidden="false" customHeight="false" outlineLevel="0" collapsed="false">
      <c r="A33" s="13" t="s">
        <v>85</v>
      </c>
      <c r="B33" s="13" t="s">
        <v>86</v>
      </c>
      <c r="C33" s="13" t="s">
        <v>185</v>
      </c>
      <c r="D33" s="13" t="s">
        <v>164</v>
      </c>
      <c r="E33" s="90"/>
      <c r="F33" s="89" t="s">
        <v>127</v>
      </c>
      <c r="G33" s="90"/>
      <c r="H33" s="13" t="s">
        <v>186</v>
      </c>
      <c r="I33" s="13" t="s">
        <v>187</v>
      </c>
    </row>
    <row r="34" customFormat="false" ht="15" hidden="false" customHeight="false" outlineLevel="0" collapsed="false">
      <c r="A34" s="13" t="s">
        <v>85</v>
      </c>
      <c r="B34" s="13" t="s">
        <v>86</v>
      </c>
      <c r="C34" s="13" t="s">
        <v>188</v>
      </c>
      <c r="D34" s="13" t="s">
        <v>164</v>
      </c>
      <c r="E34" s="90"/>
      <c r="F34" s="92" t="s">
        <v>125</v>
      </c>
      <c r="G34" s="90"/>
      <c r="H34" s="13" t="s">
        <v>189</v>
      </c>
      <c r="I34" s="13" t="s">
        <v>190</v>
      </c>
    </row>
    <row r="35" customFormat="false" ht="15" hidden="false" customHeight="false" outlineLevel="0" collapsed="false">
      <c r="A35" s="13" t="s">
        <v>85</v>
      </c>
      <c r="B35" s="13" t="s">
        <v>86</v>
      </c>
      <c r="C35" s="13" t="s">
        <v>191</v>
      </c>
      <c r="D35" s="13" t="s">
        <v>164</v>
      </c>
      <c r="E35" s="90"/>
      <c r="F35" s="92" t="s">
        <v>125</v>
      </c>
      <c r="G35" s="90"/>
      <c r="H35" s="13" t="s">
        <v>192</v>
      </c>
      <c r="I35" s="13" t="s">
        <v>190</v>
      </c>
    </row>
    <row r="36" customFormat="false" ht="15" hidden="false" customHeight="false" outlineLevel="0" collapsed="false">
      <c r="A36" s="13" t="s">
        <v>85</v>
      </c>
      <c r="B36" s="13" t="s">
        <v>86</v>
      </c>
      <c r="C36" s="13" t="s">
        <v>193</v>
      </c>
      <c r="D36" s="13" t="s">
        <v>164</v>
      </c>
      <c r="E36" s="90"/>
      <c r="F36" s="95" t="s">
        <v>126</v>
      </c>
      <c r="G36" s="90"/>
      <c r="H36" s="13" t="s">
        <v>194</v>
      </c>
      <c r="I36" s="13" t="s">
        <v>195</v>
      </c>
    </row>
    <row r="37" customFormat="false" ht="15" hidden="false" customHeight="false" outlineLevel="0" collapsed="false">
      <c r="A37" s="13" t="s">
        <v>85</v>
      </c>
      <c r="B37" s="13" t="s">
        <v>86</v>
      </c>
      <c r="C37" s="13" t="s">
        <v>196</v>
      </c>
      <c r="D37" s="13" t="s">
        <v>164</v>
      </c>
      <c r="E37" s="90"/>
      <c r="F37" s="92" t="s">
        <v>125</v>
      </c>
      <c r="G37" s="90"/>
      <c r="H37" s="13" t="s">
        <v>197</v>
      </c>
      <c r="I37" s="13" t="s">
        <v>198</v>
      </c>
    </row>
    <row r="38" customFormat="false" ht="15" hidden="false" customHeight="false" outlineLevel="0" collapsed="false">
      <c r="A38" s="13" t="s">
        <v>85</v>
      </c>
      <c r="B38" s="13" t="s">
        <v>86</v>
      </c>
      <c r="C38" s="13" t="s">
        <v>199</v>
      </c>
      <c r="D38" s="13" t="s">
        <v>164</v>
      </c>
      <c r="E38" s="90"/>
      <c r="F38" s="92" t="s">
        <v>125</v>
      </c>
      <c r="G38" s="90"/>
      <c r="H38" s="13" t="s">
        <v>200</v>
      </c>
      <c r="I38" s="13" t="s">
        <v>201</v>
      </c>
    </row>
    <row r="39" customFormat="false" ht="23.85" hidden="false" customHeight="false" outlineLevel="0" collapsed="false">
      <c r="A39" s="13" t="s">
        <v>85</v>
      </c>
      <c r="B39" s="13" t="s">
        <v>86</v>
      </c>
      <c r="C39" s="13" t="s">
        <v>202</v>
      </c>
      <c r="D39" s="13" t="s">
        <v>164</v>
      </c>
      <c r="E39" s="90"/>
      <c r="F39" s="89" t="s">
        <v>127</v>
      </c>
      <c r="G39" s="90"/>
      <c r="H39" s="13" t="s">
        <v>203</v>
      </c>
      <c r="I39" s="13" t="s">
        <v>195</v>
      </c>
    </row>
    <row r="40" customFormat="false" ht="15" hidden="false" customHeight="false" outlineLevel="0" collapsed="false">
      <c r="A40" s="13" t="s">
        <v>85</v>
      </c>
      <c r="B40" s="13" t="s">
        <v>87</v>
      </c>
      <c r="C40" s="13" t="s">
        <v>204</v>
      </c>
      <c r="D40" s="13" t="s">
        <v>136</v>
      </c>
      <c r="E40" s="99" t="n">
        <f aca="false">Matrice!O15</f>
        <v>10</v>
      </c>
      <c r="F40" s="92" t="s">
        <v>125</v>
      </c>
      <c r="G40" s="90"/>
      <c r="H40" s="13" t="s">
        <v>205</v>
      </c>
      <c r="I40" s="13"/>
    </row>
    <row r="41" customFormat="false" ht="15" hidden="false" customHeight="false" outlineLevel="0" collapsed="false">
      <c r="A41" s="13" t="s">
        <v>85</v>
      </c>
      <c r="B41" s="13" t="s">
        <v>87</v>
      </c>
      <c r="C41" s="13" t="s">
        <v>206</v>
      </c>
      <c r="D41" s="13" t="s">
        <v>136</v>
      </c>
      <c r="E41" s="91" t="n">
        <f aca="false">Matrice!O16</f>
        <v>8</v>
      </c>
      <c r="F41" s="92" t="s">
        <v>125</v>
      </c>
      <c r="G41" s="90"/>
      <c r="H41" s="13" t="s">
        <v>207</v>
      </c>
      <c r="I41" s="13"/>
    </row>
    <row r="42" customFormat="false" ht="15" hidden="false" customHeight="false" outlineLevel="0" collapsed="false">
      <c r="A42" s="13" t="s">
        <v>85</v>
      </c>
      <c r="B42" s="13" t="s">
        <v>87</v>
      </c>
      <c r="C42" s="13" t="s">
        <v>208</v>
      </c>
      <c r="D42" s="13" t="s">
        <v>136</v>
      </c>
      <c r="E42" s="98" t="n">
        <f aca="false">Matrice!O17</f>
        <v>9</v>
      </c>
      <c r="F42" s="92" t="s">
        <v>125</v>
      </c>
      <c r="G42" s="90"/>
      <c r="H42" s="13" t="s">
        <v>209</v>
      </c>
      <c r="I42" s="13"/>
    </row>
    <row r="43" customFormat="false" ht="15" hidden="false" customHeight="false" outlineLevel="0" collapsed="false">
      <c r="A43" s="13" t="s">
        <v>85</v>
      </c>
      <c r="B43" s="13" t="s">
        <v>87</v>
      </c>
      <c r="C43" s="13" t="s">
        <v>210</v>
      </c>
      <c r="D43" s="13" t="s">
        <v>136</v>
      </c>
      <c r="E43" s="93" t="n">
        <f aca="false">Matrice!O18</f>
        <v>7</v>
      </c>
      <c r="F43" s="95" t="s">
        <v>126</v>
      </c>
      <c r="G43" s="90"/>
      <c r="H43" s="13" t="s">
        <v>211</v>
      </c>
      <c r="I43" s="13"/>
    </row>
    <row r="44" customFormat="false" ht="15" hidden="false" customHeight="false" outlineLevel="0" collapsed="false">
      <c r="A44" s="13" t="s">
        <v>85</v>
      </c>
      <c r="B44" s="13" t="s">
        <v>87</v>
      </c>
      <c r="C44" s="13" t="s">
        <v>212</v>
      </c>
      <c r="D44" s="13" t="s">
        <v>136</v>
      </c>
      <c r="E44" s="94" t="n">
        <f aca="false">Matrice!O19</f>
        <v>3</v>
      </c>
      <c r="F44" s="95" t="s">
        <v>126</v>
      </c>
      <c r="G44" s="96" t="s">
        <v>147</v>
      </c>
      <c r="H44" s="13" t="s">
        <v>213</v>
      </c>
      <c r="I44" s="13"/>
    </row>
    <row r="45" customFormat="false" ht="15" hidden="false" customHeight="false" outlineLevel="0" collapsed="false">
      <c r="A45" s="13" t="s">
        <v>85</v>
      </c>
      <c r="B45" s="13" t="s">
        <v>87</v>
      </c>
      <c r="C45" s="13" t="s">
        <v>214</v>
      </c>
      <c r="D45" s="13" t="s">
        <v>136</v>
      </c>
      <c r="E45" s="97" t="n">
        <f aca="false">Matrice!O20</f>
        <v>6</v>
      </c>
      <c r="F45" s="95" t="s">
        <v>126</v>
      </c>
      <c r="G45" s="90"/>
      <c r="H45" s="13" t="s">
        <v>215</v>
      </c>
      <c r="I45" s="13"/>
    </row>
    <row r="46" customFormat="false" ht="15" hidden="false" customHeight="false" outlineLevel="0" collapsed="false">
      <c r="A46" s="13" t="s">
        <v>85</v>
      </c>
      <c r="B46" s="13" t="s">
        <v>87</v>
      </c>
      <c r="C46" s="13" t="s">
        <v>216</v>
      </c>
      <c r="D46" s="13" t="s">
        <v>136</v>
      </c>
      <c r="E46" s="94" t="n">
        <f aca="false">Matrice!O21</f>
        <v>3</v>
      </c>
      <c r="F46" s="89" t="s">
        <v>127</v>
      </c>
      <c r="G46" s="96" t="s">
        <v>147</v>
      </c>
      <c r="H46" s="13" t="s">
        <v>217</v>
      </c>
      <c r="I46" s="13"/>
    </row>
    <row r="47" customFormat="false" ht="15" hidden="false" customHeight="false" outlineLevel="0" collapsed="false">
      <c r="A47" s="13" t="s">
        <v>85</v>
      </c>
      <c r="B47" s="13" t="s">
        <v>87</v>
      </c>
      <c r="C47" s="13" t="s">
        <v>218</v>
      </c>
      <c r="D47" s="13" t="s">
        <v>136</v>
      </c>
      <c r="E47" s="98" t="n">
        <f aca="false">Matrice!O22</f>
        <v>9</v>
      </c>
      <c r="F47" s="92" t="s">
        <v>125</v>
      </c>
      <c r="G47" s="90"/>
      <c r="H47" s="13" t="s">
        <v>219</v>
      </c>
      <c r="I47" s="13"/>
    </row>
    <row r="48" customFormat="false" ht="15" hidden="false" customHeight="false" outlineLevel="0" collapsed="false">
      <c r="A48" s="13" t="s">
        <v>85</v>
      </c>
      <c r="B48" s="13" t="s">
        <v>87</v>
      </c>
      <c r="C48" s="13" t="s">
        <v>220</v>
      </c>
      <c r="D48" s="13" t="s">
        <v>136</v>
      </c>
      <c r="E48" s="100" t="n">
        <f aca="false">Matrice!O23</f>
        <v>5</v>
      </c>
      <c r="F48" s="95" t="s">
        <v>126</v>
      </c>
      <c r="G48" s="90"/>
      <c r="H48" s="13" t="s">
        <v>221</v>
      </c>
      <c r="I48" s="13"/>
    </row>
    <row r="49" customFormat="false" ht="15" hidden="false" customHeight="false" outlineLevel="0" collapsed="false">
      <c r="A49" s="13" t="s">
        <v>85</v>
      </c>
      <c r="B49" s="13" t="s">
        <v>87</v>
      </c>
      <c r="C49" s="13" t="s">
        <v>222</v>
      </c>
      <c r="D49" s="13" t="s">
        <v>136</v>
      </c>
      <c r="E49" s="88" t="n">
        <f aca="false">Matrice!O24</f>
        <v>4</v>
      </c>
      <c r="F49" s="89" t="s">
        <v>127</v>
      </c>
      <c r="G49" s="90"/>
      <c r="H49" s="13" t="s">
        <v>223</v>
      </c>
      <c r="I49" s="13"/>
    </row>
    <row r="50" customFormat="false" ht="15" hidden="false" customHeight="false" outlineLevel="0" collapsed="false">
      <c r="A50" s="13" t="s">
        <v>85</v>
      </c>
      <c r="B50" s="13" t="s">
        <v>87</v>
      </c>
      <c r="C50" s="13" t="s">
        <v>224</v>
      </c>
      <c r="D50" s="13" t="s">
        <v>136</v>
      </c>
      <c r="E50" s="97" t="n">
        <f aca="false">Matrice!O25</f>
        <v>6</v>
      </c>
      <c r="F50" s="95" t="s">
        <v>126</v>
      </c>
      <c r="G50" s="90"/>
      <c r="H50" s="13" t="s">
        <v>225</v>
      </c>
      <c r="I50" s="13"/>
    </row>
    <row r="51" customFormat="false" ht="15" hidden="false" customHeight="false" outlineLevel="0" collapsed="false">
      <c r="A51" s="13" t="s">
        <v>85</v>
      </c>
      <c r="B51" s="13" t="s">
        <v>87</v>
      </c>
      <c r="C51" s="13" t="s">
        <v>226</v>
      </c>
      <c r="D51" s="13" t="s">
        <v>164</v>
      </c>
      <c r="E51" s="90"/>
      <c r="F51" s="95" t="s">
        <v>126</v>
      </c>
      <c r="G51" s="96" t="s">
        <v>147</v>
      </c>
      <c r="H51" s="13" t="s">
        <v>227</v>
      </c>
      <c r="I51" s="13" t="s">
        <v>35</v>
      </c>
    </row>
    <row r="52" customFormat="false" ht="15" hidden="false" customHeight="false" outlineLevel="0" collapsed="false">
      <c r="A52" s="13" t="s">
        <v>85</v>
      </c>
      <c r="B52" s="13" t="s">
        <v>87</v>
      </c>
      <c r="C52" s="13" t="s">
        <v>228</v>
      </c>
      <c r="D52" s="13" t="s">
        <v>164</v>
      </c>
      <c r="E52" s="90"/>
      <c r="F52" s="95" t="s">
        <v>126</v>
      </c>
      <c r="G52" s="90"/>
      <c r="H52" s="13" t="s">
        <v>229</v>
      </c>
      <c r="I52" s="13" t="s">
        <v>230</v>
      </c>
    </row>
    <row r="53" customFormat="false" ht="15" hidden="false" customHeight="false" outlineLevel="0" collapsed="false">
      <c r="A53" s="13" t="s">
        <v>85</v>
      </c>
      <c r="B53" s="13" t="s">
        <v>87</v>
      </c>
      <c r="C53" s="13" t="s">
        <v>231</v>
      </c>
      <c r="D53" s="13" t="s">
        <v>164</v>
      </c>
      <c r="E53" s="90"/>
      <c r="F53" s="89" t="s">
        <v>127</v>
      </c>
      <c r="G53" s="90"/>
      <c r="H53" s="13" t="s">
        <v>168</v>
      </c>
      <c r="I53" s="13" t="s">
        <v>232</v>
      </c>
    </row>
    <row r="54" customFormat="false" ht="15" hidden="false" customHeight="false" outlineLevel="0" collapsed="false">
      <c r="A54" s="13" t="s">
        <v>85</v>
      </c>
      <c r="B54" s="13" t="s">
        <v>87</v>
      </c>
      <c r="C54" s="13" t="s">
        <v>233</v>
      </c>
      <c r="D54" s="13" t="s">
        <v>164</v>
      </c>
      <c r="E54" s="90"/>
      <c r="F54" s="89" t="s">
        <v>127</v>
      </c>
      <c r="G54" s="90"/>
      <c r="H54" s="13" t="s">
        <v>168</v>
      </c>
      <c r="I54" s="13" t="s">
        <v>234</v>
      </c>
    </row>
    <row r="55" customFormat="false" ht="15" hidden="false" customHeight="false" outlineLevel="0" collapsed="false">
      <c r="A55" s="13" t="s">
        <v>85</v>
      </c>
      <c r="B55" s="13" t="s">
        <v>87</v>
      </c>
      <c r="C55" s="13" t="s">
        <v>235</v>
      </c>
      <c r="D55" s="13" t="s">
        <v>164</v>
      </c>
      <c r="E55" s="90"/>
      <c r="F55" s="95" t="s">
        <v>126</v>
      </c>
      <c r="G55" s="90"/>
      <c r="H55" s="13" t="s">
        <v>236</v>
      </c>
      <c r="I55" s="13" t="s">
        <v>67</v>
      </c>
    </row>
    <row r="56" customFormat="false" ht="23.85" hidden="false" customHeight="false" outlineLevel="0" collapsed="false">
      <c r="A56" s="13" t="s">
        <v>85</v>
      </c>
      <c r="B56" s="13" t="s">
        <v>87</v>
      </c>
      <c r="C56" s="13" t="s">
        <v>237</v>
      </c>
      <c r="D56" s="13" t="s">
        <v>164</v>
      </c>
      <c r="E56" s="90"/>
      <c r="F56" s="95" t="s">
        <v>126</v>
      </c>
      <c r="G56" s="90"/>
      <c r="H56" s="13" t="s">
        <v>238</v>
      </c>
      <c r="I56" s="13" t="s">
        <v>169</v>
      </c>
    </row>
    <row r="57" customFormat="false" ht="15" hidden="false" customHeight="false" outlineLevel="0" collapsed="false">
      <c r="A57" s="13" t="s">
        <v>85</v>
      </c>
      <c r="B57" s="13" t="s">
        <v>87</v>
      </c>
      <c r="C57" s="13" t="s">
        <v>239</v>
      </c>
      <c r="D57" s="13" t="s">
        <v>164</v>
      </c>
      <c r="E57" s="90"/>
      <c r="F57" s="95" t="s">
        <v>126</v>
      </c>
      <c r="G57" s="90"/>
      <c r="H57" s="13" t="s">
        <v>240</v>
      </c>
      <c r="I57" s="13" t="s">
        <v>241</v>
      </c>
    </row>
    <row r="58" customFormat="false" ht="23.85" hidden="false" customHeight="false" outlineLevel="0" collapsed="false">
      <c r="A58" s="13" t="s">
        <v>85</v>
      </c>
      <c r="B58" s="13" t="s">
        <v>87</v>
      </c>
      <c r="C58" s="13" t="s">
        <v>242</v>
      </c>
      <c r="D58" s="13" t="s">
        <v>164</v>
      </c>
      <c r="E58" s="90"/>
      <c r="F58" s="95" t="s">
        <v>126</v>
      </c>
      <c r="G58" s="90"/>
      <c r="H58" s="13" t="s">
        <v>243</v>
      </c>
      <c r="I58" s="13" t="s">
        <v>244</v>
      </c>
    </row>
    <row r="59" customFormat="false" ht="15" hidden="false" customHeight="false" outlineLevel="0" collapsed="false">
      <c r="A59" s="13" t="s">
        <v>85</v>
      </c>
      <c r="B59" s="13" t="s">
        <v>87</v>
      </c>
      <c r="C59" s="13" t="s">
        <v>245</v>
      </c>
      <c r="D59" s="13" t="s">
        <v>164</v>
      </c>
      <c r="E59" s="90"/>
      <c r="F59" s="92" t="s">
        <v>125</v>
      </c>
      <c r="G59" s="90"/>
      <c r="H59" s="13" t="s">
        <v>246</v>
      </c>
      <c r="I59" s="13" t="s">
        <v>247</v>
      </c>
    </row>
    <row r="60" customFormat="false" ht="15" hidden="false" customHeight="false" outlineLevel="0" collapsed="false">
      <c r="A60" s="13" t="s">
        <v>85</v>
      </c>
      <c r="B60" s="13" t="s">
        <v>87</v>
      </c>
      <c r="C60" s="13" t="s">
        <v>248</v>
      </c>
      <c r="D60" s="13" t="s">
        <v>164</v>
      </c>
      <c r="E60" s="90"/>
      <c r="F60" s="89" t="s">
        <v>127</v>
      </c>
      <c r="G60" s="90"/>
      <c r="H60" s="13" t="s">
        <v>249</v>
      </c>
      <c r="I60" s="13" t="s">
        <v>169</v>
      </c>
    </row>
    <row r="61" customFormat="false" ht="15" hidden="false" customHeight="false" outlineLevel="0" collapsed="false">
      <c r="A61" s="13" t="s">
        <v>85</v>
      </c>
      <c r="B61" s="13" t="s">
        <v>87</v>
      </c>
      <c r="C61" s="13" t="s">
        <v>250</v>
      </c>
      <c r="D61" s="13" t="s">
        <v>164</v>
      </c>
      <c r="E61" s="90"/>
      <c r="F61" s="89" t="s">
        <v>127</v>
      </c>
      <c r="G61" s="90"/>
      <c r="H61" s="13" t="s">
        <v>251</v>
      </c>
      <c r="I61" s="13" t="s">
        <v>51</v>
      </c>
    </row>
    <row r="62" customFormat="false" ht="15" hidden="false" customHeight="false" outlineLevel="0" collapsed="false">
      <c r="A62" s="13" t="s">
        <v>85</v>
      </c>
      <c r="B62" s="13" t="s">
        <v>87</v>
      </c>
      <c r="C62" s="13" t="s">
        <v>252</v>
      </c>
      <c r="D62" s="13" t="s">
        <v>164</v>
      </c>
      <c r="E62" s="90"/>
      <c r="F62" s="95" t="s">
        <v>126</v>
      </c>
      <c r="G62" s="90"/>
      <c r="H62" s="13" t="s">
        <v>253</v>
      </c>
      <c r="I62" s="13" t="s">
        <v>254</v>
      </c>
    </row>
    <row r="63" customFormat="false" ht="15" hidden="false" customHeight="false" outlineLevel="0" collapsed="false">
      <c r="A63" s="13" t="s">
        <v>85</v>
      </c>
      <c r="B63" s="13" t="s">
        <v>87</v>
      </c>
      <c r="C63" s="13" t="s">
        <v>255</v>
      </c>
      <c r="D63" s="13" t="s">
        <v>164</v>
      </c>
      <c r="E63" s="90"/>
      <c r="F63" s="95" t="s">
        <v>126</v>
      </c>
      <c r="G63" s="90"/>
      <c r="H63" s="13" t="s">
        <v>256</v>
      </c>
      <c r="I63" s="13" t="s">
        <v>63</v>
      </c>
    </row>
    <row r="64" customFormat="false" ht="15" hidden="false" customHeight="false" outlineLevel="0" collapsed="false">
      <c r="A64" s="13" t="s">
        <v>85</v>
      </c>
      <c r="B64" s="13" t="s">
        <v>87</v>
      </c>
      <c r="C64" s="13" t="s">
        <v>257</v>
      </c>
      <c r="D64" s="13" t="s">
        <v>164</v>
      </c>
      <c r="E64" s="90"/>
      <c r="F64" s="95" t="s">
        <v>126</v>
      </c>
      <c r="G64" s="90"/>
      <c r="H64" s="13" t="s">
        <v>258</v>
      </c>
      <c r="I64" s="13" t="s">
        <v>241</v>
      </c>
    </row>
    <row r="65" customFormat="false" ht="15" hidden="false" customHeight="false" outlineLevel="0" collapsed="false">
      <c r="A65" s="13" t="s">
        <v>85</v>
      </c>
      <c r="B65" s="13" t="s">
        <v>87</v>
      </c>
      <c r="C65" s="13" t="s">
        <v>259</v>
      </c>
      <c r="D65" s="13" t="s">
        <v>164</v>
      </c>
      <c r="E65" s="90"/>
      <c r="F65" s="101" t="s">
        <v>128</v>
      </c>
      <c r="G65" s="90"/>
      <c r="H65" s="13"/>
      <c r="I65" s="13" t="s">
        <v>260</v>
      </c>
    </row>
    <row r="66" customFormat="false" ht="15" hidden="false" customHeight="false" outlineLevel="0" collapsed="false">
      <c r="A66" s="13" t="s">
        <v>85</v>
      </c>
      <c r="B66" s="13" t="s">
        <v>88</v>
      </c>
      <c r="C66" s="13" t="s">
        <v>261</v>
      </c>
      <c r="D66" s="13" t="s">
        <v>136</v>
      </c>
      <c r="E66" s="91" t="n">
        <f aca="false">Matrice!O26</f>
        <v>8</v>
      </c>
      <c r="F66" s="92" t="s">
        <v>125</v>
      </c>
      <c r="G66" s="90"/>
      <c r="H66" s="13" t="s">
        <v>262</v>
      </c>
      <c r="I66" s="13"/>
    </row>
    <row r="67" customFormat="false" ht="15" hidden="false" customHeight="false" outlineLevel="0" collapsed="false">
      <c r="A67" s="13" t="s">
        <v>85</v>
      </c>
      <c r="B67" s="13" t="s">
        <v>88</v>
      </c>
      <c r="C67" s="13" t="s">
        <v>263</v>
      </c>
      <c r="D67" s="13" t="s">
        <v>136</v>
      </c>
      <c r="E67" s="100" t="n">
        <f aca="false">Matrice!O27</f>
        <v>5</v>
      </c>
      <c r="F67" s="95" t="s">
        <v>126</v>
      </c>
      <c r="G67" s="90"/>
      <c r="H67" s="13" t="s">
        <v>264</v>
      </c>
      <c r="I67" s="13"/>
    </row>
    <row r="68" customFormat="false" ht="15" hidden="false" customHeight="false" outlineLevel="0" collapsed="false">
      <c r="A68" s="13" t="s">
        <v>85</v>
      </c>
      <c r="B68" s="13" t="s">
        <v>88</v>
      </c>
      <c r="C68" s="13" t="s">
        <v>265</v>
      </c>
      <c r="D68" s="13" t="s">
        <v>136</v>
      </c>
      <c r="E68" s="88" t="n">
        <f aca="false">Matrice!O28</f>
        <v>4</v>
      </c>
      <c r="F68" s="95" t="s">
        <v>126</v>
      </c>
      <c r="G68" s="90"/>
      <c r="H68" s="13" t="s">
        <v>266</v>
      </c>
      <c r="I68" s="13"/>
    </row>
    <row r="69" customFormat="false" ht="23.85" hidden="false" customHeight="false" outlineLevel="0" collapsed="false">
      <c r="A69" s="13" t="s">
        <v>85</v>
      </c>
      <c r="B69" s="13" t="s">
        <v>88</v>
      </c>
      <c r="C69" s="13" t="s">
        <v>267</v>
      </c>
      <c r="D69" s="13" t="s">
        <v>136</v>
      </c>
      <c r="E69" s="97" t="n">
        <f aca="false">Matrice!O29</f>
        <v>6</v>
      </c>
      <c r="F69" s="92" t="s">
        <v>125</v>
      </c>
      <c r="G69" s="90"/>
      <c r="H69" s="13" t="s">
        <v>268</v>
      </c>
      <c r="I69" s="13"/>
    </row>
    <row r="70" customFormat="false" ht="23.85" hidden="false" customHeight="false" outlineLevel="0" collapsed="false">
      <c r="A70" s="13" t="s">
        <v>85</v>
      </c>
      <c r="B70" s="13" t="s">
        <v>88</v>
      </c>
      <c r="C70" s="13" t="s">
        <v>269</v>
      </c>
      <c r="D70" s="13" t="s">
        <v>136</v>
      </c>
      <c r="E70" s="93" t="n">
        <f aca="false">Matrice!O30</f>
        <v>7</v>
      </c>
      <c r="F70" s="92" t="s">
        <v>125</v>
      </c>
      <c r="G70" s="90"/>
      <c r="H70" s="13" t="s">
        <v>270</v>
      </c>
      <c r="I70" s="13"/>
    </row>
    <row r="71" customFormat="false" ht="15" hidden="false" customHeight="false" outlineLevel="0" collapsed="false">
      <c r="A71" s="13" t="s">
        <v>85</v>
      </c>
      <c r="B71" s="13" t="s">
        <v>88</v>
      </c>
      <c r="C71" s="13" t="s">
        <v>271</v>
      </c>
      <c r="D71" s="13" t="s">
        <v>136</v>
      </c>
      <c r="E71" s="93" t="n">
        <f aca="false">Matrice!O31</f>
        <v>7</v>
      </c>
      <c r="F71" s="92" t="s">
        <v>125</v>
      </c>
      <c r="G71" s="90"/>
      <c r="H71" s="13" t="s">
        <v>272</v>
      </c>
      <c r="I71" s="13"/>
    </row>
    <row r="72" customFormat="false" ht="23.85" hidden="false" customHeight="false" outlineLevel="0" collapsed="false">
      <c r="A72" s="13" t="s">
        <v>85</v>
      </c>
      <c r="B72" s="13" t="s">
        <v>88</v>
      </c>
      <c r="C72" s="13" t="s">
        <v>273</v>
      </c>
      <c r="D72" s="13" t="s">
        <v>136</v>
      </c>
      <c r="E72" s="97" t="n">
        <f aca="false">Matrice!O32</f>
        <v>6</v>
      </c>
      <c r="F72" s="92" t="s">
        <v>125</v>
      </c>
      <c r="G72" s="90"/>
      <c r="H72" s="13" t="s">
        <v>274</v>
      </c>
      <c r="I72" s="13"/>
    </row>
    <row r="73" customFormat="false" ht="15" hidden="false" customHeight="false" outlineLevel="0" collapsed="false">
      <c r="A73" s="13" t="s">
        <v>85</v>
      </c>
      <c r="B73" s="13" t="s">
        <v>88</v>
      </c>
      <c r="C73" s="13" t="s">
        <v>275</v>
      </c>
      <c r="D73" s="13" t="s">
        <v>136</v>
      </c>
      <c r="E73" s="99" t="n">
        <f aca="false">Matrice!O33</f>
        <v>10</v>
      </c>
      <c r="F73" s="92" t="s">
        <v>125</v>
      </c>
      <c r="G73" s="90"/>
      <c r="H73" s="13" t="s">
        <v>276</v>
      </c>
      <c r="I73" s="13"/>
    </row>
    <row r="74" customFormat="false" ht="15" hidden="false" customHeight="false" outlineLevel="0" collapsed="false">
      <c r="A74" s="13" t="s">
        <v>85</v>
      </c>
      <c r="B74" s="13" t="s">
        <v>88</v>
      </c>
      <c r="C74" s="13" t="s">
        <v>277</v>
      </c>
      <c r="D74" s="13" t="s">
        <v>136</v>
      </c>
      <c r="E74" s="98" t="n">
        <f aca="false">Matrice!O34</f>
        <v>9</v>
      </c>
      <c r="F74" s="92" t="s">
        <v>125</v>
      </c>
      <c r="G74" s="90"/>
      <c r="H74" s="13" t="s">
        <v>278</v>
      </c>
      <c r="I74" s="13"/>
    </row>
    <row r="75" customFormat="false" ht="15" hidden="false" customHeight="false" outlineLevel="0" collapsed="false">
      <c r="A75" s="13" t="s">
        <v>85</v>
      </c>
      <c r="B75" s="13" t="s">
        <v>88</v>
      </c>
      <c r="C75" s="13" t="s">
        <v>279</v>
      </c>
      <c r="D75" s="13" t="s">
        <v>136</v>
      </c>
      <c r="E75" s="102" t="n">
        <f aca="false">Matrice!O35</f>
        <v>0</v>
      </c>
      <c r="F75" s="95" t="s">
        <v>126</v>
      </c>
      <c r="G75" s="96" t="s">
        <v>147</v>
      </c>
      <c r="H75" s="13" t="s">
        <v>280</v>
      </c>
      <c r="I75" s="13"/>
    </row>
    <row r="76" customFormat="false" ht="15" hidden="false" customHeight="false" outlineLevel="0" collapsed="false">
      <c r="A76" s="13" t="s">
        <v>85</v>
      </c>
      <c r="B76" s="13" t="s">
        <v>88</v>
      </c>
      <c r="C76" s="13" t="s">
        <v>281</v>
      </c>
      <c r="D76" s="13" t="s">
        <v>164</v>
      </c>
      <c r="E76" s="90"/>
      <c r="F76" s="92" t="s">
        <v>125</v>
      </c>
      <c r="G76" s="90"/>
      <c r="H76" s="13" t="s">
        <v>282</v>
      </c>
      <c r="I76" s="13" t="s">
        <v>47</v>
      </c>
    </row>
    <row r="77" customFormat="false" ht="15" hidden="false" customHeight="false" outlineLevel="0" collapsed="false">
      <c r="A77" s="13" t="s">
        <v>85</v>
      </c>
      <c r="B77" s="13" t="s">
        <v>88</v>
      </c>
      <c r="C77" s="13" t="s">
        <v>283</v>
      </c>
      <c r="D77" s="13" t="s">
        <v>164</v>
      </c>
      <c r="E77" s="90"/>
      <c r="F77" s="89" t="s">
        <v>127</v>
      </c>
      <c r="G77" s="90"/>
      <c r="H77" s="13" t="s">
        <v>284</v>
      </c>
      <c r="I77" s="13" t="s">
        <v>63</v>
      </c>
    </row>
    <row r="78" customFormat="false" ht="15" hidden="false" customHeight="false" outlineLevel="0" collapsed="false">
      <c r="A78" s="13" t="s">
        <v>85</v>
      </c>
      <c r="B78" s="13" t="s">
        <v>88</v>
      </c>
      <c r="C78" s="13" t="s">
        <v>285</v>
      </c>
      <c r="D78" s="13" t="s">
        <v>164</v>
      </c>
      <c r="E78" s="90"/>
      <c r="F78" s="89" t="s">
        <v>127</v>
      </c>
      <c r="G78" s="90"/>
      <c r="H78" s="13" t="s">
        <v>286</v>
      </c>
      <c r="I78" s="13" t="s">
        <v>63</v>
      </c>
    </row>
    <row r="79" customFormat="false" ht="15" hidden="false" customHeight="false" outlineLevel="0" collapsed="false">
      <c r="A79" s="13" t="s">
        <v>85</v>
      </c>
      <c r="B79" s="13" t="s">
        <v>88</v>
      </c>
      <c r="C79" s="13" t="s">
        <v>287</v>
      </c>
      <c r="D79" s="13" t="s">
        <v>164</v>
      </c>
      <c r="E79" s="90"/>
      <c r="F79" s="95" t="s">
        <v>126</v>
      </c>
      <c r="G79" s="96" t="s">
        <v>147</v>
      </c>
      <c r="H79" s="13" t="s">
        <v>288</v>
      </c>
      <c r="I79" s="13" t="s">
        <v>51</v>
      </c>
    </row>
    <row r="80" customFormat="false" ht="15" hidden="false" customHeight="false" outlineLevel="0" collapsed="false">
      <c r="A80" s="13" t="s">
        <v>85</v>
      </c>
      <c r="B80" s="13" t="s">
        <v>88</v>
      </c>
      <c r="C80" s="13" t="s">
        <v>289</v>
      </c>
      <c r="D80" s="13" t="s">
        <v>164</v>
      </c>
      <c r="E80" s="90"/>
      <c r="F80" s="89" t="s">
        <v>127</v>
      </c>
      <c r="G80" s="90"/>
      <c r="H80" s="13" t="s">
        <v>290</v>
      </c>
      <c r="I80" s="13" t="s">
        <v>291</v>
      </c>
    </row>
    <row r="81" customFormat="false" ht="15" hidden="false" customHeight="false" outlineLevel="0" collapsed="false">
      <c r="A81" s="13" t="s">
        <v>85</v>
      </c>
      <c r="B81" s="13" t="s">
        <v>88</v>
      </c>
      <c r="C81" s="13" t="s">
        <v>292</v>
      </c>
      <c r="D81" s="13" t="s">
        <v>164</v>
      </c>
      <c r="E81" s="90"/>
      <c r="F81" s="92" t="s">
        <v>125</v>
      </c>
      <c r="G81" s="90"/>
      <c r="H81" s="13" t="s">
        <v>293</v>
      </c>
      <c r="I81" s="13" t="s">
        <v>294</v>
      </c>
    </row>
    <row r="82" customFormat="false" ht="15" hidden="false" customHeight="false" outlineLevel="0" collapsed="false">
      <c r="A82" s="13" t="s">
        <v>85</v>
      </c>
      <c r="B82" s="13" t="s">
        <v>88</v>
      </c>
      <c r="C82" s="13" t="s">
        <v>295</v>
      </c>
      <c r="D82" s="13" t="s">
        <v>164</v>
      </c>
      <c r="E82" s="90"/>
      <c r="F82" s="95" t="s">
        <v>126</v>
      </c>
      <c r="G82" s="90"/>
      <c r="H82" s="13" t="s">
        <v>296</v>
      </c>
      <c r="I82" s="13" t="s">
        <v>297</v>
      </c>
    </row>
    <row r="83" customFormat="false" ht="15" hidden="false" customHeight="false" outlineLevel="0" collapsed="false">
      <c r="A83" s="13" t="s">
        <v>85</v>
      </c>
      <c r="B83" s="13" t="s">
        <v>88</v>
      </c>
      <c r="C83" s="13" t="s">
        <v>298</v>
      </c>
      <c r="D83" s="13" t="s">
        <v>164</v>
      </c>
      <c r="E83" s="90"/>
      <c r="F83" s="95" t="s">
        <v>126</v>
      </c>
      <c r="G83" s="90"/>
      <c r="H83" s="13" t="s">
        <v>299</v>
      </c>
      <c r="I83" s="13" t="s">
        <v>300</v>
      </c>
    </row>
    <row r="84" customFormat="false" ht="15" hidden="false" customHeight="false" outlineLevel="0" collapsed="false">
      <c r="A84" s="13" t="s">
        <v>85</v>
      </c>
      <c r="B84" s="13" t="s">
        <v>88</v>
      </c>
      <c r="C84" s="13" t="s">
        <v>301</v>
      </c>
      <c r="D84" s="13" t="s">
        <v>164</v>
      </c>
      <c r="E84" s="90"/>
      <c r="F84" s="89" t="s">
        <v>127</v>
      </c>
      <c r="G84" s="90"/>
      <c r="H84" s="13" t="s">
        <v>302</v>
      </c>
      <c r="I84" s="13" t="s">
        <v>303</v>
      </c>
    </row>
    <row r="85" customFormat="false" ht="15" hidden="false" customHeight="false" outlineLevel="0" collapsed="false">
      <c r="A85" s="13" t="s">
        <v>85</v>
      </c>
      <c r="B85" s="13" t="s">
        <v>89</v>
      </c>
      <c r="C85" s="13" t="s">
        <v>304</v>
      </c>
      <c r="D85" s="13" t="s">
        <v>136</v>
      </c>
      <c r="E85" s="99" t="n">
        <f aca="false">Matrice!O36</f>
        <v>10</v>
      </c>
      <c r="F85" s="92" t="s">
        <v>125</v>
      </c>
      <c r="G85" s="90"/>
      <c r="H85" s="13" t="s">
        <v>305</v>
      </c>
      <c r="I85" s="13"/>
    </row>
    <row r="86" customFormat="false" ht="15" hidden="false" customHeight="false" outlineLevel="0" collapsed="false">
      <c r="A86" s="13" t="s">
        <v>85</v>
      </c>
      <c r="B86" s="13" t="s">
        <v>89</v>
      </c>
      <c r="C86" s="13" t="s">
        <v>306</v>
      </c>
      <c r="D86" s="13" t="s">
        <v>136</v>
      </c>
      <c r="E86" s="93" t="n">
        <f aca="false">Matrice!O37</f>
        <v>7</v>
      </c>
      <c r="F86" s="92" t="s">
        <v>125</v>
      </c>
      <c r="G86" s="90"/>
      <c r="H86" s="13" t="s">
        <v>307</v>
      </c>
      <c r="I86" s="13"/>
    </row>
    <row r="87" customFormat="false" ht="15" hidden="false" customHeight="false" outlineLevel="0" collapsed="false">
      <c r="A87" s="13" t="s">
        <v>85</v>
      </c>
      <c r="B87" s="13" t="s">
        <v>89</v>
      </c>
      <c r="C87" s="13" t="s">
        <v>308</v>
      </c>
      <c r="D87" s="13" t="s">
        <v>136</v>
      </c>
      <c r="E87" s="88" t="n">
        <f aca="false">Matrice!O38</f>
        <v>4</v>
      </c>
      <c r="F87" s="95" t="s">
        <v>126</v>
      </c>
      <c r="G87" s="96" t="s">
        <v>147</v>
      </c>
      <c r="H87" s="13" t="s">
        <v>309</v>
      </c>
      <c r="I87" s="13"/>
    </row>
    <row r="88" customFormat="false" ht="15" hidden="false" customHeight="false" outlineLevel="0" collapsed="false">
      <c r="A88" s="13" t="s">
        <v>85</v>
      </c>
      <c r="B88" s="13" t="s">
        <v>89</v>
      </c>
      <c r="C88" s="13" t="s">
        <v>310</v>
      </c>
      <c r="D88" s="13" t="s">
        <v>136</v>
      </c>
      <c r="E88" s="93" t="n">
        <f aca="false">Matrice!O39</f>
        <v>7</v>
      </c>
      <c r="F88" s="92" t="s">
        <v>125</v>
      </c>
      <c r="G88" s="90"/>
      <c r="H88" s="13" t="s">
        <v>256</v>
      </c>
      <c r="I88" s="13"/>
    </row>
    <row r="89" customFormat="false" ht="23.85" hidden="false" customHeight="false" outlineLevel="0" collapsed="false">
      <c r="A89" s="13" t="s">
        <v>85</v>
      </c>
      <c r="B89" s="13" t="s">
        <v>89</v>
      </c>
      <c r="C89" s="13" t="s">
        <v>311</v>
      </c>
      <c r="D89" s="13" t="s">
        <v>136</v>
      </c>
      <c r="E89" s="91" t="n">
        <f aca="false">Matrice!O40</f>
        <v>8</v>
      </c>
      <c r="F89" s="92" t="s">
        <v>125</v>
      </c>
      <c r="G89" s="96" t="s">
        <v>147</v>
      </c>
      <c r="H89" s="13" t="s">
        <v>312</v>
      </c>
      <c r="I89" s="13"/>
    </row>
    <row r="90" customFormat="false" ht="15" hidden="false" customHeight="false" outlineLevel="0" collapsed="false">
      <c r="A90" s="13" t="s">
        <v>85</v>
      </c>
      <c r="B90" s="13" t="s">
        <v>89</v>
      </c>
      <c r="C90" s="13" t="s">
        <v>313</v>
      </c>
      <c r="D90" s="13" t="s">
        <v>136</v>
      </c>
      <c r="E90" s="88" t="n">
        <f aca="false">Matrice!O41</f>
        <v>4</v>
      </c>
      <c r="F90" s="95" t="s">
        <v>126</v>
      </c>
      <c r="G90" s="90"/>
      <c r="H90" s="13" t="s">
        <v>314</v>
      </c>
      <c r="I90" s="13"/>
    </row>
    <row r="91" customFormat="false" ht="15" hidden="false" customHeight="false" outlineLevel="0" collapsed="false">
      <c r="A91" s="13" t="s">
        <v>85</v>
      </c>
      <c r="B91" s="13" t="s">
        <v>89</v>
      </c>
      <c r="C91" s="13" t="s">
        <v>315</v>
      </c>
      <c r="D91" s="13" t="s">
        <v>136</v>
      </c>
      <c r="E91" s="97" t="n">
        <f aca="false">Matrice!O42</f>
        <v>6</v>
      </c>
      <c r="F91" s="92" t="s">
        <v>125</v>
      </c>
      <c r="G91" s="90"/>
      <c r="H91" s="13" t="s">
        <v>316</v>
      </c>
      <c r="I91" s="13"/>
    </row>
    <row r="92" customFormat="false" ht="15" hidden="false" customHeight="false" outlineLevel="0" collapsed="false">
      <c r="A92" s="13" t="s">
        <v>85</v>
      </c>
      <c r="B92" s="13" t="s">
        <v>89</v>
      </c>
      <c r="C92" s="13" t="s">
        <v>317</v>
      </c>
      <c r="D92" s="13" t="s">
        <v>136</v>
      </c>
      <c r="E92" s="97" t="n">
        <f aca="false">Matrice!O43</f>
        <v>6</v>
      </c>
      <c r="F92" s="92" t="s">
        <v>125</v>
      </c>
      <c r="G92" s="90"/>
      <c r="H92" s="13" t="s">
        <v>318</v>
      </c>
      <c r="I92" s="13"/>
    </row>
    <row r="93" customFormat="false" ht="15" hidden="false" customHeight="false" outlineLevel="0" collapsed="false">
      <c r="A93" s="13" t="s">
        <v>85</v>
      </c>
      <c r="B93" s="13" t="s">
        <v>89</v>
      </c>
      <c r="C93" s="13" t="s">
        <v>319</v>
      </c>
      <c r="D93" s="13" t="s">
        <v>164</v>
      </c>
      <c r="E93" s="90"/>
      <c r="F93" s="92" t="s">
        <v>125</v>
      </c>
      <c r="G93" s="96" t="s">
        <v>147</v>
      </c>
      <c r="H93" s="13" t="s">
        <v>320</v>
      </c>
      <c r="I93" s="13" t="s">
        <v>321</v>
      </c>
    </row>
    <row r="94" customFormat="false" ht="15" hidden="false" customHeight="false" outlineLevel="0" collapsed="false">
      <c r="A94" s="13" t="s">
        <v>85</v>
      </c>
      <c r="B94" s="13" t="s">
        <v>89</v>
      </c>
      <c r="C94" s="13" t="s">
        <v>322</v>
      </c>
      <c r="D94" s="13" t="s">
        <v>164</v>
      </c>
      <c r="E94" s="90"/>
      <c r="F94" s="89" t="s">
        <v>127</v>
      </c>
      <c r="G94" s="90"/>
      <c r="H94" s="13" t="s">
        <v>323</v>
      </c>
      <c r="I94" s="13" t="s">
        <v>67</v>
      </c>
    </row>
    <row r="95" customFormat="false" ht="23.85" hidden="false" customHeight="false" outlineLevel="0" collapsed="false">
      <c r="A95" s="13" t="s">
        <v>85</v>
      </c>
      <c r="B95" s="13" t="s">
        <v>89</v>
      </c>
      <c r="C95" s="13" t="s">
        <v>324</v>
      </c>
      <c r="D95" s="13" t="s">
        <v>164</v>
      </c>
      <c r="E95" s="90"/>
      <c r="F95" s="89" t="s">
        <v>127</v>
      </c>
      <c r="G95" s="96" t="s">
        <v>147</v>
      </c>
      <c r="H95" s="13" t="s">
        <v>168</v>
      </c>
      <c r="I95" s="13" t="s">
        <v>39</v>
      </c>
    </row>
    <row r="96" customFormat="false" ht="15" hidden="false" customHeight="false" outlineLevel="0" collapsed="false">
      <c r="A96" s="13" t="s">
        <v>85</v>
      </c>
      <c r="B96" s="13" t="s">
        <v>89</v>
      </c>
      <c r="C96" s="13" t="s">
        <v>325</v>
      </c>
      <c r="D96" s="13" t="s">
        <v>164</v>
      </c>
      <c r="E96" s="90"/>
      <c r="F96" s="92" t="s">
        <v>125</v>
      </c>
      <c r="G96" s="90"/>
      <c r="H96" s="13" t="s">
        <v>326</v>
      </c>
      <c r="I96" s="13" t="s">
        <v>201</v>
      </c>
    </row>
    <row r="97" customFormat="false" ht="15" hidden="false" customHeight="false" outlineLevel="0" collapsed="false">
      <c r="A97" s="13" t="s">
        <v>85</v>
      </c>
      <c r="B97" s="13" t="s">
        <v>89</v>
      </c>
      <c r="C97" s="13" t="s">
        <v>327</v>
      </c>
      <c r="D97" s="13" t="s">
        <v>164</v>
      </c>
      <c r="E97" s="90"/>
      <c r="F97" s="89" t="s">
        <v>127</v>
      </c>
      <c r="G97" s="90"/>
      <c r="H97" s="13" t="s">
        <v>168</v>
      </c>
      <c r="I97" s="13" t="s">
        <v>47</v>
      </c>
    </row>
    <row r="98" customFormat="false" ht="15" hidden="false" customHeight="false" outlineLevel="0" collapsed="false">
      <c r="A98" s="13" t="s">
        <v>85</v>
      </c>
      <c r="B98" s="13" t="s">
        <v>90</v>
      </c>
      <c r="C98" s="13" t="s">
        <v>328</v>
      </c>
      <c r="D98" s="13" t="s">
        <v>136</v>
      </c>
      <c r="E98" s="99" t="n">
        <f aca="false">Matrice!O44</f>
        <v>10</v>
      </c>
      <c r="F98" s="92" t="s">
        <v>125</v>
      </c>
      <c r="G98" s="90"/>
      <c r="H98" s="13" t="s">
        <v>329</v>
      </c>
      <c r="I98" s="13"/>
    </row>
    <row r="99" customFormat="false" ht="23.85" hidden="false" customHeight="false" outlineLevel="0" collapsed="false">
      <c r="A99" s="13" t="s">
        <v>85</v>
      </c>
      <c r="B99" s="13" t="s">
        <v>90</v>
      </c>
      <c r="C99" s="13" t="s">
        <v>330</v>
      </c>
      <c r="D99" s="13" t="s">
        <v>136</v>
      </c>
      <c r="E99" s="91" t="n">
        <f aca="false">Matrice!O45</f>
        <v>8</v>
      </c>
      <c r="F99" s="95" t="s">
        <v>126</v>
      </c>
      <c r="G99" s="90"/>
      <c r="H99" s="13" t="s">
        <v>331</v>
      </c>
      <c r="I99" s="13"/>
    </row>
    <row r="100" customFormat="false" ht="15" hidden="false" customHeight="false" outlineLevel="0" collapsed="false">
      <c r="A100" s="13" t="s">
        <v>85</v>
      </c>
      <c r="B100" s="13" t="s">
        <v>90</v>
      </c>
      <c r="C100" s="13" t="s">
        <v>332</v>
      </c>
      <c r="D100" s="13" t="s">
        <v>136</v>
      </c>
      <c r="E100" s="94" t="n">
        <f aca="false">Matrice!O46</f>
        <v>3</v>
      </c>
      <c r="F100" s="95" t="s">
        <v>126</v>
      </c>
      <c r="G100" s="90"/>
      <c r="H100" s="13" t="s">
        <v>333</v>
      </c>
      <c r="I100" s="13"/>
    </row>
    <row r="101" customFormat="false" ht="15" hidden="false" customHeight="false" outlineLevel="0" collapsed="false">
      <c r="A101" s="13" t="s">
        <v>85</v>
      </c>
      <c r="B101" s="13" t="s">
        <v>90</v>
      </c>
      <c r="C101" s="13" t="s">
        <v>334</v>
      </c>
      <c r="D101" s="13" t="s">
        <v>136</v>
      </c>
      <c r="E101" s="88" t="n">
        <f aca="false">Matrice!O47</f>
        <v>4</v>
      </c>
      <c r="F101" s="95" t="s">
        <v>126</v>
      </c>
      <c r="G101" s="90"/>
      <c r="H101" s="13" t="s">
        <v>335</v>
      </c>
      <c r="I101" s="13"/>
    </row>
    <row r="102" customFormat="false" ht="23.85" hidden="false" customHeight="false" outlineLevel="0" collapsed="false">
      <c r="A102" s="13" t="s">
        <v>85</v>
      </c>
      <c r="B102" s="13" t="s">
        <v>90</v>
      </c>
      <c r="C102" s="13" t="s">
        <v>336</v>
      </c>
      <c r="D102" s="13" t="s">
        <v>136</v>
      </c>
      <c r="E102" s="94" t="n">
        <f aca="false">Matrice!O48</f>
        <v>3</v>
      </c>
      <c r="F102" s="95" t="s">
        <v>126</v>
      </c>
      <c r="G102" s="96" t="s">
        <v>147</v>
      </c>
      <c r="H102" s="13" t="s">
        <v>337</v>
      </c>
      <c r="I102" s="13"/>
    </row>
    <row r="103" customFormat="false" ht="15" hidden="false" customHeight="false" outlineLevel="0" collapsed="false">
      <c r="A103" s="13" t="s">
        <v>85</v>
      </c>
      <c r="B103" s="13" t="s">
        <v>90</v>
      </c>
      <c r="C103" s="13" t="s">
        <v>338</v>
      </c>
      <c r="D103" s="13" t="s">
        <v>136</v>
      </c>
      <c r="E103" s="103" t="n">
        <f aca="false">Matrice!O49</f>
        <v>2</v>
      </c>
      <c r="F103" s="89" t="s">
        <v>127</v>
      </c>
      <c r="G103" s="90"/>
      <c r="H103" s="13" t="s">
        <v>339</v>
      </c>
      <c r="I103" s="13"/>
    </row>
    <row r="104" customFormat="false" ht="15" hidden="false" customHeight="false" outlineLevel="0" collapsed="false">
      <c r="A104" s="13" t="s">
        <v>85</v>
      </c>
      <c r="B104" s="13" t="s">
        <v>91</v>
      </c>
      <c r="C104" s="13" t="s">
        <v>340</v>
      </c>
      <c r="D104" s="13" t="s">
        <v>136</v>
      </c>
      <c r="E104" s="88" t="n">
        <f aca="false">Matrice!O50</f>
        <v>4</v>
      </c>
      <c r="F104" s="95" t="s">
        <v>126</v>
      </c>
      <c r="G104" s="96" t="s">
        <v>147</v>
      </c>
      <c r="H104" s="13" t="s">
        <v>341</v>
      </c>
      <c r="I104" s="13"/>
    </row>
    <row r="105" customFormat="false" ht="15" hidden="false" customHeight="false" outlineLevel="0" collapsed="false">
      <c r="A105" s="13" t="s">
        <v>85</v>
      </c>
      <c r="B105" s="13" t="s">
        <v>91</v>
      </c>
      <c r="C105" s="13" t="s">
        <v>342</v>
      </c>
      <c r="D105" s="13" t="s">
        <v>136</v>
      </c>
      <c r="E105" s="93" t="n">
        <f aca="false">Matrice!O51</f>
        <v>7</v>
      </c>
      <c r="F105" s="95" t="s">
        <v>126</v>
      </c>
      <c r="G105" s="90"/>
      <c r="H105" s="13" t="s">
        <v>343</v>
      </c>
      <c r="I105" s="13"/>
    </row>
    <row r="106" customFormat="false" ht="15" hidden="false" customHeight="false" outlineLevel="0" collapsed="false">
      <c r="A106" s="13" t="s">
        <v>85</v>
      </c>
      <c r="B106" s="13" t="s">
        <v>91</v>
      </c>
      <c r="C106" s="13" t="s">
        <v>344</v>
      </c>
      <c r="D106" s="13" t="s">
        <v>136</v>
      </c>
      <c r="E106" s="91" t="n">
        <f aca="false">Matrice!O52</f>
        <v>8</v>
      </c>
      <c r="F106" s="95" t="s">
        <v>126</v>
      </c>
      <c r="G106" s="90"/>
      <c r="H106" s="13" t="s">
        <v>345</v>
      </c>
      <c r="I106" s="13"/>
    </row>
    <row r="107" customFormat="false" ht="15" hidden="false" customHeight="false" outlineLevel="0" collapsed="false">
      <c r="A107" s="13" t="s">
        <v>85</v>
      </c>
      <c r="B107" s="13" t="s">
        <v>91</v>
      </c>
      <c r="C107" s="13" t="s">
        <v>346</v>
      </c>
      <c r="D107" s="13" t="s">
        <v>136</v>
      </c>
      <c r="E107" s="100" t="n">
        <f aca="false">Matrice!O53</f>
        <v>5</v>
      </c>
      <c r="F107" s="95" t="s">
        <v>126</v>
      </c>
      <c r="G107" s="90"/>
      <c r="H107" s="13" t="s">
        <v>347</v>
      </c>
      <c r="I107" s="13"/>
    </row>
    <row r="108" customFormat="false" ht="15" hidden="false" customHeight="false" outlineLevel="0" collapsed="false">
      <c r="A108" s="13" t="s">
        <v>85</v>
      </c>
      <c r="B108" s="13" t="s">
        <v>91</v>
      </c>
      <c r="C108" s="13" t="s">
        <v>348</v>
      </c>
      <c r="D108" s="13" t="s">
        <v>136</v>
      </c>
      <c r="E108" s="94" t="n">
        <f aca="false">Matrice!O54</f>
        <v>3</v>
      </c>
      <c r="F108" s="89" t="s">
        <v>127</v>
      </c>
      <c r="G108" s="90"/>
      <c r="H108" s="13" t="s">
        <v>168</v>
      </c>
      <c r="I108" s="13"/>
    </row>
    <row r="109" customFormat="false" ht="15" hidden="false" customHeight="false" outlineLevel="0" collapsed="false">
      <c r="A109" s="13" t="s">
        <v>85</v>
      </c>
      <c r="B109" s="13" t="s">
        <v>91</v>
      </c>
      <c r="C109" s="13" t="s">
        <v>349</v>
      </c>
      <c r="D109" s="13" t="s">
        <v>136</v>
      </c>
      <c r="E109" s="93" t="n">
        <f aca="false">Matrice!O55</f>
        <v>7</v>
      </c>
      <c r="F109" s="95" t="s">
        <v>126</v>
      </c>
      <c r="G109" s="90"/>
      <c r="H109" s="13" t="s">
        <v>350</v>
      </c>
      <c r="I109" s="13"/>
    </row>
    <row r="110" customFormat="false" ht="15" hidden="false" customHeight="false" outlineLevel="0" collapsed="false">
      <c r="A110" s="13" t="s">
        <v>85</v>
      </c>
      <c r="B110" s="13" t="s">
        <v>91</v>
      </c>
      <c r="C110" s="13" t="s">
        <v>351</v>
      </c>
      <c r="D110" s="13" t="s">
        <v>136</v>
      </c>
      <c r="E110" s="100" t="n">
        <f aca="false">Matrice!O56</f>
        <v>5</v>
      </c>
      <c r="F110" s="95" t="s">
        <v>126</v>
      </c>
      <c r="G110" s="90"/>
      <c r="H110" s="13" t="s">
        <v>352</v>
      </c>
      <c r="I110" s="13"/>
    </row>
    <row r="111" customFormat="false" ht="15" hidden="false" customHeight="false" outlineLevel="0" collapsed="false">
      <c r="A111" s="13" t="s">
        <v>85</v>
      </c>
      <c r="B111" s="13" t="s">
        <v>91</v>
      </c>
      <c r="C111" s="13" t="s">
        <v>353</v>
      </c>
      <c r="D111" s="13" t="s">
        <v>164</v>
      </c>
      <c r="E111" s="90"/>
      <c r="F111" s="89" t="s">
        <v>127</v>
      </c>
      <c r="G111" s="90"/>
      <c r="H111" s="13" t="s">
        <v>354</v>
      </c>
      <c r="I111" s="13" t="s">
        <v>201</v>
      </c>
    </row>
    <row r="112" customFormat="false" ht="15" hidden="false" customHeight="false" outlineLevel="0" collapsed="false">
      <c r="A112" s="13" t="s">
        <v>85</v>
      </c>
      <c r="B112" s="13" t="s">
        <v>91</v>
      </c>
      <c r="C112" s="13" t="s">
        <v>355</v>
      </c>
      <c r="D112" s="13" t="s">
        <v>164</v>
      </c>
      <c r="E112" s="90"/>
      <c r="F112" s="95" t="s">
        <v>126</v>
      </c>
      <c r="G112" s="90"/>
      <c r="H112" s="13" t="s">
        <v>356</v>
      </c>
      <c r="I112" s="13" t="s">
        <v>51</v>
      </c>
    </row>
    <row r="113" customFormat="false" ht="15" hidden="false" customHeight="false" outlineLevel="0" collapsed="false">
      <c r="A113" s="13" t="s">
        <v>85</v>
      </c>
      <c r="B113" s="13" t="s">
        <v>91</v>
      </c>
      <c r="C113" s="13" t="s">
        <v>357</v>
      </c>
      <c r="D113" s="13" t="s">
        <v>164</v>
      </c>
      <c r="E113" s="90"/>
      <c r="F113" s="89" t="s">
        <v>127</v>
      </c>
      <c r="G113" s="90"/>
      <c r="H113" s="13" t="s">
        <v>358</v>
      </c>
      <c r="I113" s="13" t="s">
        <v>359</v>
      </c>
    </row>
    <row r="114" customFormat="false" ht="15" hidden="false" customHeight="false" outlineLevel="0" collapsed="false">
      <c r="A114" s="13" t="s">
        <v>85</v>
      </c>
      <c r="B114" s="13" t="s">
        <v>91</v>
      </c>
      <c r="C114" s="13" t="s">
        <v>360</v>
      </c>
      <c r="D114" s="13" t="s">
        <v>164</v>
      </c>
      <c r="E114" s="90"/>
      <c r="F114" s="95" t="s">
        <v>126</v>
      </c>
      <c r="G114" s="90"/>
      <c r="H114" s="13" t="s">
        <v>361</v>
      </c>
      <c r="I114" s="13" t="s">
        <v>362</v>
      </c>
    </row>
    <row r="115" customFormat="false" ht="15" hidden="false" customHeight="false" outlineLevel="0" collapsed="false">
      <c r="A115" s="13" t="s">
        <v>92</v>
      </c>
      <c r="B115" s="13" t="s">
        <v>93</v>
      </c>
      <c r="C115" s="13" t="s">
        <v>363</v>
      </c>
      <c r="D115" s="13" t="s">
        <v>136</v>
      </c>
      <c r="E115" s="93" t="n">
        <f aca="false">Matrice!O57</f>
        <v>7</v>
      </c>
      <c r="F115" s="92" t="s">
        <v>125</v>
      </c>
      <c r="G115" s="90"/>
      <c r="H115" s="13" t="s">
        <v>364</v>
      </c>
      <c r="I115" s="13"/>
    </row>
    <row r="116" customFormat="false" ht="15" hidden="false" customHeight="false" outlineLevel="0" collapsed="false">
      <c r="A116" s="13" t="s">
        <v>92</v>
      </c>
      <c r="B116" s="13" t="s">
        <v>93</v>
      </c>
      <c r="C116" s="13" t="s">
        <v>365</v>
      </c>
      <c r="D116" s="13" t="s">
        <v>136</v>
      </c>
      <c r="E116" s="98" t="n">
        <f aca="false">Matrice!O58</f>
        <v>9</v>
      </c>
      <c r="F116" s="92" t="s">
        <v>125</v>
      </c>
      <c r="G116" s="90"/>
      <c r="H116" s="13" t="s">
        <v>366</v>
      </c>
      <c r="I116" s="13"/>
    </row>
    <row r="117" customFormat="false" ht="15" hidden="false" customHeight="false" outlineLevel="0" collapsed="false">
      <c r="A117" s="13" t="s">
        <v>92</v>
      </c>
      <c r="B117" s="13" t="s">
        <v>93</v>
      </c>
      <c r="C117" s="13" t="s">
        <v>367</v>
      </c>
      <c r="D117" s="13" t="s">
        <v>136</v>
      </c>
      <c r="E117" s="94" t="n">
        <f aca="false">Matrice!O59</f>
        <v>3</v>
      </c>
      <c r="F117" s="95" t="s">
        <v>126</v>
      </c>
      <c r="G117" s="96" t="s">
        <v>147</v>
      </c>
      <c r="H117" s="13" t="s">
        <v>368</v>
      </c>
      <c r="I117" s="13"/>
    </row>
    <row r="118" customFormat="false" ht="15" hidden="false" customHeight="false" outlineLevel="0" collapsed="false">
      <c r="A118" s="13" t="s">
        <v>92</v>
      </c>
      <c r="B118" s="13" t="s">
        <v>93</v>
      </c>
      <c r="C118" s="13" t="s">
        <v>369</v>
      </c>
      <c r="D118" s="13" t="s">
        <v>136</v>
      </c>
      <c r="E118" s="93" t="n">
        <f aca="false">Matrice!O60</f>
        <v>7</v>
      </c>
      <c r="F118" s="95" t="s">
        <v>126</v>
      </c>
      <c r="G118" s="90"/>
      <c r="H118" s="13" t="s">
        <v>370</v>
      </c>
      <c r="I118" s="13"/>
    </row>
    <row r="119" customFormat="false" ht="15" hidden="false" customHeight="false" outlineLevel="0" collapsed="false">
      <c r="A119" s="13" t="s">
        <v>92</v>
      </c>
      <c r="B119" s="13" t="s">
        <v>93</v>
      </c>
      <c r="C119" s="13" t="s">
        <v>371</v>
      </c>
      <c r="D119" s="13" t="s">
        <v>136</v>
      </c>
      <c r="E119" s="93" t="n">
        <f aca="false">Matrice!O61</f>
        <v>7</v>
      </c>
      <c r="F119" s="89" t="s">
        <v>127</v>
      </c>
      <c r="G119" s="90"/>
      <c r="H119" s="13" t="s">
        <v>372</v>
      </c>
      <c r="I119" s="13"/>
    </row>
    <row r="120" customFormat="false" ht="15" hidden="false" customHeight="false" outlineLevel="0" collapsed="false">
      <c r="A120" s="13" t="s">
        <v>92</v>
      </c>
      <c r="B120" s="13" t="s">
        <v>93</v>
      </c>
      <c r="C120" s="13" t="s">
        <v>373</v>
      </c>
      <c r="D120" s="13" t="s">
        <v>136</v>
      </c>
      <c r="E120" s="93" t="n">
        <f aca="false">Matrice!O62</f>
        <v>7</v>
      </c>
      <c r="F120" s="92" t="s">
        <v>125</v>
      </c>
      <c r="G120" s="90"/>
      <c r="H120" s="13" t="s">
        <v>374</v>
      </c>
      <c r="I120" s="13"/>
    </row>
    <row r="121" customFormat="false" ht="15" hidden="false" customHeight="false" outlineLevel="0" collapsed="false">
      <c r="A121" s="13" t="s">
        <v>92</v>
      </c>
      <c r="B121" s="13" t="s">
        <v>93</v>
      </c>
      <c r="C121" s="13" t="s">
        <v>375</v>
      </c>
      <c r="D121" s="13" t="s">
        <v>136</v>
      </c>
      <c r="E121" s="100" t="n">
        <f aca="false">Matrice!O63</f>
        <v>5</v>
      </c>
      <c r="F121" s="89" t="s">
        <v>127</v>
      </c>
      <c r="G121" s="96" t="s">
        <v>147</v>
      </c>
      <c r="H121" s="13" t="s">
        <v>376</v>
      </c>
      <c r="I121" s="13"/>
    </row>
    <row r="122" customFormat="false" ht="15" hidden="false" customHeight="false" outlineLevel="0" collapsed="false">
      <c r="A122" s="13" t="s">
        <v>92</v>
      </c>
      <c r="B122" s="13" t="s">
        <v>93</v>
      </c>
      <c r="C122" s="13" t="s">
        <v>377</v>
      </c>
      <c r="D122" s="13" t="s">
        <v>136</v>
      </c>
      <c r="E122" s="103" t="n">
        <f aca="false">Matrice!O64</f>
        <v>2</v>
      </c>
      <c r="F122" s="95" t="s">
        <v>126</v>
      </c>
      <c r="G122" s="96" t="s">
        <v>147</v>
      </c>
      <c r="H122" s="13" t="s">
        <v>378</v>
      </c>
      <c r="I122" s="13"/>
    </row>
    <row r="123" customFormat="false" ht="15" hidden="false" customHeight="false" outlineLevel="0" collapsed="false">
      <c r="A123" s="13" t="s">
        <v>92</v>
      </c>
      <c r="B123" s="13" t="s">
        <v>93</v>
      </c>
      <c r="C123" s="13" t="s">
        <v>379</v>
      </c>
      <c r="D123" s="13" t="s">
        <v>136</v>
      </c>
      <c r="E123" s="88" t="n">
        <f aca="false">Matrice!O65</f>
        <v>4</v>
      </c>
      <c r="F123" s="89" t="s">
        <v>127</v>
      </c>
      <c r="G123" s="90"/>
      <c r="H123" s="13" t="s">
        <v>380</v>
      </c>
      <c r="I123" s="13"/>
    </row>
    <row r="124" customFormat="false" ht="15" hidden="false" customHeight="false" outlineLevel="0" collapsed="false">
      <c r="A124" s="13" t="s">
        <v>92</v>
      </c>
      <c r="B124" s="13" t="s">
        <v>93</v>
      </c>
      <c r="C124" s="13" t="s">
        <v>381</v>
      </c>
      <c r="D124" s="13" t="s">
        <v>164</v>
      </c>
      <c r="E124" s="90"/>
      <c r="F124" s="95" t="s">
        <v>126</v>
      </c>
      <c r="G124" s="96" t="s">
        <v>147</v>
      </c>
      <c r="H124" s="13" t="s">
        <v>382</v>
      </c>
      <c r="I124" s="13" t="s">
        <v>383</v>
      </c>
    </row>
    <row r="125" customFormat="false" ht="15" hidden="false" customHeight="false" outlineLevel="0" collapsed="false">
      <c r="A125" s="13" t="s">
        <v>92</v>
      </c>
      <c r="B125" s="13" t="s">
        <v>93</v>
      </c>
      <c r="C125" s="13" t="s">
        <v>384</v>
      </c>
      <c r="D125" s="13" t="s">
        <v>164</v>
      </c>
      <c r="E125" s="90"/>
      <c r="F125" s="95" t="s">
        <v>126</v>
      </c>
      <c r="G125" s="90"/>
      <c r="H125" s="13" t="s">
        <v>385</v>
      </c>
      <c r="I125" s="13" t="s">
        <v>172</v>
      </c>
    </row>
    <row r="126" customFormat="false" ht="15" hidden="false" customHeight="false" outlineLevel="0" collapsed="false">
      <c r="A126" s="13" t="s">
        <v>92</v>
      </c>
      <c r="B126" s="13" t="s">
        <v>93</v>
      </c>
      <c r="C126" s="13" t="s">
        <v>386</v>
      </c>
      <c r="D126" s="13" t="s">
        <v>164</v>
      </c>
      <c r="E126" s="90"/>
      <c r="F126" s="89" t="s">
        <v>127</v>
      </c>
      <c r="G126" s="90"/>
      <c r="H126" s="13" t="s">
        <v>387</v>
      </c>
      <c r="I126" s="13" t="s">
        <v>388</v>
      </c>
    </row>
    <row r="127" customFormat="false" ht="15" hidden="false" customHeight="false" outlineLevel="0" collapsed="false">
      <c r="A127" s="13" t="s">
        <v>92</v>
      </c>
      <c r="B127" s="13" t="s">
        <v>93</v>
      </c>
      <c r="C127" s="13" t="s">
        <v>389</v>
      </c>
      <c r="D127" s="13" t="s">
        <v>164</v>
      </c>
      <c r="E127" s="90"/>
      <c r="F127" s="95" t="s">
        <v>126</v>
      </c>
      <c r="G127" s="90"/>
      <c r="H127" s="13" t="s">
        <v>390</v>
      </c>
      <c r="I127" s="13" t="s">
        <v>391</v>
      </c>
    </row>
    <row r="128" customFormat="false" ht="15" hidden="false" customHeight="false" outlineLevel="0" collapsed="false">
      <c r="A128" s="13" t="s">
        <v>92</v>
      </c>
      <c r="B128" s="13" t="s">
        <v>93</v>
      </c>
      <c r="C128" s="13" t="s">
        <v>392</v>
      </c>
      <c r="D128" s="13" t="s">
        <v>164</v>
      </c>
      <c r="E128" s="90"/>
      <c r="F128" s="89" t="s">
        <v>127</v>
      </c>
      <c r="G128" s="90"/>
      <c r="H128" s="13" t="s">
        <v>168</v>
      </c>
      <c r="I128" s="13" t="s">
        <v>201</v>
      </c>
    </row>
    <row r="129" customFormat="false" ht="15" hidden="false" customHeight="false" outlineLevel="0" collapsed="false">
      <c r="A129" s="13" t="s">
        <v>92</v>
      </c>
      <c r="B129" s="13" t="s">
        <v>93</v>
      </c>
      <c r="C129" s="13" t="s">
        <v>393</v>
      </c>
      <c r="D129" s="13" t="s">
        <v>164</v>
      </c>
      <c r="E129" s="90"/>
      <c r="F129" s="95" t="s">
        <v>126</v>
      </c>
      <c r="G129" s="90"/>
      <c r="H129" s="13" t="s">
        <v>394</v>
      </c>
      <c r="I129" s="13" t="s">
        <v>63</v>
      </c>
    </row>
    <row r="130" customFormat="false" ht="15" hidden="false" customHeight="false" outlineLevel="0" collapsed="false">
      <c r="A130" s="13" t="s">
        <v>92</v>
      </c>
      <c r="B130" s="13" t="s">
        <v>93</v>
      </c>
      <c r="C130" s="13" t="s">
        <v>395</v>
      </c>
      <c r="D130" s="13" t="s">
        <v>164</v>
      </c>
      <c r="E130" s="90"/>
      <c r="F130" s="95" t="s">
        <v>126</v>
      </c>
      <c r="G130" s="90"/>
      <c r="H130" s="13" t="s">
        <v>396</v>
      </c>
      <c r="I130" s="13" t="s">
        <v>63</v>
      </c>
    </row>
    <row r="131" customFormat="false" ht="15" hidden="false" customHeight="false" outlineLevel="0" collapsed="false">
      <c r="A131" s="13" t="s">
        <v>92</v>
      </c>
      <c r="B131" s="13" t="s">
        <v>93</v>
      </c>
      <c r="C131" s="13" t="s">
        <v>397</v>
      </c>
      <c r="D131" s="13" t="s">
        <v>164</v>
      </c>
      <c r="E131" s="90"/>
      <c r="F131" s="95" t="s">
        <v>126</v>
      </c>
      <c r="G131" s="90"/>
      <c r="H131" s="13" t="s">
        <v>398</v>
      </c>
      <c r="I131" s="13" t="s">
        <v>399</v>
      </c>
    </row>
    <row r="132" customFormat="false" ht="23.85" hidden="false" customHeight="false" outlineLevel="0" collapsed="false">
      <c r="A132" s="13" t="s">
        <v>92</v>
      </c>
      <c r="B132" s="13" t="s">
        <v>93</v>
      </c>
      <c r="C132" s="13" t="s">
        <v>400</v>
      </c>
      <c r="D132" s="13" t="s">
        <v>164</v>
      </c>
      <c r="E132" s="90"/>
      <c r="F132" s="95" t="s">
        <v>126</v>
      </c>
      <c r="G132" s="90"/>
      <c r="H132" s="13" t="s">
        <v>401</v>
      </c>
      <c r="I132" s="13" t="s">
        <v>63</v>
      </c>
    </row>
    <row r="133" customFormat="false" ht="15" hidden="false" customHeight="false" outlineLevel="0" collapsed="false">
      <c r="A133" s="13" t="s">
        <v>92</v>
      </c>
      <c r="B133" s="13" t="s">
        <v>93</v>
      </c>
      <c r="C133" s="13" t="s">
        <v>402</v>
      </c>
      <c r="D133" s="13" t="s">
        <v>164</v>
      </c>
      <c r="E133" s="90"/>
      <c r="F133" s="92" t="s">
        <v>125</v>
      </c>
      <c r="G133" s="90"/>
      <c r="H133" s="13" t="s">
        <v>403</v>
      </c>
      <c r="I133" s="13" t="s">
        <v>241</v>
      </c>
    </row>
    <row r="134" customFormat="false" ht="15" hidden="false" customHeight="false" outlineLevel="0" collapsed="false">
      <c r="A134" s="13" t="s">
        <v>92</v>
      </c>
      <c r="B134" s="13" t="s">
        <v>94</v>
      </c>
      <c r="C134" s="13" t="s">
        <v>404</v>
      </c>
      <c r="D134" s="13" t="s">
        <v>136</v>
      </c>
      <c r="E134" s="103" t="n">
        <f aca="false">Matrice!O66</f>
        <v>2</v>
      </c>
      <c r="F134" s="95" t="s">
        <v>126</v>
      </c>
      <c r="G134" s="96" t="s">
        <v>147</v>
      </c>
      <c r="H134" s="13" t="s">
        <v>405</v>
      </c>
      <c r="I134" s="13"/>
    </row>
    <row r="135" customFormat="false" ht="15" hidden="false" customHeight="false" outlineLevel="0" collapsed="false">
      <c r="A135" s="13" t="s">
        <v>92</v>
      </c>
      <c r="B135" s="13" t="s">
        <v>94</v>
      </c>
      <c r="C135" s="13" t="s">
        <v>406</v>
      </c>
      <c r="D135" s="13" t="s">
        <v>136</v>
      </c>
      <c r="E135" s="94" t="n">
        <f aca="false">Matrice!O67</f>
        <v>3</v>
      </c>
      <c r="F135" s="95" t="s">
        <v>126</v>
      </c>
      <c r="G135" s="96" t="s">
        <v>147</v>
      </c>
      <c r="H135" s="13" t="s">
        <v>407</v>
      </c>
      <c r="I135" s="13"/>
    </row>
    <row r="136" customFormat="false" ht="15" hidden="false" customHeight="false" outlineLevel="0" collapsed="false">
      <c r="A136" s="13" t="s">
        <v>92</v>
      </c>
      <c r="B136" s="13" t="s">
        <v>94</v>
      </c>
      <c r="C136" s="13" t="s">
        <v>408</v>
      </c>
      <c r="D136" s="13" t="s">
        <v>136</v>
      </c>
      <c r="E136" s="104" t="n">
        <f aca="false">Matrice!O68</f>
        <v>1</v>
      </c>
      <c r="F136" s="89" t="s">
        <v>127</v>
      </c>
      <c r="G136" s="96" t="s">
        <v>147</v>
      </c>
      <c r="H136" s="13" t="s">
        <v>345</v>
      </c>
      <c r="I136" s="13"/>
    </row>
    <row r="137" customFormat="false" ht="15" hidden="false" customHeight="false" outlineLevel="0" collapsed="false">
      <c r="A137" s="13" t="s">
        <v>92</v>
      </c>
      <c r="B137" s="13" t="s">
        <v>94</v>
      </c>
      <c r="C137" s="13" t="s">
        <v>409</v>
      </c>
      <c r="D137" s="13" t="s">
        <v>136</v>
      </c>
      <c r="E137" s="103" t="n">
        <f aca="false">Matrice!O69</f>
        <v>2</v>
      </c>
      <c r="F137" s="89" t="s">
        <v>127</v>
      </c>
      <c r="G137" s="96" t="s">
        <v>147</v>
      </c>
      <c r="H137" s="13" t="s">
        <v>410</v>
      </c>
      <c r="I137" s="13"/>
    </row>
    <row r="138" customFormat="false" ht="15" hidden="false" customHeight="false" outlineLevel="0" collapsed="false">
      <c r="A138" s="13" t="s">
        <v>92</v>
      </c>
      <c r="B138" s="13" t="s">
        <v>94</v>
      </c>
      <c r="C138" s="13" t="s">
        <v>411</v>
      </c>
      <c r="D138" s="13" t="s">
        <v>136</v>
      </c>
      <c r="E138" s="88" t="n">
        <f aca="false">Matrice!O70</f>
        <v>4</v>
      </c>
      <c r="F138" s="95" t="s">
        <v>126</v>
      </c>
      <c r="G138" s="96" t="s">
        <v>147</v>
      </c>
      <c r="H138" s="13" t="s">
        <v>412</v>
      </c>
      <c r="I138" s="13"/>
    </row>
    <row r="139" customFormat="false" ht="23.85" hidden="false" customHeight="false" outlineLevel="0" collapsed="false">
      <c r="A139" s="13" t="s">
        <v>92</v>
      </c>
      <c r="B139" s="13" t="s">
        <v>94</v>
      </c>
      <c r="C139" s="13" t="s">
        <v>413</v>
      </c>
      <c r="D139" s="13" t="s">
        <v>136</v>
      </c>
      <c r="E139" s="88" t="n">
        <f aca="false">Matrice!O71</f>
        <v>4</v>
      </c>
      <c r="F139" s="89" t="s">
        <v>127</v>
      </c>
      <c r="G139" s="96" t="s">
        <v>147</v>
      </c>
      <c r="H139" s="13" t="s">
        <v>414</v>
      </c>
      <c r="I139" s="13"/>
    </row>
    <row r="140" customFormat="false" ht="15" hidden="false" customHeight="false" outlineLevel="0" collapsed="false">
      <c r="A140" s="13" t="s">
        <v>92</v>
      </c>
      <c r="B140" s="13" t="s">
        <v>94</v>
      </c>
      <c r="C140" s="13" t="s">
        <v>415</v>
      </c>
      <c r="D140" s="13" t="s">
        <v>164</v>
      </c>
      <c r="E140" s="90"/>
      <c r="F140" s="89" t="s">
        <v>127</v>
      </c>
      <c r="G140" s="96" t="s">
        <v>147</v>
      </c>
      <c r="H140" s="13" t="s">
        <v>416</v>
      </c>
      <c r="I140" s="13" t="s">
        <v>417</v>
      </c>
    </row>
    <row r="141" customFormat="false" ht="15" hidden="false" customHeight="false" outlineLevel="0" collapsed="false">
      <c r="A141" s="13" t="s">
        <v>92</v>
      </c>
      <c r="B141" s="13" t="s">
        <v>94</v>
      </c>
      <c r="C141" s="13" t="s">
        <v>418</v>
      </c>
      <c r="D141" s="13" t="s">
        <v>164</v>
      </c>
      <c r="E141" s="90"/>
      <c r="F141" s="89" t="s">
        <v>127</v>
      </c>
      <c r="G141" s="90"/>
      <c r="H141" s="13" t="s">
        <v>419</v>
      </c>
      <c r="I141" s="13" t="s">
        <v>63</v>
      </c>
    </row>
    <row r="142" customFormat="false" ht="15" hidden="false" customHeight="false" outlineLevel="0" collapsed="false">
      <c r="A142" s="13" t="s">
        <v>92</v>
      </c>
      <c r="B142" s="13" t="s">
        <v>95</v>
      </c>
      <c r="C142" s="13" t="s">
        <v>420</v>
      </c>
      <c r="D142" s="13" t="s">
        <v>136</v>
      </c>
      <c r="E142" s="94" t="n">
        <f aca="false">Matrice!O72</f>
        <v>3</v>
      </c>
      <c r="F142" s="95" t="s">
        <v>126</v>
      </c>
      <c r="G142" s="96" t="s">
        <v>147</v>
      </c>
      <c r="H142" s="13" t="s">
        <v>421</v>
      </c>
      <c r="I142" s="13"/>
    </row>
    <row r="143" customFormat="false" ht="15" hidden="false" customHeight="false" outlineLevel="0" collapsed="false">
      <c r="A143" s="13" t="s">
        <v>92</v>
      </c>
      <c r="B143" s="13" t="s">
        <v>95</v>
      </c>
      <c r="C143" s="13" t="s">
        <v>422</v>
      </c>
      <c r="D143" s="13" t="s">
        <v>136</v>
      </c>
      <c r="E143" s="103" t="n">
        <f aca="false">Matrice!O73</f>
        <v>2</v>
      </c>
      <c r="F143" s="89" t="s">
        <v>127</v>
      </c>
      <c r="G143" s="96" t="s">
        <v>147</v>
      </c>
      <c r="H143" s="13" t="s">
        <v>423</v>
      </c>
      <c r="I143" s="13"/>
    </row>
    <row r="144" customFormat="false" ht="15" hidden="false" customHeight="false" outlineLevel="0" collapsed="false">
      <c r="A144" s="13" t="s">
        <v>92</v>
      </c>
      <c r="B144" s="13" t="s">
        <v>95</v>
      </c>
      <c r="C144" s="13" t="s">
        <v>424</v>
      </c>
      <c r="D144" s="13" t="s">
        <v>136</v>
      </c>
      <c r="E144" s="98" t="n">
        <f aca="false">Matrice!O74</f>
        <v>9</v>
      </c>
      <c r="F144" s="92" t="s">
        <v>125</v>
      </c>
      <c r="G144" s="90"/>
      <c r="H144" s="13" t="s">
        <v>425</v>
      </c>
      <c r="I144" s="13"/>
    </row>
    <row r="145" customFormat="false" ht="15" hidden="false" customHeight="false" outlineLevel="0" collapsed="false">
      <c r="A145" s="13" t="s">
        <v>92</v>
      </c>
      <c r="B145" s="13" t="s">
        <v>95</v>
      </c>
      <c r="C145" s="13" t="s">
        <v>426</v>
      </c>
      <c r="D145" s="13" t="s">
        <v>136</v>
      </c>
      <c r="E145" s="88" t="n">
        <f aca="false">Matrice!O75</f>
        <v>4</v>
      </c>
      <c r="F145" s="101" t="s">
        <v>128</v>
      </c>
      <c r="G145" s="90"/>
      <c r="H145" s="13" t="s">
        <v>427</v>
      </c>
      <c r="I145" s="13"/>
    </row>
    <row r="146" customFormat="false" ht="15" hidden="false" customHeight="false" outlineLevel="0" collapsed="false">
      <c r="A146" s="13" t="s">
        <v>92</v>
      </c>
      <c r="B146" s="13" t="s">
        <v>95</v>
      </c>
      <c r="C146" s="13" t="s">
        <v>428</v>
      </c>
      <c r="D146" s="13" t="s">
        <v>136</v>
      </c>
      <c r="E146" s="94" t="n">
        <f aca="false">Matrice!O76</f>
        <v>3</v>
      </c>
      <c r="F146" s="95" t="s">
        <v>126</v>
      </c>
      <c r="G146" s="96" t="s">
        <v>147</v>
      </c>
      <c r="H146" s="13" t="s">
        <v>429</v>
      </c>
      <c r="I146" s="13"/>
    </row>
    <row r="147" customFormat="false" ht="15" hidden="false" customHeight="false" outlineLevel="0" collapsed="false">
      <c r="A147" s="13" t="s">
        <v>96</v>
      </c>
      <c r="B147" s="13" t="s">
        <v>97</v>
      </c>
      <c r="C147" s="13" t="s">
        <v>430</v>
      </c>
      <c r="D147" s="13" t="s">
        <v>136</v>
      </c>
      <c r="E147" s="98" t="n">
        <f aca="false">Matrice!O77</f>
        <v>9</v>
      </c>
      <c r="F147" s="92" t="s">
        <v>125</v>
      </c>
      <c r="G147" s="96" t="s">
        <v>147</v>
      </c>
      <c r="H147" s="13" t="s">
        <v>431</v>
      </c>
      <c r="I147" s="13"/>
    </row>
    <row r="148" customFormat="false" ht="15" hidden="false" customHeight="false" outlineLevel="0" collapsed="false">
      <c r="A148" s="13" t="s">
        <v>96</v>
      </c>
      <c r="B148" s="13" t="s">
        <v>97</v>
      </c>
      <c r="C148" s="13" t="s">
        <v>432</v>
      </c>
      <c r="D148" s="13" t="s">
        <v>136</v>
      </c>
      <c r="E148" s="91" t="n">
        <f aca="false">Matrice!O78</f>
        <v>8</v>
      </c>
      <c r="F148" s="92" t="s">
        <v>125</v>
      </c>
      <c r="G148" s="90"/>
      <c r="H148" s="13" t="s">
        <v>433</v>
      </c>
      <c r="I148" s="13"/>
    </row>
    <row r="149" customFormat="false" ht="15" hidden="false" customHeight="false" outlineLevel="0" collapsed="false">
      <c r="A149" s="13" t="s">
        <v>96</v>
      </c>
      <c r="B149" s="13" t="s">
        <v>97</v>
      </c>
      <c r="C149" s="13" t="s">
        <v>434</v>
      </c>
      <c r="D149" s="13" t="s">
        <v>136</v>
      </c>
      <c r="E149" s="104" t="n">
        <f aca="false">Matrice!O79</f>
        <v>1</v>
      </c>
      <c r="F149" s="95" t="s">
        <v>126</v>
      </c>
      <c r="G149" s="96" t="s">
        <v>147</v>
      </c>
      <c r="H149" s="13" t="s">
        <v>435</v>
      </c>
      <c r="I149" s="13"/>
    </row>
    <row r="150" customFormat="false" ht="15" hidden="false" customHeight="false" outlineLevel="0" collapsed="false">
      <c r="A150" s="13" t="s">
        <v>96</v>
      </c>
      <c r="B150" s="13" t="s">
        <v>97</v>
      </c>
      <c r="C150" s="13" t="s">
        <v>436</v>
      </c>
      <c r="D150" s="13" t="s">
        <v>136</v>
      </c>
      <c r="E150" s="93" t="n">
        <f aca="false">Matrice!O80</f>
        <v>7</v>
      </c>
      <c r="F150" s="92" t="s">
        <v>125</v>
      </c>
      <c r="G150" s="90"/>
      <c r="H150" s="13" t="s">
        <v>437</v>
      </c>
      <c r="I150" s="13"/>
    </row>
    <row r="151" customFormat="false" ht="15" hidden="false" customHeight="false" outlineLevel="0" collapsed="false">
      <c r="A151" s="13" t="s">
        <v>96</v>
      </c>
      <c r="B151" s="13" t="s">
        <v>97</v>
      </c>
      <c r="C151" s="13" t="s">
        <v>438</v>
      </c>
      <c r="D151" s="13" t="s">
        <v>136</v>
      </c>
      <c r="E151" s="93" t="n">
        <f aca="false">Matrice!O81</f>
        <v>7</v>
      </c>
      <c r="F151" s="95" t="s">
        <v>126</v>
      </c>
      <c r="G151" s="90"/>
      <c r="H151" s="13" t="s">
        <v>439</v>
      </c>
      <c r="I151" s="13"/>
    </row>
    <row r="152" customFormat="false" ht="15" hidden="false" customHeight="false" outlineLevel="0" collapsed="false">
      <c r="A152" s="13" t="s">
        <v>96</v>
      </c>
      <c r="B152" s="13" t="s">
        <v>97</v>
      </c>
      <c r="C152" s="13" t="s">
        <v>440</v>
      </c>
      <c r="D152" s="13" t="s">
        <v>136</v>
      </c>
      <c r="E152" s="88" t="n">
        <f aca="false">Matrice!O82</f>
        <v>4</v>
      </c>
      <c r="F152" s="89" t="s">
        <v>127</v>
      </c>
      <c r="G152" s="90"/>
      <c r="H152" s="13" t="s">
        <v>441</v>
      </c>
      <c r="I152" s="13"/>
    </row>
    <row r="153" customFormat="false" ht="15" hidden="false" customHeight="false" outlineLevel="0" collapsed="false">
      <c r="A153" s="13" t="s">
        <v>96</v>
      </c>
      <c r="B153" s="13" t="s">
        <v>97</v>
      </c>
      <c r="C153" s="13" t="s">
        <v>442</v>
      </c>
      <c r="D153" s="13" t="s">
        <v>136</v>
      </c>
      <c r="E153" s="91" t="n">
        <f aca="false">Matrice!O83</f>
        <v>8</v>
      </c>
      <c r="F153" s="89" t="s">
        <v>127</v>
      </c>
      <c r="G153" s="90"/>
      <c r="H153" s="13" t="s">
        <v>443</v>
      </c>
      <c r="I153" s="13"/>
    </row>
    <row r="154" customFormat="false" ht="15" hidden="false" customHeight="false" outlineLevel="0" collapsed="false">
      <c r="A154" s="13" t="s">
        <v>96</v>
      </c>
      <c r="B154" s="13" t="s">
        <v>97</v>
      </c>
      <c r="C154" s="13" t="s">
        <v>444</v>
      </c>
      <c r="D154" s="13" t="s">
        <v>164</v>
      </c>
      <c r="E154" s="90"/>
      <c r="F154" s="89" t="s">
        <v>127</v>
      </c>
      <c r="G154" s="90"/>
      <c r="H154" s="13" t="s">
        <v>168</v>
      </c>
      <c r="I154" s="13" t="s">
        <v>359</v>
      </c>
    </row>
    <row r="155" customFormat="false" ht="15" hidden="false" customHeight="false" outlineLevel="0" collapsed="false">
      <c r="A155" s="13" t="s">
        <v>96</v>
      </c>
      <c r="B155" s="13" t="s">
        <v>97</v>
      </c>
      <c r="C155" s="13" t="s">
        <v>445</v>
      </c>
      <c r="D155" s="13" t="s">
        <v>164</v>
      </c>
      <c r="E155" s="90"/>
      <c r="F155" s="101" t="s">
        <v>128</v>
      </c>
      <c r="G155" s="90"/>
      <c r="H155" s="13" t="s">
        <v>446</v>
      </c>
      <c r="I155" s="13" t="s">
        <v>359</v>
      </c>
    </row>
    <row r="156" customFormat="false" ht="15" hidden="false" customHeight="false" outlineLevel="0" collapsed="false">
      <c r="A156" s="13" t="s">
        <v>96</v>
      </c>
      <c r="B156" s="13" t="s">
        <v>97</v>
      </c>
      <c r="C156" s="13" t="s">
        <v>447</v>
      </c>
      <c r="D156" s="13" t="s">
        <v>164</v>
      </c>
      <c r="E156" s="90"/>
      <c r="F156" s="95" t="s">
        <v>126</v>
      </c>
      <c r="G156" s="90"/>
      <c r="H156" s="13" t="s">
        <v>448</v>
      </c>
      <c r="I156" s="13" t="s">
        <v>449</v>
      </c>
    </row>
    <row r="157" customFormat="false" ht="15" hidden="false" customHeight="false" outlineLevel="0" collapsed="false">
      <c r="A157" s="13" t="s">
        <v>96</v>
      </c>
      <c r="B157" s="13" t="s">
        <v>97</v>
      </c>
      <c r="C157" s="13" t="s">
        <v>450</v>
      </c>
      <c r="D157" s="13" t="s">
        <v>164</v>
      </c>
      <c r="E157" s="90"/>
      <c r="F157" s="92" t="s">
        <v>125</v>
      </c>
      <c r="G157" s="90"/>
      <c r="H157" s="13" t="s">
        <v>451</v>
      </c>
      <c r="I157" s="13" t="s">
        <v>449</v>
      </c>
    </row>
    <row r="158" customFormat="false" ht="15" hidden="false" customHeight="false" outlineLevel="0" collapsed="false">
      <c r="A158" s="13" t="s">
        <v>96</v>
      </c>
      <c r="B158" s="13" t="s">
        <v>97</v>
      </c>
      <c r="C158" s="13" t="s">
        <v>452</v>
      </c>
      <c r="D158" s="13" t="s">
        <v>164</v>
      </c>
      <c r="E158" s="90"/>
      <c r="F158" s="95" t="s">
        <v>126</v>
      </c>
      <c r="G158" s="90"/>
      <c r="H158" s="13" t="s">
        <v>433</v>
      </c>
      <c r="I158" s="13" t="s">
        <v>39</v>
      </c>
    </row>
    <row r="159" customFormat="false" ht="15" hidden="false" customHeight="false" outlineLevel="0" collapsed="false">
      <c r="A159" s="13" t="s">
        <v>96</v>
      </c>
      <c r="B159" s="13" t="s">
        <v>97</v>
      </c>
      <c r="C159" s="13" t="s">
        <v>453</v>
      </c>
      <c r="D159" s="13" t="s">
        <v>164</v>
      </c>
      <c r="E159" s="90"/>
      <c r="F159" s="89" t="s">
        <v>127</v>
      </c>
      <c r="G159" s="90"/>
      <c r="H159" s="13" t="s">
        <v>168</v>
      </c>
      <c r="I159" s="13" t="s">
        <v>201</v>
      </c>
    </row>
    <row r="160" customFormat="false" ht="15" hidden="false" customHeight="false" outlineLevel="0" collapsed="false">
      <c r="A160" s="13" t="s">
        <v>96</v>
      </c>
      <c r="B160" s="13" t="s">
        <v>98</v>
      </c>
      <c r="C160" s="13" t="s">
        <v>454</v>
      </c>
      <c r="D160" s="13" t="s">
        <v>136</v>
      </c>
      <c r="E160" s="100" t="n">
        <f aca="false">Matrice!O84</f>
        <v>5</v>
      </c>
      <c r="F160" s="92" t="s">
        <v>125</v>
      </c>
      <c r="G160" s="90"/>
      <c r="H160" s="13" t="s">
        <v>455</v>
      </c>
      <c r="I160" s="13"/>
    </row>
    <row r="161" customFormat="false" ht="15" hidden="false" customHeight="false" outlineLevel="0" collapsed="false">
      <c r="A161" s="13" t="s">
        <v>96</v>
      </c>
      <c r="B161" s="13" t="s">
        <v>98</v>
      </c>
      <c r="C161" s="13" t="s">
        <v>456</v>
      </c>
      <c r="D161" s="13" t="s">
        <v>136</v>
      </c>
      <c r="E161" s="98" t="n">
        <f aca="false">Matrice!O85</f>
        <v>9</v>
      </c>
      <c r="F161" s="92" t="s">
        <v>125</v>
      </c>
      <c r="G161" s="90"/>
      <c r="H161" s="13" t="s">
        <v>457</v>
      </c>
      <c r="I161" s="13"/>
    </row>
    <row r="162" customFormat="false" ht="15" hidden="false" customHeight="false" outlineLevel="0" collapsed="false">
      <c r="A162" s="13" t="s">
        <v>96</v>
      </c>
      <c r="B162" s="13" t="s">
        <v>98</v>
      </c>
      <c r="C162" s="13" t="s">
        <v>458</v>
      </c>
      <c r="D162" s="13" t="s">
        <v>136</v>
      </c>
      <c r="E162" s="91" t="n">
        <f aca="false">Matrice!O86</f>
        <v>8</v>
      </c>
      <c r="F162" s="92" t="s">
        <v>125</v>
      </c>
      <c r="G162" s="90"/>
      <c r="H162" s="13" t="s">
        <v>459</v>
      </c>
      <c r="I162" s="13"/>
    </row>
    <row r="163" customFormat="false" ht="15" hidden="false" customHeight="false" outlineLevel="0" collapsed="false">
      <c r="A163" s="13" t="s">
        <v>96</v>
      </c>
      <c r="B163" s="13" t="s">
        <v>98</v>
      </c>
      <c r="C163" s="13" t="s">
        <v>460</v>
      </c>
      <c r="D163" s="13" t="s">
        <v>136</v>
      </c>
      <c r="E163" s="93" t="n">
        <f aca="false">Matrice!O87</f>
        <v>7</v>
      </c>
      <c r="F163" s="92" t="s">
        <v>125</v>
      </c>
      <c r="G163" s="90"/>
      <c r="H163" s="13" t="s">
        <v>461</v>
      </c>
      <c r="I163" s="13"/>
    </row>
    <row r="164" customFormat="false" ht="15" hidden="false" customHeight="false" outlineLevel="0" collapsed="false">
      <c r="A164" s="13" t="s">
        <v>96</v>
      </c>
      <c r="B164" s="13" t="s">
        <v>98</v>
      </c>
      <c r="C164" s="13" t="s">
        <v>462</v>
      </c>
      <c r="D164" s="13" t="s">
        <v>136</v>
      </c>
      <c r="E164" s="88" t="n">
        <f aca="false">Matrice!O88</f>
        <v>4</v>
      </c>
      <c r="F164" s="92" t="s">
        <v>125</v>
      </c>
      <c r="G164" s="96" t="s">
        <v>147</v>
      </c>
      <c r="H164" s="13" t="s">
        <v>463</v>
      </c>
      <c r="I164" s="13"/>
    </row>
    <row r="165" customFormat="false" ht="15" hidden="false" customHeight="false" outlineLevel="0" collapsed="false">
      <c r="A165" s="13" t="s">
        <v>96</v>
      </c>
      <c r="B165" s="13" t="s">
        <v>98</v>
      </c>
      <c r="C165" s="13" t="s">
        <v>464</v>
      </c>
      <c r="D165" s="13" t="s">
        <v>136</v>
      </c>
      <c r="E165" s="103" t="n">
        <f aca="false">Matrice!O89</f>
        <v>2</v>
      </c>
      <c r="F165" s="92" t="s">
        <v>125</v>
      </c>
      <c r="G165" s="96" t="s">
        <v>147</v>
      </c>
      <c r="H165" s="13" t="s">
        <v>465</v>
      </c>
      <c r="I165" s="13"/>
    </row>
    <row r="166" customFormat="false" ht="15" hidden="false" customHeight="false" outlineLevel="0" collapsed="false">
      <c r="A166" s="13" t="s">
        <v>96</v>
      </c>
      <c r="B166" s="13" t="s">
        <v>98</v>
      </c>
      <c r="C166" s="13" t="s">
        <v>466</v>
      </c>
      <c r="D166" s="13" t="s">
        <v>136</v>
      </c>
      <c r="E166" s="94" t="n">
        <f aca="false">Matrice!O90</f>
        <v>3</v>
      </c>
      <c r="F166" s="95" t="s">
        <v>126</v>
      </c>
      <c r="G166" s="96" t="s">
        <v>147</v>
      </c>
      <c r="H166" s="13" t="s">
        <v>467</v>
      </c>
      <c r="I166" s="13"/>
    </row>
    <row r="167" customFormat="false" ht="15" hidden="false" customHeight="false" outlineLevel="0" collapsed="false">
      <c r="A167" s="13" t="s">
        <v>96</v>
      </c>
      <c r="B167" s="13" t="s">
        <v>98</v>
      </c>
      <c r="C167" s="13" t="s">
        <v>468</v>
      </c>
      <c r="D167" s="13" t="s">
        <v>136</v>
      </c>
      <c r="E167" s="100" t="n">
        <f aca="false">Matrice!O91</f>
        <v>5</v>
      </c>
      <c r="F167" s="92" t="s">
        <v>125</v>
      </c>
      <c r="G167" s="90"/>
      <c r="H167" s="13" t="s">
        <v>469</v>
      </c>
      <c r="I167" s="13"/>
    </row>
    <row r="168" customFormat="false" ht="15" hidden="false" customHeight="false" outlineLevel="0" collapsed="false">
      <c r="A168" s="13" t="s">
        <v>96</v>
      </c>
      <c r="B168" s="13" t="s">
        <v>98</v>
      </c>
      <c r="C168" s="13" t="s">
        <v>470</v>
      </c>
      <c r="D168" s="13" t="s">
        <v>136</v>
      </c>
      <c r="E168" s="100" t="n">
        <f aca="false">Matrice!O92</f>
        <v>5</v>
      </c>
      <c r="F168" s="92" t="s">
        <v>125</v>
      </c>
      <c r="G168" s="90"/>
      <c r="H168" s="13" t="s">
        <v>471</v>
      </c>
      <c r="I168" s="13"/>
    </row>
    <row r="169" customFormat="false" ht="15" hidden="false" customHeight="false" outlineLevel="0" collapsed="false">
      <c r="A169" s="13" t="s">
        <v>96</v>
      </c>
      <c r="B169" s="13" t="s">
        <v>99</v>
      </c>
      <c r="C169" s="13" t="s">
        <v>472</v>
      </c>
      <c r="D169" s="13" t="s">
        <v>136</v>
      </c>
      <c r="E169" s="100" t="n">
        <f aca="false">Matrice!O94</f>
        <v>5</v>
      </c>
      <c r="F169" s="95" t="s">
        <v>126</v>
      </c>
      <c r="G169" s="90"/>
      <c r="H169" s="13" t="s">
        <v>473</v>
      </c>
      <c r="I169" s="13"/>
    </row>
    <row r="170" customFormat="false" ht="15" hidden="false" customHeight="false" outlineLevel="0" collapsed="false">
      <c r="A170" s="13" t="s">
        <v>96</v>
      </c>
      <c r="B170" s="13" t="s">
        <v>99</v>
      </c>
      <c r="C170" s="13" t="s">
        <v>474</v>
      </c>
      <c r="D170" s="13" t="s">
        <v>136</v>
      </c>
      <c r="E170" s="98" t="n">
        <f aca="false">Matrice!O95</f>
        <v>9</v>
      </c>
      <c r="F170" s="92" t="s">
        <v>125</v>
      </c>
      <c r="G170" s="90"/>
      <c r="H170" s="13" t="s">
        <v>475</v>
      </c>
      <c r="I170" s="13"/>
    </row>
    <row r="171" customFormat="false" ht="15" hidden="false" customHeight="false" outlineLevel="0" collapsed="false">
      <c r="A171" s="13" t="s">
        <v>96</v>
      </c>
      <c r="B171" s="13" t="s">
        <v>99</v>
      </c>
      <c r="C171" s="13" t="s">
        <v>476</v>
      </c>
      <c r="D171" s="13" t="s">
        <v>136</v>
      </c>
      <c r="E171" s="98" t="n">
        <f aca="false">Matrice!O96</f>
        <v>9</v>
      </c>
      <c r="F171" s="92" t="s">
        <v>125</v>
      </c>
      <c r="G171" s="90"/>
      <c r="H171" s="13" t="s">
        <v>477</v>
      </c>
      <c r="I171" s="13"/>
    </row>
    <row r="172" customFormat="false" ht="15" hidden="false" customHeight="false" outlineLevel="0" collapsed="false">
      <c r="A172" s="13" t="s">
        <v>96</v>
      </c>
      <c r="B172" s="13" t="s">
        <v>99</v>
      </c>
      <c r="C172" s="13" t="s">
        <v>478</v>
      </c>
      <c r="D172" s="13" t="s">
        <v>136</v>
      </c>
      <c r="E172" s="100" t="n">
        <f aca="false">Matrice!O97</f>
        <v>5</v>
      </c>
      <c r="F172" s="95" t="s">
        <v>126</v>
      </c>
      <c r="G172" s="90"/>
      <c r="H172" s="13" t="s">
        <v>479</v>
      </c>
      <c r="I172" s="13"/>
    </row>
    <row r="173" customFormat="false" ht="15" hidden="false" customHeight="false" outlineLevel="0" collapsed="false">
      <c r="A173" s="13" t="s">
        <v>96</v>
      </c>
      <c r="B173" s="13" t="s">
        <v>99</v>
      </c>
      <c r="C173" s="13" t="s">
        <v>480</v>
      </c>
      <c r="D173" s="13" t="s">
        <v>136</v>
      </c>
      <c r="E173" s="98" t="n">
        <f aca="false">Matrice!O98</f>
        <v>9</v>
      </c>
      <c r="F173" s="92" t="s">
        <v>125</v>
      </c>
      <c r="G173" s="90"/>
      <c r="H173" s="13" t="s">
        <v>481</v>
      </c>
      <c r="I173" s="13"/>
    </row>
    <row r="174" customFormat="false" ht="15" hidden="false" customHeight="false" outlineLevel="0" collapsed="false">
      <c r="A174" s="13" t="s">
        <v>96</v>
      </c>
      <c r="B174" s="13" t="s">
        <v>99</v>
      </c>
      <c r="C174" s="13" t="s">
        <v>482</v>
      </c>
      <c r="D174" s="13" t="s">
        <v>136</v>
      </c>
      <c r="E174" s="94" t="n">
        <f aca="false">Matrice!O99</f>
        <v>3</v>
      </c>
      <c r="F174" s="101" t="s">
        <v>128</v>
      </c>
      <c r="G174" s="90"/>
      <c r="H174" s="13" t="s">
        <v>483</v>
      </c>
      <c r="I174" s="13"/>
    </row>
    <row r="175" customFormat="false" ht="15" hidden="false" customHeight="false" outlineLevel="0" collapsed="false">
      <c r="A175" s="13" t="s">
        <v>96</v>
      </c>
      <c r="B175" s="13" t="s">
        <v>99</v>
      </c>
      <c r="C175" s="13" t="s">
        <v>484</v>
      </c>
      <c r="D175" s="13" t="s">
        <v>164</v>
      </c>
      <c r="E175" s="90"/>
      <c r="F175" s="92" t="s">
        <v>125</v>
      </c>
      <c r="G175" s="90"/>
      <c r="H175" s="13" t="s">
        <v>485</v>
      </c>
      <c r="I175" s="13" t="s">
        <v>303</v>
      </c>
    </row>
    <row r="176" customFormat="false" ht="15" hidden="false" customHeight="false" outlineLevel="0" collapsed="false">
      <c r="A176" s="13" t="s">
        <v>96</v>
      </c>
      <c r="B176" s="13" t="s">
        <v>99</v>
      </c>
      <c r="C176" s="13" t="s">
        <v>486</v>
      </c>
      <c r="D176" s="13" t="s">
        <v>164</v>
      </c>
      <c r="E176" s="90"/>
      <c r="F176" s="95" t="s">
        <v>126</v>
      </c>
      <c r="G176" s="90"/>
      <c r="H176" s="13" t="s">
        <v>487</v>
      </c>
      <c r="I176" s="13" t="s">
        <v>488</v>
      </c>
    </row>
    <row r="177" customFormat="false" ht="15" hidden="false" customHeight="false" outlineLevel="0" collapsed="false">
      <c r="A177" s="13" t="s">
        <v>96</v>
      </c>
      <c r="B177" s="13" t="s">
        <v>99</v>
      </c>
      <c r="C177" s="13" t="s">
        <v>489</v>
      </c>
      <c r="D177" s="13" t="s">
        <v>164</v>
      </c>
      <c r="E177" s="90"/>
      <c r="F177" s="89" t="s">
        <v>127</v>
      </c>
      <c r="G177" s="90"/>
      <c r="H177" s="13" t="s">
        <v>490</v>
      </c>
      <c r="I177" s="13" t="s">
        <v>491</v>
      </c>
    </row>
    <row r="178" customFormat="false" ht="15" hidden="false" customHeight="false" outlineLevel="0" collapsed="false">
      <c r="A178" s="13" t="s">
        <v>96</v>
      </c>
      <c r="B178" s="13" t="s">
        <v>99</v>
      </c>
      <c r="C178" s="13" t="s">
        <v>492</v>
      </c>
      <c r="D178" s="13" t="s">
        <v>164</v>
      </c>
      <c r="E178" s="90"/>
      <c r="F178" s="101" t="s">
        <v>128</v>
      </c>
      <c r="G178" s="90"/>
      <c r="H178" s="13"/>
      <c r="I178" s="13" t="s">
        <v>493</v>
      </c>
    </row>
    <row r="179" customFormat="false" ht="15" hidden="false" customHeight="false" outlineLevel="0" collapsed="false">
      <c r="A179" s="13" t="s">
        <v>96</v>
      </c>
      <c r="B179" s="13" t="s">
        <v>100</v>
      </c>
      <c r="C179" s="13" t="s">
        <v>494</v>
      </c>
      <c r="D179" s="13" t="s">
        <v>136</v>
      </c>
      <c r="E179" s="97" t="n">
        <f aca="false">Matrice!O100</f>
        <v>6</v>
      </c>
      <c r="F179" s="95" t="s">
        <v>126</v>
      </c>
      <c r="G179" s="90"/>
      <c r="H179" s="13" t="s">
        <v>495</v>
      </c>
      <c r="I179" s="13"/>
    </row>
    <row r="180" customFormat="false" ht="15" hidden="false" customHeight="false" outlineLevel="0" collapsed="false">
      <c r="A180" s="13" t="s">
        <v>96</v>
      </c>
      <c r="B180" s="13" t="s">
        <v>100</v>
      </c>
      <c r="C180" s="13" t="s">
        <v>496</v>
      </c>
      <c r="D180" s="13" t="s">
        <v>136</v>
      </c>
      <c r="E180" s="88" t="n">
        <f aca="false">Matrice!O101</f>
        <v>4</v>
      </c>
      <c r="F180" s="89" t="s">
        <v>127</v>
      </c>
      <c r="G180" s="90"/>
      <c r="H180" s="13" t="s">
        <v>497</v>
      </c>
      <c r="I180" s="13"/>
    </row>
    <row r="181" customFormat="false" ht="15" hidden="false" customHeight="false" outlineLevel="0" collapsed="false">
      <c r="A181" s="13" t="s">
        <v>96</v>
      </c>
      <c r="B181" s="13" t="s">
        <v>100</v>
      </c>
      <c r="C181" s="13" t="s">
        <v>498</v>
      </c>
      <c r="D181" s="13" t="s">
        <v>136</v>
      </c>
      <c r="E181" s="100" t="n">
        <f aca="false">Matrice!O102</f>
        <v>5</v>
      </c>
      <c r="F181" s="101" t="s">
        <v>128</v>
      </c>
      <c r="G181" s="90"/>
      <c r="H181" s="13"/>
      <c r="I181" s="13"/>
    </row>
    <row r="182" customFormat="false" ht="15" hidden="false" customHeight="false" outlineLevel="0" collapsed="false">
      <c r="A182" s="13" t="s">
        <v>96</v>
      </c>
      <c r="B182" s="13" t="s">
        <v>100</v>
      </c>
      <c r="C182" s="13" t="s">
        <v>499</v>
      </c>
      <c r="D182" s="13" t="s">
        <v>136</v>
      </c>
      <c r="E182" s="98" t="n">
        <f aca="false">Matrice!O103</f>
        <v>9</v>
      </c>
      <c r="F182" s="95" t="s">
        <v>126</v>
      </c>
      <c r="G182" s="90"/>
      <c r="H182" s="13" t="s">
        <v>500</v>
      </c>
      <c r="I182" s="13"/>
    </row>
    <row r="183" customFormat="false" ht="15" hidden="false" customHeight="false" outlineLevel="0" collapsed="false">
      <c r="A183" s="13" t="s">
        <v>96</v>
      </c>
      <c r="B183" s="13" t="s">
        <v>100</v>
      </c>
      <c r="C183" s="13" t="s">
        <v>501</v>
      </c>
      <c r="D183" s="13" t="s">
        <v>136</v>
      </c>
      <c r="E183" s="91" t="n">
        <f aca="false">Matrice!O104</f>
        <v>8</v>
      </c>
      <c r="F183" s="95" t="s">
        <v>126</v>
      </c>
      <c r="G183" s="90"/>
      <c r="H183" s="13" t="s">
        <v>502</v>
      </c>
      <c r="I183" s="13"/>
    </row>
    <row r="184" customFormat="false" ht="15" hidden="false" customHeight="false" outlineLevel="0" collapsed="false">
      <c r="A184" s="13" t="s">
        <v>96</v>
      </c>
      <c r="B184" s="13" t="s">
        <v>100</v>
      </c>
      <c r="C184" s="13" t="s">
        <v>503</v>
      </c>
      <c r="D184" s="13" t="s">
        <v>136</v>
      </c>
      <c r="E184" s="104" t="n">
        <f aca="false">Matrice!O105</f>
        <v>1</v>
      </c>
      <c r="F184" s="89" t="s">
        <v>127</v>
      </c>
      <c r="G184" s="96" t="s">
        <v>147</v>
      </c>
      <c r="H184" s="13" t="s">
        <v>504</v>
      </c>
      <c r="I184" s="13"/>
    </row>
    <row r="185" customFormat="false" ht="15" hidden="false" customHeight="false" outlineLevel="0" collapsed="false">
      <c r="A185" s="13" t="s">
        <v>96</v>
      </c>
      <c r="B185" s="13" t="s">
        <v>100</v>
      </c>
      <c r="C185" s="13" t="s">
        <v>505</v>
      </c>
      <c r="D185" s="13" t="s">
        <v>136</v>
      </c>
      <c r="E185" s="100" t="n">
        <f aca="false">Matrice!O106</f>
        <v>5</v>
      </c>
      <c r="F185" s="92" t="s">
        <v>125</v>
      </c>
      <c r="G185" s="90"/>
      <c r="H185" s="13" t="s">
        <v>506</v>
      </c>
      <c r="I185" s="13"/>
    </row>
    <row r="186" customFormat="false" ht="23.85" hidden="false" customHeight="false" outlineLevel="0" collapsed="false">
      <c r="A186" s="13" t="s">
        <v>96</v>
      </c>
      <c r="B186" s="13" t="s">
        <v>100</v>
      </c>
      <c r="C186" s="13" t="s">
        <v>507</v>
      </c>
      <c r="D186" s="13" t="s">
        <v>164</v>
      </c>
      <c r="E186" s="90"/>
      <c r="F186" s="89" t="s">
        <v>127</v>
      </c>
      <c r="G186" s="96" t="s">
        <v>147</v>
      </c>
      <c r="H186" s="13" t="s">
        <v>508</v>
      </c>
      <c r="I186" s="13" t="s">
        <v>509</v>
      </c>
    </row>
    <row r="187" customFormat="false" ht="15" hidden="false" customHeight="false" outlineLevel="0" collapsed="false">
      <c r="A187" s="13" t="s">
        <v>96</v>
      </c>
      <c r="B187" s="13" t="s">
        <v>100</v>
      </c>
      <c r="C187" s="13" t="s">
        <v>510</v>
      </c>
      <c r="D187" s="13" t="s">
        <v>164</v>
      </c>
      <c r="E187" s="90"/>
      <c r="F187" s="89" t="s">
        <v>127</v>
      </c>
      <c r="G187" s="90"/>
      <c r="H187" s="13" t="s">
        <v>168</v>
      </c>
      <c r="I187" s="13" t="s">
        <v>35</v>
      </c>
    </row>
    <row r="188" customFormat="false" ht="15" hidden="false" customHeight="false" outlineLevel="0" collapsed="false">
      <c r="A188" s="13" t="s">
        <v>96</v>
      </c>
      <c r="B188" s="13" t="s">
        <v>100</v>
      </c>
      <c r="C188" s="13" t="s">
        <v>511</v>
      </c>
      <c r="D188" s="13" t="s">
        <v>164</v>
      </c>
      <c r="E188" s="90"/>
      <c r="F188" s="95" t="s">
        <v>126</v>
      </c>
      <c r="G188" s="90"/>
      <c r="H188" s="13" t="s">
        <v>512</v>
      </c>
      <c r="I188" s="13" t="s">
        <v>201</v>
      </c>
    </row>
    <row r="189" customFormat="false" ht="15" hidden="false" customHeight="false" outlineLevel="0" collapsed="false">
      <c r="A189" s="13" t="s">
        <v>96</v>
      </c>
      <c r="B189" s="13" t="s">
        <v>100</v>
      </c>
      <c r="C189" s="13" t="s">
        <v>513</v>
      </c>
      <c r="D189" s="13" t="s">
        <v>164</v>
      </c>
      <c r="E189" s="90"/>
      <c r="F189" s="95" t="s">
        <v>126</v>
      </c>
      <c r="G189" s="90"/>
      <c r="H189" s="13" t="s">
        <v>514</v>
      </c>
      <c r="I189" s="13" t="s">
        <v>515</v>
      </c>
    </row>
    <row r="190" customFormat="false" ht="15" hidden="false" customHeight="false" outlineLevel="0" collapsed="false">
      <c r="A190" s="13" t="s">
        <v>96</v>
      </c>
      <c r="B190" s="13" t="s">
        <v>100</v>
      </c>
      <c r="C190" s="13" t="s">
        <v>516</v>
      </c>
      <c r="D190" s="13" t="s">
        <v>164</v>
      </c>
      <c r="E190" s="90"/>
      <c r="F190" s="95" t="s">
        <v>126</v>
      </c>
      <c r="G190" s="90"/>
      <c r="H190" s="13" t="s">
        <v>517</v>
      </c>
      <c r="I190" s="13" t="s">
        <v>51</v>
      </c>
    </row>
    <row r="191" customFormat="false" ht="15" hidden="false" customHeight="false" outlineLevel="0" collapsed="false">
      <c r="A191" s="13" t="s">
        <v>96</v>
      </c>
      <c r="B191" s="13" t="s">
        <v>100</v>
      </c>
      <c r="C191" s="13" t="s">
        <v>518</v>
      </c>
      <c r="D191" s="13" t="s">
        <v>164</v>
      </c>
      <c r="E191" s="90"/>
      <c r="F191" s="89" t="s">
        <v>127</v>
      </c>
      <c r="G191" s="96" t="s">
        <v>147</v>
      </c>
      <c r="H191" s="13" t="s">
        <v>519</v>
      </c>
      <c r="I191" s="13" t="s">
        <v>39</v>
      </c>
    </row>
    <row r="192" customFormat="false" ht="15" hidden="false" customHeight="false" outlineLevel="0" collapsed="false">
      <c r="A192" s="13" t="s">
        <v>96</v>
      </c>
      <c r="B192" s="13" t="s">
        <v>101</v>
      </c>
      <c r="C192" s="13" t="s">
        <v>520</v>
      </c>
      <c r="D192" s="13" t="s">
        <v>136</v>
      </c>
      <c r="E192" s="100" t="n">
        <f aca="false">Matrice!O107</f>
        <v>5</v>
      </c>
      <c r="F192" s="92" t="s">
        <v>125</v>
      </c>
      <c r="G192" s="96" t="s">
        <v>147</v>
      </c>
      <c r="H192" s="13" t="s">
        <v>521</v>
      </c>
      <c r="I192" s="13"/>
    </row>
    <row r="193" customFormat="false" ht="15" hidden="false" customHeight="false" outlineLevel="0" collapsed="false">
      <c r="A193" s="13" t="s">
        <v>96</v>
      </c>
      <c r="B193" s="13" t="s">
        <v>101</v>
      </c>
      <c r="C193" s="13" t="s">
        <v>522</v>
      </c>
      <c r="D193" s="13" t="s">
        <v>136</v>
      </c>
      <c r="E193" s="97" t="n">
        <f aca="false">Matrice!O108</f>
        <v>6</v>
      </c>
      <c r="F193" s="92" t="s">
        <v>125</v>
      </c>
      <c r="G193" s="96" t="s">
        <v>147</v>
      </c>
      <c r="H193" s="13" t="s">
        <v>471</v>
      </c>
      <c r="I193" s="13"/>
    </row>
    <row r="194" customFormat="false" ht="15" hidden="false" customHeight="false" outlineLevel="0" collapsed="false">
      <c r="A194" s="13" t="s">
        <v>96</v>
      </c>
      <c r="B194" s="13" t="s">
        <v>101</v>
      </c>
      <c r="C194" s="13" t="s">
        <v>523</v>
      </c>
      <c r="D194" s="13" t="s">
        <v>136</v>
      </c>
      <c r="E194" s="100" t="n">
        <f aca="false">Matrice!O109</f>
        <v>5</v>
      </c>
      <c r="F194" s="92" t="s">
        <v>125</v>
      </c>
      <c r="G194" s="96" t="s">
        <v>147</v>
      </c>
      <c r="H194" s="13" t="s">
        <v>524</v>
      </c>
      <c r="I194" s="13"/>
    </row>
    <row r="195" customFormat="false" ht="15" hidden="false" customHeight="false" outlineLevel="0" collapsed="false">
      <c r="A195" s="13" t="s">
        <v>96</v>
      </c>
      <c r="B195" s="13" t="s">
        <v>101</v>
      </c>
      <c r="C195" s="13" t="s">
        <v>525</v>
      </c>
      <c r="D195" s="13" t="s">
        <v>136</v>
      </c>
      <c r="E195" s="103" t="n">
        <f aca="false">Matrice!O110</f>
        <v>2</v>
      </c>
      <c r="F195" s="95" t="s">
        <v>126</v>
      </c>
      <c r="G195" s="96" t="s">
        <v>147</v>
      </c>
      <c r="H195" s="13" t="s">
        <v>526</v>
      </c>
      <c r="I195" s="13"/>
    </row>
    <row r="196" customFormat="false" ht="15" hidden="false" customHeight="false" outlineLevel="0" collapsed="false">
      <c r="A196" s="13" t="s">
        <v>96</v>
      </c>
      <c r="B196" s="13" t="s">
        <v>101</v>
      </c>
      <c r="C196" s="13" t="s">
        <v>527</v>
      </c>
      <c r="D196" s="13" t="s">
        <v>136</v>
      </c>
      <c r="E196" s="103" t="n">
        <f aca="false">Matrice!O111</f>
        <v>2</v>
      </c>
      <c r="F196" s="92" t="s">
        <v>125</v>
      </c>
      <c r="G196" s="96" t="s">
        <v>147</v>
      </c>
      <c r="H196" s="13" t="s">
        <v>528</v>
      </c>
      <c r="I196" s="13"/>
    </row>
    <row r="197" customFormat="false" ht="15" hidden="false" customHeight="false" outlineLevel="0" collapsed="false">
      <c r="A197" s="13" t="s">
        <v>96</v>
      </c>
      <c r="B197" s="13" t="s">
        <v>101</v>
      </c>
      <c r="C197" s="13" t="s">
        <v>529</v>
      </c>
      <c r="D197" s="13" t="s">
        <v>136</v>
      </c>
      <c r="E197" s="103" t="n">
        <f aca="false">Matrice!O112</f>
        <v>2</v>
      </c>
      <c r="F197" s="89" t="s">
        <v>127</v>
      </c>
      <c r="G197" s="96" t="s">
        <v>147</v>
      </c>
      <c r="H197" s="13" t="s">
        <v>530</v>
      </c>
      <c r="I197" s="13"/>
    </row>
    <row r="198" customFormat="false" ht="15" hidden="false" customHeight="false" outlineLevel="0" collapsed="false">
      <c r="A198" s="13" t="s">
        <v>96</v>
      </c>
      <c r="B198" s="13" t="s">
        <v>101</v>
      </c>
      <c r="C198" s="13" t="s">
        <v>531</v>
      </c>
      <c r="D198" s="13" t="s">
        <v>136</v>
      </c>
      <c r="E198" s="103" t="n">
        <f aca="false">Matrice!O113</f>
        <v>2</v>
      </c>
      <c r="F198" s="92" t="s">
        <v>125</v>
      </c>
      <c r="G198" s="96" t="s">
        <v>147</v>
      </c>
      <c r="H198" s="13" t="s">
        <v>532</v>
      </c>
      <c r="I198" s="13"/>
    </row>
    <row r="199" customFormat="false" ht="15" hidden="false" customHeight="false" outlineLevel="0" collapsed="false">
      <c r="A199" s="13" t="s">
        <v>96</v>
      </c>
      <c r="B199" s="13" t="s">
        <v>101</v>
      </c>
      <c r="C199" s="13" t="s">
        <v>533</v>
      </c>
      <c r="D199" s="13" t="s">
        <v>164</v>
      </c>
      <c r="E199" s="90"/>
      <c r="F199" s="95" t="s">
        <v>126</v>
      </c>
      <c r="G199" s="90"/>
      <c r="H199" s="13" t="s">
        <v>534</v>
      </c>
      <c r="I199" s="13" t="s">
        <v>67</v>
      </c>
    </row>
    <row r="200" customFormat="false" ht="15" hidden="false" customHeight="false" outlineLevel="0" collapsed="false">
      <c r="A200" s="13" t="s">
        <v>96</v>
      </c>
      <c r="B200" s="13" t="s">
        <v>101</v>
      </c>
      <c r="C200" s="13" t="s">
        <v>535</v>
      </c>
      <c r="D200" s="13" t="s">
        <v>164</v>
      </c>
      <c r="E200" s="90"/>
      <c r="F200" s="101" t="s">
        <v>128</v>
      </c>
      <c r="G200" s="90"/>
      <c r="H200" s="13"/>
      <c r="I200" s="13" t="s">
        <v>63</v>
      </c>
    </row>
    <row r="201" customFormat="false" ht="15" hidden="false" customHeight="false" outlineLevel="0" collapsed="false">
      <c r="A201" s="13" t="s">
        <v>96</v>
      </c>
      <c r="B201" s="13" t="s">
        <v>102</v>
      </c>
      <c r="C201" s="13" t="s">
        <v>536</v>
      </c>
      <c r="D201" s="13" t="s">
        <v>136</v>
      </c>
      <c r="E201" s="91" t="n">
        <f aca="false">Matrice!O114</f>
        <v>8</v>
      </c>
      <c r="F201" s="95" t="s">
        <v>126</v>
      </c>
      <c r="G201" s="90"/>
      <c r="H201" s="13" t="s">
        <v>537</v>
      </c>
      <c r="I201" s="13"/>
    </row>
    <row r="202" customFormat="false" ht="15" hidden="false" customHeight="false" outlineLevel="0" collapsed="false">
      <c r="A202" s="13" t="s">
        <v>96</v>
      </c>
      <c r="B202" s="13" t="s">
        <v>102</v>
      </c>
      <c r="C202" s="13" t="s">
        <v>538</v>
      </c>
      <c r="D202" s="13" t="s">
        <v>136</v>
      </c>
      <c r="E202" s="100" t="n">
        <f aca="false">Matrice!O115</f>
        <v>5</v>
      </c>
      <c r="F202" s="89" t="s">
        <v>127</v>
      </c>
      <c r="G202" s="90"/>
      <c r="H202" s="13" t="s">
        <v>539</v>
      </c>
      <c r="I202" s="13"/>
    </row>
    <row r="203" customFormat="false" ht="15" hidden="false" customHeight="false" outlineLevel="0" collapsed="false">
      <c r="A203" s="13" t="s">
        <v>96</v>
      </c>
      <c r="B203" s="13" t="s">
        <v>102</v>
      </c>
      <c r="C203" s="13" t="s">
        <v>540</v>
      </c>
      <c r="D203" s="13" t="s">
        <v>136</v>
      </c>
      <c r="E203" s="93" t="n">
        <f aca="false">Matrice!O116</f>
        <v>7</v>
      </c>
      <c r="F203" s="89" t="s">
        <v>127</v>
      </c>
      <c r="G203" s="90"/>
      <c r="H203" s="13" t="s">
        <v>541</v>
      </c>
      <c r="I203" s="13"/>
    </row>
    <row r="204" customFormat="false" ht="15" hidden="false" customHeight="false" outlineLevel="0" collapsed="false">
      <c r="A204" s="13" t="s">
        <v>96</v>
      </c>
      <c r="B204" s="13" t="s">
        <v>102</v>
      </c>
      <c r="C204" s="13" t="s">
        <v>542</v>
      </c>
      <c r="D204" s="13" t="s">
        <v>136</v>
      </c>
      <c r="E204" s="93" t="n">
        <f aca="false">Matrice!O117</f>
        <v>7</v>
      </c>
      <c r="F204" s="95" t="s">
        <v>126</v>
      </c>
      <c r="G204" s="90"/>
      <c r="H204" s="13" t="s">
        <v>543</v>
      </c>
      <c r="I204" s="13"/>
    </row>
    <row r="205" customFormat="false" ht="15" hidden="false" customHeight="false" outlineLevel="0" collapsed="false">
      <c r="A205" s="13" t="s">
        <v>96</v>
      </c>
      <c r="B205" s="13" t="s">
        <v>102</v>
      </c>
      <c r="C205" s="13" t="s">
        <v>544</v>
      </c>
      <c r="D205" s="13" t="s">
        <v>136</v>
      </c>
      <c r="E205" s="93" t="n">
        <f aca="false">Matrice!O118</f>
        <v>7</v>
      </c>
      <c r="F205" s="95" t="s">
        <v>126</v>
      </c>
      <c r="G205" s="90"/>
      <c r="H205" s="13" t="s">
        <v>545</v>
      </c>
      <c r="I205" s="13"/>
    </row>
    <row r="206" customFormat="false" ht="15" hidden="false" customHeight="false" outlineLevel="0" collapsed="false">
      <c r="A206" s="13" t="s">
        <v>96</v>
      </c>
      <c r="B206" s="13" t="s">
        <v>102</v>
      </c>
      <c r="C206" s="13" t="s">
        <v>546</v>
      </c>
      <c r="D206" s="13" t="s">
        <v>136</v>
      </c>
      <c r="E206" s="103" t="n">
        <f aca="false">Matrice!O119</f>
        <v>2</v>
      </c>
      <c r="F206" s="89" t="s">
        <v>127</v>
      </c>
      <c r="G206" s="96" t="s">
        <v>147</v>
      </c>
      <c r="H206" s="13" t="s">
        <v>547</v>
      </c>
      <c r="I206" s="13"/>
    </row>
    <row r="207" customFormat="false" ht="15" hidden="false" customHeight="false" outlineLevel="0" collapsed="false">
      <c r="A207" s="13" t="s">
        <v>96</v>
      </c>
      <c r="B207" s="13" t="s">
        <v>102</v>
      </c>
      <c r="C207" s="13" t="s">
        <v>548</v>
      </c>
      <c r="D207" s="13" t="s">
        <v>136</v>
      </c>
      <c r="E207" s="94" t="n">
        <f aca="false">Matrice!O120</f>
        <v>3</v>
      </c>
      <c r="F207" s="95" t="s">
        <v>126</v>
      </c>
      <c r="G207" s="96" t="s">
        <v>147</v>
      </c>
      <c r="H207" s="13" t="s">
        <v>429</v>
      </c>
      <c r="I207" s="13"/>
    </row>
    <row r="208" customFormat="false" ht="15" hidden="false" customHeight="false" outlineLevel="0" collapsed="false">
      <c r="A208" s="13" t="s">
        <v>96</v>
      </c>
      <c r="B208" s="13" t="s">
        <v>102</v>
      </c>
      <c r="C208" s="13" t="s">
        <v>549</v>
      </c>
      <c r="D208" s="13" t="s">
        <v>136</v>
      </c>
      <c r="E208" s="88" t="n">
        <f aca="false">Matrice!O121</f>
        <v>4</v>
      </c>
      <c r="F208" s="89" t="s">
        <v>127</v>
      </c>
      <c r="G208" s="90"/>
      <c r="H208" s="13" t="s">
        <v>550</v>
      </c>
      <c r="I208" s="13"/>
    </row>
    <row r="209" customFormat="false" ht="15" hidden="false" customHeight="false" outlineLevel="0" collapsed="false">
      <c r="A209" s="13" t="s">
        <v>96</v>
      </c>
      <c r="B209" s="13" t="s">
        <v>102</v>
      </c>
      <c r="C209" s="13" t="s">
        <v>551</v>
      </c>
      <c r="D209" s="13" t="s">
        <v>164</v>
      </c>
      <c r="E209" s="90"/>
      <c r="F209" s="92" t="s">
        <v>125</v>
      </c>
      <c r="G209" s="90"/>
      <c r="H209" s="13" t="s">
        <v>552</v>
      </c>
      <c r="I209" s="13" t="s">
        <v>63</v>
      </c>
    </row>
    <row r="210" customFormat="false" ht="15" hidden="false" customHeight="false" outlineLevel="0" collapsed="false">
      <c r="A210" s="13" t="s">
        <v>96</v>
      </c>
      <c r="B210" s="13" t="s">
        <v>102</v>
      </c>
      <c r="C210" s="13" t="s">
        <v>553</v>
      </c>
      <c r="D210" s="13" t="s">
        <v>164</v>
      </c>
      <c r="E210" s="90"/>
      <c r="F210" s="95" t="s">
        <v>126</v>
      </c>
      <c r="G210" s="90"/>
      <c r="H210" s="13" t="s">
        <v>554</v>
      </c>
      <c r="I210" s="13" t="s">
        <v>63</v>
      </c>
    </row>
    <row r="211" customFormat="false" ht="15" hidden="false" customHeight="false" outlineLevel="0" collapsed="false">
      <c r="A211" s="13" t="s">
        <v>96</v>
      </c>
      <c r="B211" s="13" t="s">
        <v>102</v>
      </c>
      <c r="C211" s="13" t="s">
        <v>555</v>
      </c>
      <c r="D211" s="13" t="s">
        <v>164</v>
      </c>
      <c r="E211" s="90"/>
      <c r="F211" s="95" t="s">
        <v>126</v>
      </c>
      <c r="G211" s="90"/>
      <c r="H211" s="13" t="s">
        <v>556</v>
      </c>
      <c r="I211" s="13" t="s">
        <v>63</v>
      </c>
    </row>
    <row r="212" customFormat="false" ht="15" hidden="false" customHeight="false" outlineLevel="0" collapsed="false">
      <c r="A212" s="13" t="s">
        <v>96</v>
      </c>
      <c r="B212" s="13" t="s">
        <v>102</v>
      </c>
      <c r="C212" s="13" t="s">
        <v>557</v>
      </c>
      <c r="D212" s="13" t="s">
        <v>164</v>
      </c>
      <c r="E212" s="90"/>
      <c r="F212" s="89" t="s">
        <v>127</v>
      </c>
      <c r="G212" s="90"/>
      <c r="H212" s="13" t="s">
        <v>539</v>
      </c>
      <c r="I212" s="13" t="s">
        <v>63</v>
      </c>
    </row>
    <row r="213" customFormat="false" ht="15" hidden="false" customHeight="false" outlineLevel="0" collapsed="false">
      <c r="A213" s="13" t="s">
        <v>96</v>
      </c>
      <c r="B213" s="13" t="s">
        <v>102</v>
      </c>
      <c r="C213" s="13" t="s">
        <v>558</v>
      </c>
      <c r="D213" s="13" t="s">
        <v>164</v>
      </c>
      <c r="E213" s="90"/>
      <c r="F213" s="95" t="s">
        <v>126</v>
      </c>
      <c r="G213" s="96" t="s">
        <v>147</v>
      </c>
      <c r="H213" s="13" t="s">
        <v>559</v>
      </c>
      <c r="I213" s="13" t="s">
        <v>560</v>
      </c>
    </row>
    <row r="214" customFormat="false" ht="15" hidden="false" customHeight="false" outlineLevel="0" collapsed="false">
      <c r="A214" s="13" t="s">
        <v>96</v>
      </c>
      <c r="B214" s="13" t="s">
        <v>102</v>
      </c>
      <c r="C214" s="13" t="s">
        <v>561</v>
      </c>
      <c r="D214" s="13" t="s">
        <v>164</v>
      </c>
      <c r="E214" s="90"/>
      <c r="F214" s="89" t="s">
        <v>127</v>
      </c>
      <c r="G214" s="90"/>
      <c r="H214" s="13" t="s">
        <v>390</v>
      </c>
      <c r="I214" s="13" t="s">
        <v>59</v>
      </c>
    </row>
    <row r="215" customFormat="false" ht="15" hidden="false" customHeight="false" outlineLevel="0" collapsed="false">
      <c r="A215" s="13" t="s">
        <v>96</v>
      </c>
      <c r="B215" s="13" t="s">
        <v>102</v>
      </c>
      <c r="C215" s="13" t="s">
        <v>562</v>
      </c>
      <c r="D215" s="13" t="s">
        <v>164</v>
      </c>
      <c r="E215" s="90"/>
      <c r="F215" s="95" t="s">
        <v>126</v>
      </c>
      <c r="G215" s="90"/>
      <c r="H215" s="13" t="s">
        <v>563</v>
      </c>
      <c r="I215" s="13" t="s">
        <v>388</v>
      </c>
    </row>
    <row r="216" customFormat="false" ht="15" hidden="false" customHeight="false" outlineLevel="0" collapsed="false">
      <c r="A216" s="13" t="s">
        <v>96</v>
      </c>
      <c r="B216" s="13" t="s">
        <v>102</v>
      </c>
      <c r="C216" s="13" t="s">
        <v>564</v>
      </c>
      <c r="D216" s="13" t="s">
        <v>164</v>
      </c>
      <c r="E216" s="90"/>
      <c r="F216" s="89" t="s">
        <v>127</v>
      </c>
      <c r="G216" s="96" t="s">
        <v>147</v>
      </c>
      <c r="H216" s="13" t="s">
        <v>565</v>
      </c>
      <c r="I216" s="13" t="s">
        <v>388</v>
      </c>
    </row>
    <row r="217" customFormat="false" ht="15" hidden="false" customHeight="false" outlineLevel="0" collapsed="false">
      <c r="A217" s="13" t="s">
        <v>96</v>
      </c>
      <c r="B217" s="13" t="s">
        <v>103</v>
      </c>
      <c r="C217" s="13" t="s">
        <v>566</v>
      </c>
      <c r="D217" s="13" t="s">
        <v>136</v>
      </c>
      <c r="E217" s="102" t="n">
        <f aca="false">Matrice!O122</f>
        <v>0</v>
      </c>
      <c r="F217" s="101" t="s">
        <v>128</v>
      </c>
      <c r="G217" s="90"/>
      <c r="H217" s="13"/>
      <c r="I217" s="13"/>
    </row>
    <row r="218" customFormat="false" ht="15" hidden="false" customHeight="false" outlineLevel="0" collapsed="false">
      <c r="A218" s="13" t="s">
        <v>96</v>
      </c>
      <c r="B218" s="13" t="s">
        <v>103</v>
      </c>
      <c r="C218" s="13" t="s">
        <v>567</v>
      </c>
      <c r="D218" s="13" t="s">
        <v>136</v>
      </c>
      <c r="E218" s="100" t="n">
        <f aca="false">Matrice!O123</f>
        <v>5</v>
      </c>
      <c r="F218" s="101" t="s">
        <v>128</v>
      </c>
      <c r="G218" s="90"/>
      <c r="H218" s="13" t="s">
        <v>568</v>
      </c>
      <c r="I218" s="13"/>
    </row>
    <row r="219" customFormat="false" ht="15" hidden="false" customHeight="false" outlineLevel="0" collapsed="false">
      <c r="A219" s="13" t="s">
        <v>96</v>
      </c>
      <c r="B219" s="13" t="s">
        <v>103</v>
      </c>
      <c r="C219" s="13" t="s">
        <v>569</v>
      </c>
      <c r="D219" s="13" t="s">
        <v>136</v>
      </c>
      <c r="E219" s="97" t="n">
        <f aca="false">Matrice!O124</f>
        <v>6</v>
      </c>
      <c r="F219" s="101" t="s">
        <v>128</v>
      </c>
      <c r="G219" s="90"/>
      <c r="H219" s="13" t="s">
        <v>570</v>
      </c>
      <c r="I219" s="13"/>
    </row>
    <row r="220" customFormat="false" ht="15" hidden="false" customHeight="false" outlineLevel="0" collapsed="false">
      <c r="A220" s="13" t="s">
        <v>96</v>
      </c>
      <c r="B220" s="13" t="s">
        <v>103</v>
      </c>
      <c r="C220" s="13" t="s">
        <v>571</v>
      </c>
      <c r="D220" s="13" t="s">
        <v>136</v>
      </c>
      <c r="E220" s="103" t="n">
        <f aca="false">Matrice!O125</f>
        <v>2</v>
      </c>
      <c r="F220" s="101" t="s">
        <v>128</v>
      </c>
      <c r="G220" s="90"/>
      <c r="H220" s="13"/>
      <c r="I220" s="13"/>
    </row>
    <row r="221" customFormat="false" ht="15" hidden="false" customHeight="false" outlineLevel="0" collapsed="false">
      <c r="A221" s="13" t="s">
        <v>96</v>
      </c>
      <c r="B221" s="13" t="s">
        <v>103</v>
      </c>
      <c r="C221" s="13" t="s">
        <v>572</v>
      </c>
      <c r="D221" s="13" t="s">
        <v>136</v>
      </c>
      <c r="E221" s="88" t="n">
        <f aca="false">Matrice!O126</f>
        <v>4</v>
      </c>
      <c r="F221" s="101" t="s">
        <v>128</v>
      </c>
      <c r="G221" s="90"/>
      <c r="H221" s="13"/>
      <c r="I221" s="13"/>
    </row>
    <row r="222" customFormat="false" ht="15" hidden="false" customHeight="false" outlineLevel="0" collapsed="false">
      <c r="A222" s="13" t="s">
        <v>96</v>
      </c>
      <c r="B222" s="13" t="s">
        <v>104</v>
      </c>
      <c r="C222" s="13" t="s">
        <v>573</v>
      </c>
      <c r="D222" s="13" t="s">
        <v>136</v>
      </c>
      <c r="E222" s="94" t="n">
        <f aca="false">Matrice!O127</f>
        <v>3</v>
      </c>
      <c r="F222" s="95" t="s">
        <v>126</v>
      </c>
      <c r="G222" s="90"/>
      <c r="H222" s="13" t="s">
        <v>574</v>
      </c>
      <c r="I222" s="13"/>
    </row>
    <row r="223" customFormat="false" ht="15" hidden="false" customHeight="false" outlineLevel="0" collapsed="false">
      <c r="A223" s="13" t="s">
        <v>96</v>
      </c>
      <c r="B223" s="13" t="s">
        <v>104</v>
      </c>
      <c r="C223" s="13" t="s">
        <v>575</v>
      </c>
      <c r="D223" s="13" t="s">
        <v>136</v>
      </c>
      <c r="E223" s="102" t="n">
        <f aca="false">Matrice!O128</f>
        <v>0</v>
      </c>
      <c r="F223" s="89" t="s">
        <v>127</v>
      </c>
      <c r="G223" s="96" t="s">
        <v>147</v>
      </c>
      <c r="H223" s="13" t="s">
        <v>576</v>
      </c>
      <c r="I223" s="13"/>
    </row>
    <row r="224" customFormat="false" ht="15" hidden="false" customHeight="false" outlineLevel="0" collapsed="false">
      <c r="A224" s="13" t="s">
        <v>96</v>
      </c>
      <c r="B224" s="13" t="s">
        <v>104</v>
      </c>
      <c r="C224" s="13" t="s">
        <v>577</v>
      </c>
      <c r="D224" s="13" t="s">
        <v>136</v>
      </c>
      <c r="E224" s="103" t="n">
        <f aca="false">Matrice!O129</f>
        <v>2</v>
      </c>
      <c r="F224" s="92" t="s">
        <v>125</v>
      </c>
      <c r="G224" s="96" t="s">
        <v>147</v>
      </c>
      <c r="H224" s="13" t="s">
        <v>578</v>
      </c>
      <c r="I224" s="13"/>
    </row>
    <row r="225" customFormat="false" ht="15" hidden="false" customHeight="false" outlineLevel="0" collapsed="false">
      <c r="A225" s="13" t="s">
        <v>96</v>
      </c>
      <c r="B225" s="13" t="s">
        <v>104</v>
      </c>
      <c r="C225" s="13" t="s">
        <v>579</v>
      </c>
      <c r="D225" s="13" t="s">
        <v>136</v>
      </c>
      <c r="E225" s="103" t="n">
        <f aca="false">Matrice!O130</f>
        <v>2</v>
      </c>
      <c r="F225" s="92" t="s">
        <v>125</v>
      </c>
      <c r="G225" s="96" t="s">
        <v>147</v>
      </c>
      <c r="H225" s="13" t="s">
        <v>580</v>
      </c>
      <c r="I225" s="13"/>
    </row>
    <row r="226" customFormat="false" ht="15" hidden="false" customHeight="false" outlineLevel="0" collapsed="false">
      <c r="A226" s="13" t="s">
        <v>105</v>
      </c>
      <c r="B226" s="13" t="s">
        <v>106</v>
      </c>
      <c r="C226" s="13" t="s">
        <v>581</v>
      </c>
      <c r="D226" s="13" t="s">
        <v>136</v>
      </c>
      <c r="E226" s="91" t="n">
        <f aca="false">Matrice!O131</f>
        <v>8</v>
      </c>
      <c r="F226" s="92" t="s">
        <v>125</v>
      </c>
      <c r="G226" s="90"/>
      <c r="H226" s="13" t="s">
        <v>582</v>
      </c>
      <c r="I226" s="13"/>
    </row>
    <row r="227" customFormat="false" ht="15" hidden="false" customHeight="false" outlineLevel="0" collapsed="false">
      <c r="A227" s="13" t="s">
        <v>105</v>
      </c>
      <c r="B227" s="13" t="s">
        <v>106</v>
      </c>
      <c r="C227" s="13" t="s">
        <v>583</v>
      </c>
      <c r="D227" s="13" t="s">
        <v>136</v>
      </c>
      <c r="E227" s="102" t="n">
        <f aca="false">Matrice!O132</f>
        <v>0</v>
      </c>
      <c r="F227" s="92" t="s">
        <v>125</v>
      </c>
      <c r="G227" s="90"/>
      <c r="H227" s="13" t="s">
        <v>584</v>
      </c>
      <c r="I227" s="13"/>
    </row>
    <row r="228" customFormat="false" ht="15" hidden="false" customHeight="false" outlineLevel="0" collapsed="false">
      <c r="A228" s="13" t="s">
        <v>105</v>
      </c>
      <c r="B228" s="13" t="s">
        <v>106</v>
      </c>
      <c r="C228" s="13" t="s">
        <v>585</v>
      </c>
      <c r="D228" s="13" t="s">
        <v>136</v>
      </c>
      <c r="E228" s="94" t="n">
        <f aca="false">Matrice!O133</f>
        <v>3</v>
      </c>
      <c r="F228" s="101" t="s">
        <v>128</v>
      </c>
      <c r="G228" s="90"/>
      <c r="H228" s="13" t="s">
        <v>586</v>
      </c>
      <c r="I228" s="13"/>
    </row>
    <row r="229" customFormat="false" ht="15" hidden="false" customHeight="false" outlineLevel="0" collapsed="false">
      <c r="A229" s="13" t="s">
        <v>105</v>
      </c>
      <c r="B229" s="13" t="s">
        <v>106</v>
      </c>
      <c r="C229" s="13" t="s">
        <v>587</v>
      </c>
      <c r="D229" s="13" t="s">
        <v>136</v>
      </c>
      <c r="E229" s="94" t="n">
        <f aca="false">Matrice!O134</f>
        <v>3</v>
      </c>
      <c r="F229" s="101" t="s">
        <v>128</v>
      </c>
      <c r="G229" s="90"/>
      <c r="H229" s="13"/>
      <c r="I229" s="13"/>
    </row>
    <row r="230" customFormat="false" ht="15" hidden="false" customHeight="false" outlineLevel="0" collapsed="false">
      <c r="A230" s="13" t="s">
        <v>105</v>
      </c>
      <c r="B230" s="13" t="s">
        <v>106</v>
      </c>
      <c r="C230" s="13" t="s">
        <v>588</v>
      </c>
      <c r="D230" s="13" t="s">
        <v>136</v>
      </c>
      <c r="E230" s="94" t="n">
        <f aca="false">Matrice!O135</f>
        <v>3</v>
      </c>
      <c r="F230" s="101" t="s">
        <v>128</v>
      </c>
      <c r="G230" s="90"/>
      <c r="H230" s="13"/>
      <c r="I230" s="13"/>
    </row>
    <row r="231" customFormat="false" ht="15" hidden="false" customHeight="false" outlineLevel="0" collapsed="false">
      <c r="A231" s="13" t="s">
        <v>105</v>
      </c>
      <c r="B231" s="13" t="s">
        <v>106</v>
      </c>
      <c r="C231" s="13" t="s">
        <v>589</v>
      </c>
      <c r="D231" s="13" t="s">
        <v>164</v>
      </c>
      <c r="E231" s="90"/>
      <c r="F231" s="92" t="s">
        <v>125</v>
      </c>
      <c r="G231" s="90"/>
      <c r="H231" s="13" t="s">
        <v>590</v>
      </c>
      <c r="I231" s="13" t="s">
        <v>63</v>
      </c>
    </row>
    <row r="232" customFormat="false" ht="15" hidden="false" customHeight="false" outlineLevel="0" collapsed="false">
      <c r="A232" s="13" t="s">
        <v>105</v>
      </c>
      <c r="B232" s="13" t="s">
        <v>107</v>
      </c>
      <c r="C232" s="13" t="s">
        <v>591</v>
      </c>
      <c r="D232" s="13" t="s">
        <v>136</v>
      </c>
      <c r="E232" s="91" t="n">
        <f aca="false">Matrice!O136</f>
        <v>8</v>
      </c>
      <c r="F232" s="92" t="s">
        <v>125</v>
      </c>
      <c r="G232" s="90"/>
      <c r="H232" s="13" t="s">
        <v>592</v>
      </c>
      <c r="I232" s="13"/>
    </row>
    <row r="233" customFormat="false" ht="15" hidden="false" customHeight="false" outlineLevel="0" collapsed="false">
      <c r="A233" s="13" t="s">
        <v>105</v>
      </c>
      <c r="B233" s="13" t="s">
        <v>107</v>
      </c>
      <c r="C233" s="13" t="s">
        <v>593</v>
      </c>
      <c r="D233" s="13" t="s">
        <v>136</v>
      </c>
      <c r="E233" s="97" t="n">
        <f aca="false">Matrice!O137</f>
        <v>6</v>
      </c>
      <c r="F233" s="95" t="s">
        <v>126</v>
      </c>
      <c r="G233" s="90"/>
      <c r="H233" s="13" t="s">
        <v>203</v>
      </c>
      <c r="I233" s="13"/>
    </row>
    <row r="234" customFormat="false" ht="15" hidden="false" customHeight="false" outlineLevel="0" collapsed="false">
      <c r="A234" s="13" t="s">
        <v>105</v>
      </c>
      <c r="B234" s="13" t="s">
        <v>107</v>
      </c>
      <c r="C234" s="13" t="s">
        <v>594</v>
      </c>
      <c r="D234" s="13" t="s">
        <v>136</v>
      </c>
      <c r="E234" s="93" t="n">
        <f aca="false">Matrice!O138</f>
        <v>7</v>
      </c>
      <c r="F234" s="92" t="s">
        <v>125</v>
      </c>
      <c r="G234" s="90"/>
      <c r="H234" s="13" t="s">
        <v>584</v>
      </c>
      <c r="I234" s="13"/>
    </row>
    <row r="235" customFormat="false" ht="15" hidden="false" customHeight="false" outlineLevel="0" collapsed="false">
      <c r="A235" s="13" t="s">
        <v>105</v>
      </c>
      <c r="B235" s="13" t="s">
        <v>107</v>
      </c>
      <c r="C235" s="13" t="s">
        <v>595</v>
      </c>
      <c r="D235" s="13" t="s">
        <v>136</v>
      </c>
      <c r="E235" s="93" t="n">
        <f aca="false">Matrice!O139</f>
        <v>7</v>
      </c>
      <c r="F235" s="95" t="s">
        <v>126</v>
      </c>
      <c r="G235" s="90"/>
      <c r="H235" s="13" t="s">
        <v>596</v>
      </c>
      <c r="I235" s="13"/>
    </row>
    <row r="236" customFormat="false" ht="23.85" hidden="false" customHeight="false" outlineLevel="0" collapsed="false">
      <c r="A236" s="13" t="s">
        <v>105</v>
      </c>
      <c r="B236" s="13" t="s">
        <v>108</v>
      </c>
      <c r="C236" s="13" t="s">
        <v>597</v>
      </c>
      <c r="D236" s="13" t="s">
        <v>136</v>
      </c>
      <c r="E236" s="97" t="n">
        <f aca="false">Matrice!O140</f>
        <v>6</v>
      </c>
      <c r="F236" s="92" t="s">
        <v>125</v>
      </c>
      <c r="G236" s="90"/>
      <c r="H236" s="13" t="s">
        <v>598</v>
      </c>
      <c r="I236" s="13"/>
    </row>
    <row r="237" customFormat="false" ht="23.85" hidden="false" customHeight="false" outlineLevel="0" collapsed="false">
      <c r="A237" s="13" t="s">
        <v>105</v>
      </c>
      <c r="B237" s="13" t="s">
        <v>108</v>
      </c>
      <c r="C237" s="13" t="s">
        <v>599</v>
      </c>
      <c r="D237" s="13" t="s">
        <v>136</v>
      </c>
      <c r="E237" s="103" t="n">
        <f aca="false">Matrice!O141</f>
        <v>2</v>
      </c>
      <c r="F237" s="89" t="s">
        <v>127</v>
      </c>
      <c r="G237" s="96" t="s">
        <v>147</v>
      </c>
      <c r="H237" s="13" t="s">
        <v>600</v>
      </c>
      <c r="I237" s="13"/>
    </row>
    <row r="238" customFormat="false" ht="23.85" hidden="false" customHeight="false" outlineLevel="0" collapsed="false">
      <c r="A238" s="13" t="s">
        <v>105</v>
      </c>
      <c r="B238" s="13" t="s">
        <v>108</v>
      </c>
      <c r="C238" s="13" t="s">
        <v>601</v>
      </c>
      <c r="D238" s="13" t="s">
        <v>136</v>
      </c>
      <c r="E238" s="104" t="n">
        <f aca="false">Matrice!O142</f>
        <v>1</v>
      </c>
      <c r="F238" s="101" t="s">
        <v>128</v>
      </c>
      <c r="G238" s="90"/>
      <c r="H238" s="13"/>
      <c r="I238" s="13"/>
    </row>
    <row r="239" customFormat="false" ht="23.85" hidden="false" customHeight="false" outlineLevel="0" collapsed="false">
      <c r="A239" s="13" t="s">
        <v>105</v>
      </c>
      <c r="B239" s="13" t="s">
        <v>108</v>
      </c>
      <c r="C239" s="13" t="s">
        <v>602</v>
      </c>
      <c r="D239" s="13" t="s">
        <v>136</v>
      </c>
      <c r="E239" s="97" t="n">
        <f aca="false">Matrice!O143</f>
        <v>6</v>
      </c>
      <c r="F239" s="92" t="s">
        <v>125</v>
      </c>
      <c r="G239" s="90"/>
      <c r="H239" s="13" t="s">
        <v>603</v>
      </c>
      <c r="I239" s="13"/>
    </row>
    <row r="240" customFormat="false" ht="15" hidden="false" customHeight="false" outlineLevel="0" collapsed="false">
      <c r="A240" s="13" t="s">
        <v>105</v>
      </c>
      <c r="B240" s="13" t="s">
        <v>109</v>
      </c>
      <c r="C240" s="13" t="s">
        <v>604</v>
      </c>
      <c r="D240" s="13" t="s">
        <v>136</v>
      </c>
      <c r="E240" s="99" t="n">
        <f aca="false">Matrice!O144</f>
        <v>10</v>
      </c>
      <c r="F240" s="95" t="s">
        <v>126</v>
      </c>
      <c r="G240" s="90"/>
      <c r="H240" s="13" t="s">
        <v>605</v>
      </c>
      <c r="I240" s="13"/>
    </row>
    <row r="241" customFormat="false" ht="15" hidden="false" customHeight="false" outlineLevel="0" collapsed="false">
      <c r="A241" s="13" t="s">
        <v>105</v>
      </c>
      <c r="B241" s="13" t="s">
        <v>109</v>
      </c>
      <c r="C241" s="13" t="s">
        <v>606</v>
      </c>
      <c r="D241" s="13" t="s">
        <v>136</v>
      </c>
      <c r="E241" s="98" t="n">
        <f aca="false">Matrice!O145</f>
        <v>9</v>
      </c>
      <c r="F241" s="101" t="s">
        <v>128</v>
      </c>
      <c r="G241" s="90"/>
      <c r="H241" s="13"/>
      <c r="I241" s="13"/>
    </row>
    <row r="242" customFormat="false" ht="15" hidden="false" customHeight="false" outlineLevel="0" collapsed="false">
      <c r="A242" s="13" t="s">
        <v>105</v>
      </c>
      <c r="B242" s="13" t="s">
        <v>109</v>
      </c>
      <c r="C242" s="13" t="s">
        <v>607</v>
      </c>
      <c r="D242" s="13" t="s">
        <v>136</v>
      </c>
      <c r="E242" s="91" t="n">
        <f aca="false">Matrice!O146</f>
        <v>8</v>
      </c>
      <c r="F242" s="92" t="s">
        <v>125</v>
      </c>
      <c r="G242" s="90"/>
      <c r="H242" s="13" t="s">
        <v>608</v>
      </c>
      <c r="I242" s="13"/>
    </row>
    <row r="243" customFormat="false" ht="15" hidden="false" customHeight="false" outlineLevel="0" collapsed="false">
      <c r="A243" s="13" t="s">
        <v>105</v>
      </c>
      <c r="B243" s="13" t="s">
        <v>109</v>
      </c>
      <c r="C243" s="13" t="s">
        <v>609</v>
      </c>
      <c r="D243" s="13" t="s">
        <v>136</v>
      </c>
      <c r="E243" s="99" t="n">
        <f aca="false">Matrice!O147</f>
        <v>10</v>
      </c>
      <c r="F243" s="92" t="s">
        <v>125</v>
      </c>
      <c r="G243" s="90"/>
      <c r="H243" s="13" t="s">
        <v>610</v>
      </c>
      <c r="I243" s="13"/>
    </row>
    <row r="244" customFormat="false" ht="15" hidden="false" customHeight="false" outlineLevel="0" collapsed="false">
      <c r="A244" s="13" t="s">
        <v>105</v>
      </c>
      <c r="B244" s="13" t="s">
        <v>109</v>
      </c>
      <c r="C244" s="13" t="s">
        <v>611</v>
      </c>
      <c r="D244" s="13" t="s">
        <v>136</v>
      </c>
      <c r="E244" s="99" t="n">
        <f aca="false">Matrice!O148</f>
        <v>10</v>
      </c>
      <c r="F244" s="92" t="s">
        <v>125</v>
      </c>
      <c r="G244" s="90"/>
      <c r="H244" s="13" t="s">
        <v>612</v>
      </c>
      <c r="I244" s="13"/>
    </row>
    <row r="245" customFormat="false" ht="15" hidden="false" customHeight="false" outlineLevel="0" collapsed="false">
      <c r="A245" s="13" t="s">
        <v>105</v>
      </c>
      <c r="B245" s="13" t="s">
        <v>109</v>
      </c>
      <c r="C245" s="13" t="s">
        <v>613</v>
      </c>
      <c r="D245" s="13" t="s">
        <v>136</v>
      </c>
      <c r="E245" s="98" t="n">
        <f aca="false">Matrice!O149</f>
        <v>9</v>
      </c>
      <c r="F245" s="95" t="s">
        <v>126</v>
      </c>
      <c r="G245" s="90"/>
      <c r="H245" s="13" t="s">
        <v>614</v>
      </c>
      <c r="I245" s="13"/>
    </row>
    <row r="246" customFormat="false" ht="15" hidden="false" customHeight="false" outlineLevel="0" collapsed="false">
      <c r="A246" s="13" t="s">
        <v>105</v>
      </c>
      <c r="B246" s="13" t="s">
        <v>109</v>
      </c>
      <c r="C246" s="13" t="s">
        <v>615</v>
      </c>
      <c r="D246" s="13" t="s">
        <v>136</v>
      </c>
      <c r="E246" s="99" t="n">
        <f aca="false">Matrice!O150</f>
        <v>10</v>
      </c>
      <c r="F246" s="92" t="s">
        <v>125</v>
      </c>
      <c r="G246" s="90"/>
      <c r="H246" s="13" t="s">
        <v>616</v>
      </c>
      <c r="I246" s="13"/>
    </row>
    <row r="247" customFormat="false" ht="23.85" hidden="false" customHeight="false" outlineLevel="0" collapsed="false">
      <c r="A247" s="13" t="s">
        <v>105</v>
      </c>
      <c r="B247" s="13" t="s">
        <v>109</v>
      </c>
      <c r="C247" s="13" t="s">
        <v>617</v>
      </c>
      <c r="D247" s="13" t="s">
        <v>164</v>
      </c>
      <c r="E247" s="90"/>
      <c r="F247" s="92" t="s">
        <v>125</v>
      </c>
      <c r="G247" s="96" t="s">
        <v>147</v>
      </c>
      <c r="H247" s="13" t="s">
        <v>618</v>
      </c>
      <c r="I247" s="13" t="s">
        <v>67</v>
      </c>
    </row>
    <row r="248" customFormat="false" ht="23.85" hidden="false" customHeight="false" outlineLevel="0" collapsed="false">
      <c r="A248" s="13" t="s">
        <v>105</v>
      </c>
      <c r="B248" s="13" t="s">
        <v>109</v>
      </c>
      <c r="C248" s="13" t="s">
        <v>619</v>
      </c>
      <c r="D248" s="13" t="s">
        <v>164</v>
      </c>
      <c r="E248" s="90"/>
      <c r="F248" s="101" t="s">
        <v>128</v>
      </c>
      <c r="G248" s="90"/>
      <c r="H248" s="13" t="s">
        <v>620</v>
      </c>
      <c r="I248" s="13" t="s">
        <v>621</v>
      </c>
    </row>
    <row r="249" customFormat="false" ht="15" hidden="false" customHeight="false" outlineLevel="0" collapsed="false">
      <c r="A249" s="13" t="s">
        <v>105</v>
      </c>
      <c r="B249" s="13" t="s">
        <v>109</v>
      </c>
      <c r="C249" s="13" t="s">
        <v>622</v>
      </c>
      <c r="D249" s="13" t="s">
        <v>164</v>
      </c>
      <c r="E249" s="90"/>
      <c r="F249" s="95" t="s">
        <v>126</v>
      </c>
      <c r="G249" s="90"/>
      <c r="H249" s="13" t="s">
        <v>623</v>
      </c>
      <c r="I249" s="13" t="s">
        <v>624</v>
      </c>
    </row>
    <row r="250" customFormat="false" ht="15" hidden="false" customHeight="false" outlineLevel="0" collapsed="false">
      <c r="A250" s="13" t="s">
        <v>105</v>
      </c>
      <c r="B250" s="13" t="s">
        <v>109</v>
      </c>
      <c r="C250" s="13" t="s">
        <v>625</v>
      </c>
      <c r="D250" s="13" t="s">
        <v>164</v>
      </c>
      <c r="E250" s="90"/>
      <c r="F250" s="101" t="s">
        <v>128</v>
      </c>
      <c r="G250" s="90"/>
      <c r="H250" s="13"/>
      <c r="I250" s="13" t="s">
        <v>626</v>
      </c>
    </row>
    <row r="251" customFormat="false" ht="15" hidden="false" customHeight="false" outlineLevel="0" collapsed="false">
      <c r="A251" s="13" t="s">
        <v>105</v>
      </c>
      <c r="B251" s="13" t="s">
        <v>109</v>
      </c>
      <c r="C251" s="13" t="s">
        <v>627</v>
      </c>
      <c r="D251" s="13" t="s">
        <v>164</v>
      </c>
      <c r="E251" s="90"/>
      <c r="F251" s="92" t="s">
        <v>125</v>
      </c>
      <c r="G251" s="90"/>
      <c r="H251" s="13" t="s">
        <v>628</v>
      </c>
      <c r="I251" s="13" t="s">
        <v>51</v>
      </c>
    </row>
    <row r="252" customFormat="false" ht="15" hidden="false" customHeight="false" outlineLevel="0" collapsed="false">
      <c r="A252" s="13" t="s">
        <v>105</v>
      </c>
      <c r="B252" s="13" t="s">
        <v>109</v>
      </c>
      <c r="C252" s="13" t="s">
        <v>629</v>
      </c>
      <c r="D252" s="13" t="s">
        <v>164</v>
      </c>
      <c r="E252" s="90"/>
      <c r="F252" s="92" t="s">
        <v>125</v>
      </c>
      <c r="G252" s="90"/>
      <c r="H252" s="13" t="s">
        <v>630</v>
      </c>
      <c r="I252" s="13" t="s">
        <v>631</v>
      </c>
    </row>
    <row r="253" customFormat="false" ht="23.85" hidden="false" customHeight="false" outlineLevel="0" collapsed="false">
      <c r="A253" s="13" t="s">
        <v>105</v>
      </c>
      <c r="B253" s="13" t="s">
        <v>109</v>
      </c>
      <c r="C253" s="13" t="s">
        <v>632</v>
      </c>
      <c r="D253" s="13" t="s">
        <v>164</v>
      </c>
      <c r="E253" s="90"/>
      <c r="F253" s="89" t="s">
        <v>127</v>
      </c>
      <c r="G253" s="96" t="s">
        <v>147</v>
      </c>
      <c r="H253" s="13" t="s">
        <v>633</v>
      </c>
      <c r="I253" s="13" t="s">
        <v>634</v>
      </c>
    </row>
    <row r="254" customFormat="false" ht="15" hidden="false" customHeight="false" outlineLevel="0" collapsed="false">
      <c r="A254" s="13" t="s">
        <v>105</v>
      </c>
      <c r="B254" s="13" t="s">
        <v>110</v>
      </c>
      <c r="C254" s="13" t="s">
        <v>635</v>
      </c>
      <c r="D254" s="13" t="s">
        <v>136</v>
      </c>
      <c r="E254" s="88" t="n">
        <f aca="false">Matrice!O151</f>
        <v>4</v>
      </c>
      <c r="F254" s="95" t="s">
        <v>126</v>
      </c>
      <c r="G254" s="90"/>
      <c r="H254" s="13" t="s">
        <v>636</v>
      </c>
      <c r="I254" s="13"/>
    </row>
    <row r="255" customFormat="false" ht="15" hidden="false" customHeight="false" outlineLevel="0" collapsed="false">
      <c r="A255" s="13" t="s">
        <v>105</v>
      </c>
      <c r="B255" s="13" t="s">
        <v>110</v>
      </c>
      <c r="C255" s="13" t="s">
        <v>637</v>
      </c>
      <c r="D255" s="13" t="s">
        <v>136</v>
      </c>
      <c r="E255" s="93" t="n">
        <f aca="false">Matrice!O152</f>
        <v>7</v>
      </c>
      <c r="F255" s="92" t="s">
        <v>125</v>
      </c>
      <c r="G255" s="90"/>
      <c r="H255" s="13" t="s">
        <v>638</v>
      </c>
      <c r="I255" s="13"/>
    </row>
    <row r="256" customFormat="false" ht="23.85" hidden="false" customHeight="false" outlineLevel="0" collapsed="false">
      <c r="A256" s="13" t="s">
        <v>105</v>
      </c>
      <c r="B256" s="13" t="s">
        <v>110</v>
      </c>
      <c r="C256" s="13" t="s">
        <v>639</v>
      </c>
      <c r="D256" s="13" t="s">
        <v>136</v>
      </c>
      <c r="E256" s="94" t="n">
        <f aca="false">Matrice!O153</f>
        <v>3</v>
      </c>
      <c r="F256" s="95" t="s">
        <v>126</v>
      </c>
      <c r="G256" s="96" t="s">
        <v>147</v>
      </c>
      <c r="H256" s="13" t="s">
        <v>640</v>
      </c>
      <c r="I256" s="13"/>
    </row>
    <row r="257" customFormat="false" ht="23.85" hidden="false" customHeight="false" outlineLevel="0" collapsed="false">
      <c r="A257" s="13" t="s">
        <v>105</v>
      </c>
      <c r="B257" s="13" t="s">
        <v>110</v>
      </c>
      <c r="C257" s="13" t="s">
        <v>641</v>
      </c>
      <c r="D257" s="13" t="s">
        <v>136</v>
      </c>
      <c r="E257" s="100" t="n">
        <f aca="false">Matrice!O154</f>
        <v>5</v>
      </c>
      <c r="F257" s="95" t="s">
        <v>126</v>
      </c>
      <c r="G257" s="96" t="s">
        <v>147</v>
      </c>
      <c r="H257" s="13" t="s">
        <v>642</v>
      </c>
      <c r="I257" s="13"/>
    </row>
    <row r="258" customFormat="false" ht="15" hidden="false" customHeight="false" outlineLevel="0" collapsed="false">
      <c r="A258" s="13" t="s">
        <v>105</v>
      </c>
      <c r="B258" s="13" t="s">
        <v>110</v>
      </c>
      <c r="C258" s="13" t="s">
        <v>643</v>
      </c>
      <c r="D258" s="13" t="s">
        <v>136</v>
      </c>
      <c r="E258" s="88" t="n">
        <f aca="false">Matrice!O155</f>
        <v>4</v>
      </c>
      <c r="F258" s="92" t="s">
        <v>125</v>
      </c>
      <c r="G258" s="90"/>
      <c r="H258" s="13" t="s">
        <v>644</v>
      </c>
      <c r="I258" s="13"/>
    </row>
    <row r="259" customFormat="false" ht="15" hidden="false" customHeight="false" outlineLevel="0" collapsed="false">
      <c r="A259" s="13" t="s">
        <v>105</v>
      </c>
      <c r="B259" s="13" t="s">
        <v>110</v>
      </c>
      <c r="C259" s="13" t="s">
        <v>645</v>
      </c>
      <c r="D259" s="13" t="s">
        <v>136</v>
      </c>
      <c r="E259" s="103" t="n">
        <f aca="false">Matrice!O156</f>
        <v>2</v>
      </c>
      <c r="F259" s="89" t="s">
        <v>127</v>
      </c>
      <c r="G259" s="90"/>
      <c r="H259" s="13" t="s">
        <v>646</v>
      </c>
      <c r="I259" s="13"/>
    </row>
    <row r="260" customFormat="false" ht="15" hidden="false" customHeight="false" outlineLevel="0" collapsed="false">
      <c r="A260" s="13" t="s">
        <v>105</v>
      </c>
      <c r="B260" s="13" t="s">
        <v>110</v>
      </c>
      <c r="C260" s="13" t="s">
        <v>647</v>
      </c>
      <c r="D260" s="13" t="s">
        <v>136</v>
      </c>
      <c r="E260" s="98" t="n">
        <f aca="false">Matrice!O157</f>
        <v>9</v>
      </c>
      <c r="F260" s="92" t="s">
        <v>125</v>
      </c>
      <c r="G260" s="90"/>
      <c r="H260" s="13" t="s">
        <v>648</v>
      </c>
      <c r="I260" s="13"/>
    </row>
    <row r="261" customFormat="false" ht="23.85" hidden="false" customHeight="false" outlineLevel="0" collapsed="false">
      <c r="A261" s="13" t="s">
        <v>105</v>
      </c>
      <c r="B261" s="13" t="s">
        <v>110</v>
      </c>
      <c r="C261" s="13" t="s">
        <v>649</v>
      </c>
      <c r="D261" s="13" t="s">
        <v>164</v>
      </c>
      <c r="E261" s="90"/>
      <c r="F261" s="89" t="s">
        <v>127</v>
      </c>
      <c r="G261" s="90"/>
      <c r="H261" s="13" t="s">
        <v>650</v>
      </c>
      <c r="I261" s="13" t="s">
        <v>39</v>
      </c>
    </row>
    <row r="262" customFormat="false" ht="15" hidden="false" customHeight="false" outlineLevel="0" collapsed="false">
      <c r="A262" s="13" t="s">
        <v>105</v>
      </c>
      <c r="B262" s="13" t="s">
        <v>110</v>
      </c>
      <c r="C262" s="13" t="s">
        <v>651</v>
      </c>
      <c r="D262" s="13" t="s">
        <v>164</v>
      </c>
      <c r="E262" s="90"/>
      <c r="F262" s="89" t="s">
        <v>127</v>
      </c>
      <c r="G262" s="90"/>
      <c r="H262" s="13" t="s">
        <v>652</v>
      </c>
      <c r="I262" s="13" t="s">
        <v>51</v>
      </c>
    </row>
    <row r="263" customFormat="false" ht="15" hidden="false" customHeight="false" outlineLevel="0" collapsed="false">
      <c r="A263" s="13" t="s">
        <v>105</v>
      </c>
      <c r="B263" s="13" t="s">
        <v>110</v>
      </c>
      <c r="C263" s="13" t="s">
        <v>653</v>
      </c>
      <c r="D263" s="13" t="s">
        <v>164</v>
      </c>
      <c r="E263" s="90"/>
      <c r="F263" s="89" t="s">
        <v>127</v>
      </c>
      <c r="G263" s="90"/>
      <c r="H263" s="13" t="s">
        <v>654</v>
      </c>
      <c r="I263" s="13" t="s">
        <v>35</v>
      </c>
    </row>
    <row r="264" customFormat="false" ht="15" hidden="false" customHeight="false" outlineLevel="0" collapsed="false">
      <c r="A264" s="13" t="s">
        <v>105</v>
      </c>
      <c r="B264" s="13" t="s">
        <v>110</v>
      </c>
      <c r="C264" s="13" t="s">
        <v>655</v>
      </c>
      <c r="D264" s="13" t="s">
        <v>164</v>
      </c>
      <c r="E264" s="90"/>
      <c r="F264" s="95" t="s">
        <v>126</v>
      </c>
      <c r="G264" s="90"/>
      <c r="H264" s="13" t="s">
        <v>656</v>
      </c>
      <c r="I264" s="13" t="s">
        <v>657</v>
      </c>
    </row>
    <row r="265" customFormat="false" ht="35.05" hidden="false" customHeight="false" outlineLevel="0" collapsed="false">
      <c r="A265" s="13" t="s">
        <v>105</v>
      </c>
      <c r="B265" s="13" t="s">
        <v>111</v>
      </c>
      <c r="C265" s="13" t="s">
        <v>658</v>
      </c>
      <c r="D265" s="13" t="s">
        <v>136</v>
      </c>
      <c r="E265" s="91" t="n">
        <f aca="false">Matrice!O158</f>
        <v>8</v>
      </c>
      <c r="F265" s="92" t="s">
        <v>125</v>
      </c>
      <c r="G265" s="96" t="s">
        <v>147</v>
      </c>
      <c r="H265" s="13" t="s">
        <v>659</v>
      </c>
      <c r="I265" s="13"/>
    </row>
    <row r="266" customFormat="false" ht="23.85" hidden="false" customHeight="false" outlineLevel="0" collapsed="false">
      <c r="A266" s="13" t="s">
        <v>105</v>
      </c>
      <c r="B266" s="13" t="s">
        <v>111</v>
      </c>
      <c r="C266" s="13" t="s">
        <v>660</v>
      </c>
      <c r="D266" s="13" t="s">
        <v>136</v>
      </c>
      <c r="E266" s="91" t="n">
        <f aca="false">Matrice!O159</f>
        <v>8</v>
      </c>
      <c r="F266" s="92" t="s">
        <v>125</v>
      </c>
      <c r="G266" s="90"/>
      <c r="H266" s="13" t="s">
        <v>661</v>
      </c>
      <c r="I266" s="13"/>
    </row>
    <row r="267" customFormat="false" ht="23.85" hidden="false" customHeight="false" outlineLevel="0" collapsed="false">
      <c r="A267" s="13" t="s">
        <v>105</v>
      </c>
      <c r="B267" s="13" t="s">
        <v>111</v>
      </c>
      <c r="C267" s="13" t="s">
        <v>662</v>
      </c>
      <c r="D267" s="13" t="s">
        <v>136</v>
      </c>
      <c r="E267" s="100" t="n">
        <f aca="false">Matrice!O160</f>
        <v>5</v>
      </c>
      <c r="F267" s="92" t="s">
        <v>125</v>
      </c>
      <c r="G267" s="90"/>
      <c r="H267" s="13" t="s">
        <v>663</v>
      </c>
      <c r="I267" s="13"/>
    </row>
    <row r="268" customFormat="false" ht="15" hidden="false" customHeight="false" outlineLevel="0" collapsed="false">
      <c r="A268" s="13" t="s">
        <v>105</v>
      </c>
      <c r="B268" s="13" t="s">
        <v>112</v>
      </c>
      <c r="C268" s="13" t="s">
        <v>664</v>
      </c>
      <c r="D268" s="13" t="s">
        <v>136</v>
      </c>
      <c r="E268" s="98" t="n">
        <f aca="false">Matrice!O161</f>
        <v>9</v>
      </c>
      <c r="F268" s="92" t="s">
        <v>125</v>
      </c>
      <c r="G268" s="90"/>
      <c r="H268" s="13" t="s">
        <v>665</v>
      </c>
      <c r="I268" s="13"/>
    </row>
    <row r="269" customFormat="false" ht="15" hidden="false" customHeight="false" outlineLevel="0" collapsed="false">
      <c r="A269" s="13" t="s">
        <v>105</v>
      </c>
      <c r="B269" s="13" t="s">
        <v>112</v>
      </c>
      <c r="C269" s="13" t="s">
        <v>666</v>
      </c>
      <c r="D269" s="13" t="s">
        <v>136</v>
      </c>
      <c r="E269" s="98" t="n">
        <f aca="false">Matrice!O162</f>
        <v>9</v>
      </c>
      <c r="F269" s="92" t="s">
        <v>125</v>
      </c>
      <c r="G269" s="90"/>
      <c r="H269" s="13" t="s">
        <v>584</v>
      </c>
      <c r="I269" s="13"/>
    </row>
    <row r="270" customFormat="false" ht="15" hidden="false" customHeight="false" outlineLevel="0" collapsed="false">
      <c r="A270" s="13" t="s">
        <v>105</v>
      </c>
      <c r="B270" s="13" t="s">
        <v>112</v>
      </c>
      <c r="C270" s="13" t="s">
        <v>667</v>
      </c>
      <c r="D270" s="13" t="s">
        <v>136</v>
      </c>
      <c r="E270" s="99" t="n">
        <f aca="false">Matrice!O163</f>
        <v>10</v>
      </c>
      <c r="F270" s="92" t="s">
        <v>125</v>
      </c>
      <c r="G270" s="90"/>
      <c r="H270" s="13" t="s">
        <v>668</v>
      </c>
      <c r="I270" s="13"/>
    </row>
    <row r="271" customFormat="false" ht="15" hidden="false" customHeight="false" outlineLevel="0" collapsed="false">
      <c r="A271" s="13" t="s">
        <v>105</v>
      </c>
      <c r="B271" s="13" t="s">
        <v>112</v>
      </c>
      <c r="C271" s="13" t="s">
        <v>669</v>
      </c>
      <c r="D271" s="13" t="s">
        <v>136</v>
      </c>
      <c r="E271" s="104" t="n">
        <f aca="false">Matrice!O164</f>
        <v>1</v>
      </c>
      <c r="F271" s="92" t="s">
        <v>125</v>
      </c>
      <c r="G271" s="96" t="s">
        <v>147</v>
      </c>
      <c r="H271" s="13" t="s">
        <v>670</v>
      </c>
      <c r="I271" s="13"/>
    </row>
    <row r="272" customFormat="false" ht="15" hidden="false" customHeight="false" outlineLevel="0" collapsed="false">
      <c r="A272" s="13" t="s">
        <v>105</v>
      </c>
      <c r="B272" s="13" t="s">
        <v>112</v>
      </c>
      <c r="C272" s="13" t="s">
        <v>671</v>
      </c>
      <c r="D272" s="13" t="s">
        <v>136</v>
      </c>
      <c r="E272" s="88" t="n">
        <f aca="false">Matrice!O165</f>
        <v>4</v>
      </c>
      <c r="F272" s="95" t="s">
        <v>126</v>
      </c>
      <c r="G272" s="90"/>
      <c r="H272" s="13" t="s">
        <v>672</v>
      </c>
      <c r="I272" s="13"/>
    </row>
    <row r="273" customFormat="false" ht="15" hidden="false" customHeight="false" outlineLevel="0" collapsed="false">
      <c r="A273" s="13" t="s">
        <v>105</v>
      </c>
      <c r="B273" s="13" t="s">
        <v>112</v>
      </c>
      <c r="C273" s="13" t="s">
        <v>673</v>
      </c>
      <c r="D273" s="13" t="s">
        <v>136</v>
      </c>
      <c r="E273" s="102" t="n">
        <f aca="false">Matrice!O166</f>
        <v>0</v>
      </c>
      <c r="F273" s="92" t="s">
        <v>125</v>
      </c>
      <c r="G273" s="96" t="s">
        <v>147</v>
      </c>
      <c r="H273" s="13" t="s">
        <v>674</v>
      </c>
      <c r="I273" s="13"/>
    </row>
    <row r="274" customFormat="false" ht="15" hidden="false" customHeight="false" outlineLevel="0" collapsed="false">
      <c r="A274" s="13" t="s">
        <v>105</v>
      </c>
      <c r="B274" s="13" t="s">
        <v>112</v>
      </c>
      <c r="C274" s="13" t="s">
        <v>675</v>
      </c>
      <c r="D274" s="13" t="s">
        <v>136</v>
      </c>
      <c r="E274" s="91" t="n">
        <f aca="false">Matrice!O167</f>
        <v>8</v>
      </c>
      <c r="F274" s="92" t="s">
        <v>125</v>
      </c>
      <c r="G274" s="90"/>
      <c r="H274" s="13" t="s">
        <v>676</v>
      </c>
      <c r="I274" s="13"/>
    </row>
    <row r="275" customFormat="false" ht="15" hidden="false" customHeight="false" outlineLevel="0" collapsed="false">
      <c r="A275" s="13" t="s">
        <v>105</v>
      </c>
      <c r="B275" s="13" t="s">
        <v>113</v>
      </c>
      <c r="C275" s="13" t="s">
        <v>677</v>
      </c>
      <c r="D275" s="13" t="s">
        <v>136</v>
      </c>
      <c r="E275" s="99" t="n">
        <f aca="false">Matrice!O168</f>
        <v>10</v>
      </c>
      <c r="F275" s="92" t="s">
        <v>125</v>
      </c>
      <c r="G275" s="90"/>
      <c r="H275" s="13" t="s">
        <v>678</v>
      </c>
      <c r="I275" s="13"/>
    </row>
    <row r="276" customFormat="false" ht="15" hidden="false" customHeight="false" outlineLevel="0" collapsed="false">
      <c r="A276" s="13" t="s">
        <v>105</v>
      </c>
      <c r="B276" s="13" t="s">
        <v>113</v>
      </c>
      <c r="C276" s="13" t="s">
        <v>679</v>
      </c>
      <c r="D276" s="13" t="s">
        <v>136</v>
      </c>
      <c r="E276" s="93" t="n">
        <f aca="false">Matrice!O169</f>
        <v>7</v>
      </c>
      <c r="F276" s="92" t="s">
        <v>125</v>
      </c>
      <c r="G276" s="90"/>
      <c r="H276" s="13" t="s">
        <v>680</v>
      </c>
      <c r="I276" s="13"/>
    </row>
    <row r="277" customFormat="false" ht="15" hidden="false" customHeight="false" outlineLevel="0" collapsed="false">
      <c r="A277" s="13" t="s">
        <v>105</v>
      </c>
      <c r="B277" s="13" t="s">
        <v>113</v>
      </c>
      <c r="C277" s="13" t="s">
        <v>681</v>
      </c>
      <c r="D277" s="13" t="s">
        <v>136</v>
      </c>
      <c r="E277" s="93" t="n">
        <f aca="false">Matrice!O170</f>
        <v>7</v>
      </c>
      <c r="F277" s="92" t="s">
        <v>125</v>
      </c>
      <c r="G277" s="90"/>
      <c r="H277" s="13" t="s">
        <v>584</v>
      </c>
      <c r="I277" s="13"/>
    </row>
    <row r="278" customFormat="false" ht="15" hidden="false" customHeight="false" outlineLevel="0" collapsed="false">
      <c r="A278" s="13" t="s">
        <v>105</v>
      </c>
      <c r="B278" s="13" t="s">
        <v>113</v>
      </c>
      <c r="C278" s="13" t="s">
        <v>682</v>
      </c>
      <c r="D278" s="13" t="s">
        <v>136</v>
      </c>
      <c r="E278" s="94" t="n">
        <f aca="false">Matrice!O171</f>
        <v>3</v>
      </c>
      <c r="F278" s="92" t="s">
        <v>125</v>
      </c>
      <c r="G278" s="90"/>
      <c r="H278" s="13" t="s">
        <v>683</v>
      </c>
      <c r="I278" s="13"/>
    </row>
    <row r="279" customFormat="false" ht="15" hidden="false" customHeight="false" outlineLevel="0" collapsed="false">
      <c r="A279" s="13" t="s">
        <v>105</v>
      </c>
      <c r="B279" s="13" t="s">
        <v>113</v>
      </c>
      <c r="C279" s="13" t="s">
        <v>684</v>
      </c>
      <c r="D279" s="13" t="s">
        <v>136</v>
      </c>
      <c r="E279" s="100" t="n">
        <f aca="false">Matrice!O172</f>
        <v>5</v>
      </c>
      <c r="F279" s="95" t="s">
        <v>126</v>
      </c>
      <c r="G279" s="96" t="s">
        <v>147</v>
      </c>
      <c r="H279" s="13" t="s">
        <v>685</v>
      </c>
      <c r="I279" s="13"/>
    </row>
    <row r="280" customFormat="false" ht="15" hidden="false" customHeight="false" outlineLevel="0" collapsed="false">
      <c r="A280" s="13" t="s">
        <v>105</v>
      </c>
      <c r="B280" s="13" t="s">
        <v>113</v>
      </c>
      <c r="C280" s="13" t="s">
        <v>686</v>
      </c>
      <c r="D280" s="13" t="s">
        <v>136</v>
      </c>
      <c r="E280" s="88" t="n">
        <f aca="false">Matrice!O173</f>
        <v>4</v>
      </c>
      <c r="F280" s="95" t="s">
        <v>126</v>
      </c>
      <c r="G280" s="90"/>
      <c r="H280" s="13" t="s">
        <v>687</v>
      </c>
      <c r="I280" s="13"/>
    </row>
    <row r="281" customFormat="false" ht="15" hidden="false" customHeight="false" outlineLevel="0" collapsed="false">
      <c r="A281" s="13" t="s">
        <v>105</v>
      </c>
      <c r="B281" s="13" t="s">
        <v>113</v>
      </c>
      <c r="C281" s="13" t="s">
        <v>688</v>
      </c>
      <c r="D281" s="13" t="s">
        <v>136</v>
      </c>
      <c r="E281" s="103" t="n">
        <f aca="false">Matrice!O174</f>
        <v>2</v>
      </c>
      <c r="F281" s="95" t="s">
        <v>126</v>
      </c>
      <c r="G281" s="96" t="s">
        <v>147</v>
      </c>
      <c r="H281" s="13" t="s">
        <v>689</v>
      </c>
      <c r="I281" s="13"/>
    </row>
    <row r="282" customFormat="false" ht="15" hidden="false" customHeight="false" outlineLevel="0" collapsed="false">
      <c r="A282" s="13" t="s">
        <v>105</v>
      </c>
      <c r="B282" s="13" t="s">
        <v>113</v>
      </c>
      <c r="C282" s="13" t="s">
        <v>690</v>
      </c>
      <c r="D282" s="13" t="s">
        <v>136</v>
      </c>
      <c r="E282" s="91" t="n">
        <f aca="false">Matrice!O175</f>
        <v>8</v>
      </c>
      <c r="F282" s="92" t="s">
        <v>125</v>
      </c>
      <c r="G282" s="90"/>
      <c r="H282" s="13"/>
      <c r="I282" s="13"/>
    </row>
    <row r="283" customFormat="false" ht="15" hidden="false" customHeight="false" outlineLevel="0" collapsed="false">
      <c r="A283" s="13" t="s">
        <v>105</v>
      </c>
      <c r="B283" s="13" t="s">
        <v>113</v>
      </c>
      <c r="C283" s="13" t="s">
        <v>691</v>
      </c>
      <c r="D283" s="13" t="s">
        <v>164</v>
      </c>
      <c r="E283" s="90"/>
      <c r="F283" s="89" t="s">
        <v>127</v>
      </c>
      <c r="G283" s="90"/>
      <c r="H283" s="13" t="s">
        <v>692</v>
      </c>
      <c r="I283" s="13" t="s">
        <v>693</v>
      </c>
    </row>
    <row r="284" customFormat="false" ht="15" hidden="false" customHeight="false" outlineLevel="0" collapsed="false">
      <c r="A284" s="13" t="s">
        <v>105</v>
      </c>
      <c r="B284" s="13" t="s">
        <v>113</v>
      </c>
      <c r="C284" s="13" t="s">
        <v>694</v>
      </c>
      <c r="D284" s="13" t="s">
        <v>164</v>
      </c>
      <c r="E284" s="90"/>
      <c r="F284" s="95" t="s">
        <v>126</v>
      </c>
      <c r="G284" s="90"/>
      <c r="H284" s="13" t="s">
        <v>695</v>
      </c>
      <c r="I284" s="13" t="s">
        <v>201</v>
      </c>
    </row>
    <row r="285" customFormat="false" ht="15" hidden="false" customHeight="false" outlineLevel="0" collapsed="false">
      <c r="A285" s="13" t="s">
        <v>105</v>
      </c>
      <c r="B285" s="13" t="s">
        <v>113</v>
      </c>
      <c r="C285" s="13" t="s">
        <v>696</v>
      </c>
      <c r="D285" s="13" t="s">
        <v>164</v>
      </c>
      <c r="E285" s="90"/>
      <c r="F285" s="101" t="s">
        <v>128</v>
      </c>
      <c r="G285" s="90"/>
      <c r="H285" s="13"/>
      <c r="I285" s="13" t="s">
        <v>697</v>
      </c>
    </row>
    <row r="286" customFormat="false" ht="15" hidden="false" customHeight="false" outlineLevel="0" collapsed="false">
      <c r="A286" s="13" t="s">
        <v>105</v>
      </c>
      <c r="B286" s="13" t="s">
        <v>113</v>
      </c>
      <c r="C286" s="13" t="s">
        <v>698</v>
      </c>
      <c r="D286" s="13" t="s">
        <v>164</v>
      </c>
      <c r="E286" s="90"/>
      <c r="F286" s="95" t="s">
        <v>126</v>
      </c>
      <c r="G286" s="90"/>
      <c r="H286" s="13" t="s">
        <v>699</v>
      </c>
      <c r="I286" s="13" t="s">
        <v>700</v>
      </c>
    </row>
    <row r="287" customFormat="false" ht="15" hidden="false" customHeight="false" outlineLevel="0" collapsed="false">
      <c r="A287" s="13" t="s">
        <v>105</v>
      </c>
      <c r="B287" s="13" t="s">
        <v>114</v>
      </c>
      <c r="C287" s="13" t="s">
        <v>701</v>
      </c>
      <c r="D287" s="13" t="s">
        <v>136</v>
      </c>
      <c r="E287" s="100" t="n">
        <f aca="false">Matrice!O176</f>
        <v>5</v>
      </c>
      <c r="F287" s="89" t="s">
        <v>127</v>
      </c>
      <c r="G287" s="90"/>
      <c r="H287" s="13" t="s">
        <v>702</v>
      </c>
      <c r="I287" s="13"/>
    </row>
    <row r="288" customFormat="false" ht="15" hidden="false" customHeight="false" outlineLevel="0" collapsed="false">
      <c r="A288" s="13" t="s">
        <v>105</v>
      </c>
      <c r="B288" s="13" t="s">
        <v>114</v>
      </c>
      <c r="C288" s="13" t="s">
        <v>703</v>
      </c>
      <c r="D288" s="13" t="s">
        <v>136</v>
      </c>
      <c r="E288" s="99" t="n">
        <f aca="false">Matrice!O177</f>
        <v>10</v>
      </c>
      <c r="F288" s="92" t="s">
        <v>125</v>
      </c>
      <c r="G288" s="90"/>
      <c r="H288" s="13" t="s">
        <v>704</v>
      </c>
      <c r="I288" s="13"/>
    </row>
    <row r="289" customFormat="false" ht="15" hidden="false" customHeight="false" outlineLevel="0" collapsed="false">
      <c r="A289" s="13" t="s">
        <v>105</v>
      </c>
      <c r="B289" s="13" t="s">
        <v>114</v>
      </c>
      <c r="C289" s="13" t="s">
        <v>705</v>
      </c>
      <c r="D289" s="13" t="s">
        <v>136</v>
      </c>
      <c r="E289" s="97" t="n">
        <f aca="false">Matrice!O178</f>
        <v>6</v>
      </c>
      <c r="F289" s="101" t="s">
        <v>128</v>
      </c>
      <c r="G289" s="90"/>
      <c r="H289" s="13" t="s">
        <v>706</v>
      </c>
      <c r="I289" s="13"/>
    </row>
    <row r="290" customFormat="false" ht="15" hidden="false" customHeight="false" outlineLevel="0" collapsed="false">
      <c r="A290" s="13" t="s">
        <v>105</v>
      </c>
      <c r="B290" s="13" t="s">
        <v>114</v>
      </c>
      <c r="C290" s="13" t="s">
        <v>707</v>
      </c>
      <c r="D290" s="13" t="s">
        <v>136</v>
      </c>
      <c r="E290" s="104" t="n">
        <f aca="false">Matrice!O179</f>
        <v>1</v>
      </c>
      <c r="F290" s="101" t="s">
        <v>128</v>
      </c>
      <c r="G290" s="90"/>
      <c r="H290" s="13"/>
      <c r="I290" s="13"/>
    </row>
    <row r="291" customFormat="false" ht="15" hidden="false" customHeight="false" outlineLevel="0" collapsed="false">
      <c r="A291" s="13" t="s">
        <v>105</v>
      </c>
      <c r="B291" s="13" t="s">
        <v>114</v>
      </c>
      <c r="C291" s="13" t="s">
        <v>708</v>
      </c>
      <c r="D291" s="13" t="s">
        <v>136</v>
      </c>
      <c r="E291" s="93" t="n">
        <f aca="false">Matrice!O180</f>
        <v>7</v>
      </c>
      <c r="F291" s="92" t="s">
        <v>125</v>
      </c>
      <c r="G291" s="90"/>
      <c r="H291" s="13" t="s">
        <v>709</v>
      </c>
      <c r="I291" s="13"/>
    </row>
    <row r="292" customFormat="false" ht="23.85" hidden="false" customHeight="false" outlineLevel="0" collapsed="false">
      <c r="A292" s="13" t="s">
        <v>105</v>
      </c>
      <c r="B292" s="13" t="s">
        <v>114</v>
      </c>
      <c r="C292" s="13" t="s">
        <v>710</v>
      </c>
      <c r="D292" s="13" t="s">
        <v>136</v>
      </c>
      <c r="E292" s="94" t="n">
        <f aca="false">Matrice!O181</f>
        <v>3</v>
      </c>
      <c r="F292" s="92" t="s">
        <v>125</v>
      </c>
      <c r="G292" s="96" t="s">
        <v>147</v>
      </c>
      <c r="H292" s="13" t="s">
        <v>711</v>
      </c>
      <c r="I292" s="13"/>
    </row>
    <row r="293" customFormat="false" ht="15" hidden="false" customHeight="false" outlineLevel="0" collapsed="false">
      <c r="A293" s="13" t="s">
        <v>105</v>
      </c>
      <c r="B293" s="13" t="s">
        <v>114</v>
      </c>
      <c r="C293" s="13" t="s">
        <v>712</v>
      </c>
      <c r="D293" s="13" t="s">
        <v>164</v>
      </c>
      <c r="E293" s="90"/>
      <c r="F293" s="89" t="s">
        <v>127</v>
      </c>
      <c r="G293" s="96" t="s">
        <v>147</v>
      </c>
      <c r="H293" s="13" t="s">
        <v>168</v>
      </c>
      <c r="I293" s="13" t="s">
        <v>230</v>
      </c>
    </row>
    <row r="294" customFormat="false" ht="15" hidden="false" customHeight="false" outlineLevel="0" collapsed="false">
      <c r="A294" s="13" t="s">
        <v>105</v>
      </c>
      <c r="B294" s="13" t="s">
        <v>114</v>
      </c>
      <c r="C294" s="13" t="s">
        <v>713</v>
      </c>
      <c r="D294" s="13" t="s">
        <v>164</v>
      </c>
      <c r="E294" s="90"/>
      <c r="F294" s="95" t="s">
        <v>126</v>
      </c>
      <c r="G294" s="96" t="s">
        <v>147</v>
      </c>
      <c r="H294" s="13" t="s">
        <v>168</v>
      </c>
      <c r="I294" s="13" t="s">
        <v>714</v>
      </c>
    </row>
    <row r="295" customFormat="false" ht="15" hidden="false" customHeight="false" outlineLevel="0" collapsed="false">
      <c r="A295" s="13" t="s">
        <v>105</v>
      </c>
      <c r="B295" s="13" t="s">
        <v>114</v>
      </c>
      <c r="C295" s="13" t="s">
        <v>715</v>
      </c>
      <c r="D295" s="13" t="s">
        <v>164</v>
      </c>
      <c r="E295" s="90"/>
      <c r="F295" s="95" t="s">
        <v>126</v>
      </c>
      <c r="G295" s="90"/>
      <c r="H295" s="13" t="s">
        <v>716</v>
      </c>
      <c r="I295" s="13" t="s">
        <v>59</v>
      </c>
    </row>
    <row r="296" customFormat="false" ht="15" hidden="false" customHeight="false" outlineLevel="0" collapsed="false">
      <c r="A296" s="13" t="s">
        <v>105</v>
      </c>
      <c r="B296" s="13" t="s">
        <v>114</v>
      </c>
      <c r="C296" s="13" t="s">
        <v>717</v>
      </c>
      <c r="D296" s="13" t="s">
        <v>164</v>
      </c>
      <c r="E296" s="90"/>
      <c r="F296" s="95" t="s">
        <v>126</v>
      </c>
      <c r="G296" s="96" t="s">
        <v>147</v>
      </c>
      <c r="H296" s="13" t="s">
        <v>718</v>
      </c>
      <c r="I296" s="13" t="s">
        <v>719</v>
      </c>
    </row>
    <row r="297" customFormat="false" ht="15" hidden="false" customHeight="false" outlineLevel="0" collapsed="false">
      <c r="A297" s="13" t="s">
        <v>105</v>
      </c>
      <c r="B297" s="13" t="s">
        <v>114</v>
      </c>
      <c r="C297" s="13" t="s">
        <v>720</v>
      </c>
      <c r="D297" s="13" t="s">
        <v>164</v>
      </c>
      <c r="E297" s="90"/>
      <c r="F297" s="101" t="s">
        <v>128</v>
      </c>
      <c r="G297" s="90"/>
      <c r="H297" s="13"/>
      <c r="I297" s="13" t="s">
        <v>721</v>
      </c>
    </row>
    <row r="298" customFormat="false" ht="15" hidden="false" customHeight="false" outlineLevel="0" collapsed="false">
      <c r="A298" s="13" t="s">
        <v>105</v>
      </c>
      <c r="B298" s="13" t="s">
        <v>115</v>
      </c>
      <c r="C298" s="13" t="s">
        <v>722</v>
      </c>
      <c r="D298" s="13" t="s">
        <v>136</v>
      </c>
      <c r="E298" s="94" t="n">
        <f aca="false">Matrice!O182</f>
        <v>3</v>
      </c>
      <c r="F298" s="89" t="s">
        <v>127</v>
      </c>
      <c r="G298" s="96" t="s">
        <v>147</v>
      </c>
      <c r="H298" s="13" t="s">
        <v>723</v>
      </c>
      <c r="I298" s="13"/>
    </row>
    <row r="299" customFormat="false" ht="15" hidden="false" customHeight="false" outlineLevel="0" collapsed="false">
      <c r="A299" s="13" t="s">
        <v>105</v>
      </c>
      <c r="B299" s="13" t="s">
        <v>115</v>
      </c>
      <c r="C299" s="13" t="s">
        <v>724</v>
      </c>
      <c r="D299" s="13" t="s">
        <v>136</v>
      </c>
      <c r="E299" s="94" t="n">
        <f aca="false">Matrice!O183</f>
        <v>3</v>
      </c>
      <c r="F299" s="95" t="s">
        <v>126</v>
      </c>
      <c r="G299" s="96" t="s">
        <v>147</v>
      </c>
      <c r="H299" s="13" t="s">
        <v>725</v>
      </c>
      <c r="I299" s="13"/>
    </row>
    <row r="300" customFormat="false" ht="15" hidden="false" customHeight="false" outlineLevel="0" collapsed="false">
      <c r="A300" s="13" t="s">
        <v>105</v>
      </c>
      <c r="B300" s="13" t="s">
        <v>115</v>
      </c>
      <c r="C300" s="13" t="s">
        <v>726</v>
      </c>
      <c r="D300" s="13" t="s">
        <v>136</v>
      </c>
      <c r="E300" s="104" t="n">
        <f aca="false">Matrice!O184</f>
        <v>1</v>
      </c>
      <c r="F300" s="95" t="s">
        <v>126</v>
      </c>
      <c r="G300" s="96" t="s">
        <v>147</v>
      </c>
      <c r="H300" s="13" t="s">
        <v>727</v>
      </c>
      <c r="I300" s="13"/>
    </row>
    <row r="301" customFormat="false" ht="15" hidden="false" customHeight="false" outlineLevel="0" collapsed="false">
      <c r="A301" s="13" t="s">
        <v>105</v>
      </c>
      <c r="B301" s="13" t="s">
        <v>115</v>
      </c>
      <c r="C301" s="13" t="s">
        <v>728</v>
      </c>
      <c r="D301" s="13" t="s">
        <v>136</v>
      </c>
      <c r="E301" s="103" t="n">
        <f aca="false">Matrice!O185</f>
        <v>2</v>
      </c>
      <c r="F301" s="89" t="s">
        <v>127</v>
      </c>
      <c r="G301" s="96" t="s">
        <v>147</v>
      </c>
      <c r="H301" s="13" t="s">
        <v>729</v>
      </c>
      <c r="I301" s="13"/>
    </row>
    <row r="302" customFormat="false" ht="15" hidden="false" customHeight="false" outlineLevel="0" collapsed="false">
      <c r="A302" s="13" t="s">
        <v>105</v>
      </c>
      <c r="B302" s="13" t="s">
        <v>115</v>
      </c>
      <c r="C302" s="13" t="s">
        <v>730</v>
      </c>
      <c r="D302" s="13" t="s">
        <v>136</v>
      </c>
      <c r="E302" s="88" t="n">
        <f aca="false">Matrice!O186</f>
        <v>4</v>
      </c>
      <c r="F302" s="95" t="s">
        <v>126</v>
      </c>
      <c r="G302" s="96" t="s">
        <v>147</v>
      </c>
      <c r="H302" s="13" t="s">
        <v>633</v>
      </c>
      <c r="I302" s="13"/>
    </row>
    <row r="303" customFormat="false" ht="15" hidden="false" customHeight="false" outlineLevel="0" collapsed="false">
      <c r="A303" s="13" t="s">
        <v>105</v>
      </c>
      <c r="B303" s="13" t="s">
        <v>115</v>
      </c>
      <c r="C303" s="13" t="s">
        <v>731</v>
      </c>
      <c r="D303" s="13" t="s">
        <v>164</v>
      </c>
      <c r="E303" s="90"/>
      <c r="F303" s="95" t="s">
        <v>126</v>
      </c>
      <c r="G303" s="96" t="s">
        <v>147</v>
      </c>
      <c r="H303" s="13" t="s">
        <v>732</v>
      </c>
      <c r="I303" s="13" t="s">
        <v>733</v>
      </c>
    </row>
    <row r="304" customFormat="false" ht="15" hidden="false" customHeight="false" outlineLevel="0" collapsed="false">
      <c r="A304" s="13" t="s">
        <v>105</v>
      </c>
      <c r="B304" s="13" t="s">
        <v>115</v>
      </c>
      <c r="C304" s="13" t="s">
        <v>734</v>
      </c>
      <c r="D304" s="13" t="s">
        <v>164</v>
      </c>
      <c r="E304" s="90"/>
      <c r="F304" s="95" t="s">
        <v>126</v>
      </c>
      <c r="G304" s="96" t="s">
        <v>147</v>
      </c>
      <c r="H304" s="13" t="s">
        <v>735</v>
      </c>
      <c r="I304" s="13" t="s">
        <v>59</v>
      </c>
    </row>
    <row r="305" customFormat="false" ht="15" hidden="false" customHeight="false" outlineLevel="0" collapsed="false">
      <c r="A305" s="13" t="s">
        <v>105</v>
      </c>
      <c r="B305" s="13" t="s">
        <v>115</v>
      </c>
      <c r="C305" s="13" t="s">
        <v>736</v>
      </c>
      <c r="D305" s="13" t="s">
        <v>164</v>
      </c>
      <c r="E305" s="90"/>
      <c r="F305" s="95" t="s">
        <v>126</v>
      </c>
      <c r="G305" s="90"/>
      <c r="H305" s="13" t="s">
        <v>737</v>
      </c>
      <c r="I305" s="13" t="s">
        <v>738</v>
      </c>
    </row>
    <row r="306" customFormat="false" ht="15" hidden="false" customHeight="false" outlineLevel="0" collapsed="false">
      <c r="A306" s="13" t="s">
        <v>116</v>
      </c>
      <c r="B306" s="13" t="s">
        <v>117</v>
      </c>
      <c r="C306" s="13" t="s">
        <v>739</v>
      </c>
      <c r="D306" s="13" t="s">
        <v>136</v>
      </c>
      <c r="E306" s="104" t="n">
        <f aca="false">Matrice!O187</f>
        <v>1</v>
      </c>
      <c r="F306" s="95" t="s">
        <v>126</v>
      </c>
      <c r="G306" s="96" t="s">
        <v>147</v>
      </c>
      <c r="H306" s="13" t="s">
        <v>740</v>
      </c>
      <c r="I306" s="13"/>
    </row>
    <row r="307" customFormat="false" ht="15" hidden="false" customHeight="false" outlineLevel="0" collapsed="false">
      <c r="A307" s="13" t="s">
        <v>116</v>
      </c>
      <c r="B307" s="13" t="s">
        <v>117</v>
      </c>
      <c r="C307" s="13" t="s">
        <v>741</v>
      </c>
      <c r="D307" s="13" t="s">
        <v>136</v>
      </c>
      <c r="E307" s="102" t="n">
        <f aca="false">Matrice!O188</f>
        <v>0</v>
      </c>
      <c r="F307" s="95" t="s">
        <v>126</v>
      </c>
      <c r="G307" s="96" t="s">
        <v>147</v>
      </c>
      <c r="H307" s="13" t="s">
        <v>742</v>
      </c>
      <c r="I307" s="13"/>
    </row>
    <row r="308" customFormat="false" ht="15" hidden="false" customHeight="false" outlineLevel="0" collapsed="false">
      <c r="A308" s="13" t="s">
        <v>116</v>
      </c>
      <c r="B308" s="13" t="s">
        <v>117</v>
      </c>
      <c r="C308" s="13" t="s">
        <v>743</v>
      </c>
      <c r="D308" s="13" t="s">
        <v>136</v>
      </c>
      <c r="E308" s="104" t="n">
        <f aca="false">Matrice!O189</f>
        <v>1</v>
      </c>
      <c r="F308" s="89" t="s">
        <v>127</v>
      </c>
      <c r="G308" s="96" t="s">
        <v>147</v>
      </c>
      <c r="H308" s="13" t="s">
        <v>744</v>
      </c>
      <c r="I308" s="13"/>
    </row>
    <row r="309" customFormat="false" ht="15" hidden="false" customHeight="false" outlineLevel="0" collapsed="false">
      <c r="A309" s="13" t="s">
        <v>116</v>
      </c>
      <c r="B309" s="13" t="s">
        <v>117</v>
      </c>
      <c r="C309" s="13" t="s">
        <v>745</v>
      </c>
      <c r="D309" s="13" t="s">
        <v>136</v>
      </c>
      <c r="E309" s="104" t="n">
        <f aca="false">Matrice!O190</f>
        <v>1</v>
      </c>
      <c r="F309" s="89" t="s">
        <v>127</v>
      </c>
      <c r="G309" s="96" t="s">
        <v>147</v>
      </c>
      <c r="H309" s="13" t="s">
        <v>746</v>
      </c>
      <c r="I309" s="13"/>
    </row>
    <row r="310" customFormat="false" ht="15" hidden="false" customHeight="false" outlineLevel="0" collapsed="false">
      <c r="A310" s="13" t="s">
        <v>116</v>
      </c>
      <c r="B310" s="13" t="s">
        <v>117</v>
      </c>
      <c r="C310" s="13" t="s">
        <v>747</v>
      </c>
      <c r="D310" s="13" t="s">
        <v>136</v>
      </c>
      <c r="E310" s="102" t="n">
        <f aca="false">Matrice!O191</f>
        <v>0</v>
      </c>
      <c r="F310" s="95" t="s">
        <v>126</v>
      </c>
      <c r="G310" s="96" t="s">
        <v>147</v>
      </c>
      <c r="H310" s="13" t="s">
        <v>748</v>
      </c>
      <c r="I310" s="13"/>
    </row>
    <row r="311" customFormat="false" ht="15" hidden="false" customHeight="false" outlineLevel="0" collapsed="false">
      <c r="A311" s="13" t="s">
        <v>116</v>
      </c>
      <c r="B311" s="13" t="s">
        <v>118</v>
      </c>
      <c r="C311" s="13" t="s">
        <v>749</v>
      </c>
      <c r="D311" s="13" t="s">
        <v>136</v>
      </c>
      <c r="E311" s="98" t="n">
        <f aca="false">Matrice!O192</f>
        <v>9</v>
      </c>
      <c r="F311" s="92" t="s">
        <v>125</v>
      </c>
      <c r="G311" s="90"/>
      <c r="H311" s="13" t="s">
        <v>750</v>
      </c>
      <c r="I311" s="13"/>
    </row>
    <row r="312" customFormat="false" ht="15" hidden="false" customHeight="false" outlineLevel="0" collapsed="false">
      <c r="A312" s="13" t="s">
        <v>116</v>
      </c>
      <c r="B312" s="13" t="s">
        <v>118</v>
      </c>
      <c r="C312" s="13" t="s">
        <v>751</v>
      </c>
      <c r="D312" s="13" t="s">
        <v>136</v>
      </c>
      <c r="E312" s="94" t="n">
        <f aca="false">Matrice!O193</f>
        <v>3</v>
      </c>
      <c r="F312" s="89" t="s">
        <v>127</v>
      </c>
      <c r="G312" s="96" t="s">
        <v>147</v>
      </c>
      <c r="H312" s="13" t="s">
        <v>752</v>
      </c>
      <c r="I312" s="13"/>
    </row>
    <row r="313" customFormat="false" ht="15" hidden="false" customHeight="false" outlineLevel="0" collapsed="false">
      <c r="A313" s="13" t="s">
        <v>116</v>
      </c>
      <c r="B313" s="13" t="s">
        <v>118</v>
      </c>
      <c r="C313" s="13" t="s">
        <v>753</v>
      </c>
      <c r="D313" s="13" t="s">
        <v>136</v>
      </c>
      <c r="E313" s="103" t="n">
        <f aca="false">Matrice!O194</f>
        <v>2</v>
      </c>
      <c r="F313" s="95" t="s">
        <v>126</v>
      </c>
      <c r="G313" s="90"/>
      <c r="H313" s="13" t="s">
        <v>754</v>
      </c>
      <c r="I313" s="13"/>
    </row>
    <row r="314" customFormat="false" ht="15" hidden="false" customHeight="false" outlineLevel="0" collapsed="false">
      <c r="A314" s="13" t="s">
        <v>116</v>
      </c>
      <c r="B314" s="13" t="s">
        <v>118</v>
      </c>
      <c r="C314" s="13" t="s">
        <v>755</v>
      </c>
      <c r="D314" s="13" t="s">
        <v>136</v>
      </c>
      <c r="E314" s="103" t="n">
        <f aca="false">Matrice!O195</f>
        <v>2</v>
      </c>
      <c r="F314" s="89" t="s">
        <v>127</v>
      </c>
      <c r="G314" s="96" t="s">
        <v>147</v>
      </c>
      <c r="H314" s="13" t="s">
        <v>746</v>
      </c>
      <c r="I314" s="13"/>
    </row>
    <row r="315" customFormat="false" ht="15" hidden="false" customHeight="false" outlineLevel="0" collapsed="false">
      <c r="A315" s="13" t="s">
        <v>116</v>
      </c>
      <c r="B315" s="13" t="s">
        <v>119</v>
      </c>
      <c r="C315" s="13" t="s">
        <v>756</v>
      </c>
      <c r="D315" s="13" t="s">
        <v>136</v>
      </c>
      <c r="E315" s="99" t="n">
        <f aca="false">Matrice!O196</f>
        <v>10</v>
      </c>
      <c r="F315" s="92" t="s">
        <v>125</v>
      </c>
      <c r="G315" s="90"/>
      <c r="H315" s="13" t="s">
        <v>757</v>
      </c>
      <c r="I315" s="13"/>
    </row>
    <row r="316" customFormat="false" ht="15" hidden="false" customHeight="false" outlineLevel="0" collapsed="false">
      <c r="A316" s="13" t="s">
        <v>116</v>
      </c>
      <c r="B316" s="13" t="s">
        <v>119</v>
      </c>
      <c r="C316" s="13" t="s">
        <v>758</v>
      </c>
      <c r="D316" s="13" t="s">
        <v>136</v>
      </c>
      <c r="E316" s="93" t="n">
        <f aca="false">Matrice!O197</f>
        <v>7</v>
      </c>
      <c r="F316" s="92" t="s">
        <v>125</v>
      </c>
      <c r="G316" s="90"/>
      <c r="H316" s="13" t="s">
        <v>757</v>
      </c>
      <c r="I316" s="13"/>
    </row>
    <row r="317" customFormat="false" ht="15" hidden="false" customHeight="false" outlineLevel="0" collapsed="false">
      <c r="A317" s="13" t="s">
        <v>116</v>
      </c>
      <c r="B317" s="13" t="s">
        <v>119</v>
      </c>
      <c r="C317" s="13" t="s">
        <v>759</v>
      </c>
      <c r="D317" s="13" t="s">
        <v>136</v>
      </c>
      <c r="E317" s="93" t="n">
        <f aca="false">Matrice!O198</f>
        <v>7</v>
      </c>
      <c r="F317" s="95" t="s">
        <v>126</v>
      </c>
      <c r="G317" s="90"/>
      <c r="H317" s="13" t="s">
        <v>760</v>
      </c>
      <c r="I317" s="13"/>
    </row>
    <row r="318" customFormat="false" ht="15" hidden="false" customHeight="false" outlineLevel="0" collapsed="false">
      <c r="A318" s="13" t="s">
        <v>116</v>
      </c>
      <c r="B318" s="13" t="s">
        <v>119</v>
      </c>
      <c r="C318" s="13" t="s">
        <v>761</v>
      </c>
      <c r="D318" s="13" t="s">
        <v>136</v>
      </c>
      <c r="E318" s="91" t="n">
        <f aca="false">Matrice!O199</f>
        <v>8</v>
      </c>
      <c r="F318" s="92" t="s">
        <v>125</v>
      </c>
      <c r="G318" s="90"/>
      <c r="H318" s="13" t="s">
        <v>762</v>
      </c>
      <c r="I318" s="13"/>
    </row>
    <row r="319" customFormat="false" ht="15" hidden="false" customHeight="false" outlineLevel="0" collapsed="false">
      <c r="A319" s="13" t="s">
        <v>116</v>
      </c>
      <c r="B319" s="13" t="s">
        <v>119</v>
      </c>
      <c r="C319" s="13" t="s">
        <v>763</v>
      </c>
      <c r="D319" s="13" t="s">
        <v>136</v>
      </c>
      <c r="E319" s="93" t="n">
        <f aca="false">Matrice!O200</f>
        <v>7</v>
      </c>
      <c r="F319" s="95" t="s">
        <v>126</v>
      </c>
      <c r="G319" s="90"/>
      <c r="H319" s="13" t="s">
        <v>764</v>
      </c>
      <c r="I319" s="13"/>
    </row>
    <row r="320" customFormat="false" ht="15" hidden="false" customHeight="false" outlineLevel="0" collapsed="false">
      <c r="A320" s="13" t="s">
        <v>116</v>
      </c>
      <c r="B320" s="13" t="s">
        <v>119</v>
      </c>
      <c r="C320" s="13" t="s">
        <v>765</v>
      </c>
      <c r="D320" s="13" t="s">
        <v>136</v>
      </c>
      <c r="E320" s="94" t="n">
        <f aca="false">Matrice!O201</f>
        <v>3</v>
      </c>
      <c r="F320" s="95" t="s">
        <v>126</v>
      </c>
      <c r="G320" s="90"/>
      <c r="H320" s="13" t="s">
        <v>766</v>
      </c>
      <c r="I320" s="13"/>
    </row>
    <row r="321" customFormat="false" ht="15" hidden="false" customHeight="false" outlineLevel="0" collapsed="false">
      <c r="A321" s="13" t="s">
        <v>116</v>
      </c>
      <c r="B321" s="13" t="s">
        <v>119</v>
      </c>
      <c r="C321" s="13" t="s">
        <v>767</v>
      </c>
      <c r="D321" s="13" t="s">
        <v>136</v>
      </c>
      <c r="E321" s="98" t="n">
        <f aca="false">Matrice!O202</f>
        <v>9</v>
      </c>
      <c r="F321" s="92" t="s">
        <v>125</v>
      </c>
      <c r="G321" s="90"/>
      <c r="H321" s="13" t="s">
        <v>768</v>
      </c>
      <c r="I321" s="13"/>
    </row>
    <row r="322" customFormat="false" ht="15" hidden="false" customHeight="false" outlineLevel="0" collapsed="false">
      <c r="A322" s="13" t="s">
        <v>116</v>
      </c>
      <c r="B322" s="13" t="s">
        <v>119</v>
      </c>
      <c r="C322" s="13" t="s">
        <v>769</v>
      </c>
      <c r="D322" s="13" t="s">
        <v>136</v>
      </c>
      <c r="E322" s="88" t="n">
        <f aca="false">Matrice!O203</f>
        <v>4</v>
      </c>
      <c r="F322" s="95" t="s">
        <v>126</v>
      </c>
      <c r="G322" s="90"/>
      <c r="H322" s="13" t="s">
        <v>770</v>
      </c>
      <c r="I322" s="13"/>
    </row>
    <row r="323" customFormat="false" ht="15" hidden="false" customHeight="false" outlineLevel="0" collapsed="false">
      <c r="A323" s="13" t="s">
        <v>116</v>
      </c>
      <c r="B323" s="13" t="s">
        <v>119</v>
      </c>
      <c r="C323" s="13" t="s">
        <v>771</v>
      </c>
      <c r="D323" s="13" t="s">
        <v>136</v>
      </c>
      <c r="E323" s="88" t="n">
        <f aca="false">Matrice!O204</f>
        <v>4</v>
      </c>
      <c r="F323" s="95" t="s">
        <v>126</v>
      </c>
      <c r="G323" s="96" t="s">
        <v>147</v>
      </c>
      <c r="H323" s="13" t="s">
        <v>772</v>
      </c>
      <c r="I323" s="13"/>
    </row>
    <row r="324" customFormat="false" ht="15" hidden="false" customHeight="false" outlineLevel="0" collapsed="false">
      <c r="A324" s="13" t="s">
        <v>116</v>
      </c>
      <c r="B324" s="13" t="s">
        <v>119</v>
      </c>
      <c r="C324" s="13" t="s">
        <v>773</v>
      </c>
      <c r="D324" s="13" t="s">
        <v>164</v>
      </c>
      <c r="E324" s="90"/>
      <c r="F324" s="95" t="s">
        <v>126</v>
      </c>
      <c r="G324" s="90"/>
      <c r="H324" s="13" t="s">
        <v>774</v>
      </c>
      <c r="I324" s="13" t="s">
        <v>775</v>
      </c>
    </row>
    <row r="325" customFormat="false" ht="15" hidden="false" customHeight="false" outlineLevel="0" collapsed="false">
      <c r="A325" s="13" t="s">
        <v>116</v>
      </c>
      <c r="B325" s="13" t="s">
        <v>119</v>
      </c>
      <c r="C325" s="13" t="s">
        <v>776</v>
      </c>
      <c r="D325" s="13" t="s">
        <v>164</v>
      </c>
      <c r="E325" s="90"/>
      <c r="F325" s="95" t="s">
        <v>126</v>
      </c>
      <c r="G325" s="90"/>
      <c r="H325" s="13" t="s">
        <v>777</v>
      </c>
      <c r="I325" s="13" t="s">
        <v>63</v>
      </c>
    </row>
    <row r="326" customFormat="false" ht="15" hidden="false" customHeight="false" outlineLevel="0" collapsed="false">
      <c r="A326" s="13" t="s">
        <v>116</v>
      </c>
      <c r="B326" s="13" t="s">
        <v>119</v>
      </c>
      <c r="C326" s="13" t="s">
        <v>778</v>
      </c>
      <c r="D326" s="13" t="s">
        <v>164</v>
      </c>
      <c r="E326" s="90"/>
      <c r="F326" s="89" t="s">
        <v>127</v>
      </c>
      <c r="G326" s="90"/>
      <c r="H326" s="13" t="s">
        <v>168</v>
      </c>
      <c r="I326" s="13" t="s">
        <v>779</v>
      </c>
    </row>
    <row r="327" customFormat="false" ht="15" hidden="false" customHeight="false" outlineLevel="0" collapsed="false">
      <c r="A327" s="13" t="s">
        <v>116</v>
      </c>
      <c r="B327" s="13" t="s">
        <v>119</v>
      </c>
      <c r="C327" s="13" t="s">
        <v>780</v>
      </c>
      <c r="D327" s="13" t="s">
        <v>164</v>
      </c>
      <c r="E327" s="90"/>
      <c r="F327" s="95" t="s">
        <v>126</v>
      </c>
      <c r="G327" s="96" t="s">
        <v>147</v>
      </c>
      <c r="H327" s="13" t="s">
        <v>781</v>
      </c>
      <c r="I327" s="13" t="s">
        <v>241</v>
      </c>
    </row>
    <row r="328" customFormat="false" ht="15" hidden="false" customHeight="false" outlineLevel="0" collapsed="false">
      <c r="A328" s="13" t="s">
        <v>116</v>
      </c>
      <c r="B328" s="13" t="s">
        <v>119</v>
      </c>
      <c r="C328" s="13" t="s">
        <v>782</v>
      </c>
      <c r="D328" s="13" t="s">
        <v>164</v>
      </c>
      <c r="E328" s="90"/>
      <c r="F328" s="95" t="s">
        <v>126</v>
      </c>
      <c r="G328" s="90"/>
      <c r="H328" s="13" t="s">
        <v>783</v>
      </c>
      <c r="I328" s="13" t="s">
        <v>172</v>
      </c>
    </row>
    <row r="329" customFormat="false" ht="15" hidden="false" customHeight="false" outlineLevel="0" collapsed="false">
      <c r="A329" s="13" t="s">
        <v>116</v>
      </c>
      <c r="B329" s="13" t="s">
        <v>119</v>
      </c>
      <c r="C329" s="13" t="s">
        <v>784</v>
      </c>
      <c r="D329" s="13" t="s">
        <v>164</v>
      </c>
      <c r="E329" s="90"/>
      <c r="F329" s="95" t="s">
        <v>126</v>
      </c>
      <c r="G329" s="90"/>
      <c r="H329" s="13" t="s">
        <v>785</v>
      </c>
      <c r="I329" s="13" t="s">
        <v>39</v>
      </c>
    </row>
    <row r="330" customFormat="false" ht="15" hidden="false" customHeight="false" outlineLevel="0" collapsed="false">
      <c r="A330" s="13" t="s">
        <v>116</v>
      </c>
      <c r="B330" s="13" t="s">
        <v>119</v>
      </c>
      <c r="C330" s="13" t="s">
        <v>786</v>
      </c>
      <c r="D330" s="13" t="s">
        <v>164</v>
      </c>
      <c r="E330" s="90"/>
      <c r="F330" s="95" t="s">
        <v>126</v>
      </c>
      <c r="G330" s="90"/>
      <c r="H330" s="13" t="s">
        <v>787</v>
      </c>
      <c r="I330" s="13" t="s">
        <v>59</v>
      </c>
    </row>
    <row r="331" customFormat="false" ht="15" hidden="false" customHeight="false" outlineLevel="0" collapsed="false">
      <c r="A331" s="13" t="s">
        <v>116</v>
      </c>
      <c r="B331" s="13" t="s">
        <v>119</v>
      </c>
      <c r="C331" s="13" t="s">
        <v>788</v>
      </c>
      <c r="D331" s="13" t="s">
        <v>164</v>
      </c>
      <c r="E331" s="90"/>
      <c r="F331" s="101" t="s">
        <v>128</v>
      </c>
      <c r="G331" s="90"/>
      <c r="H331" s="13"/>
      <c r="I331" s="13" t="s">
        <v>35</v>
      </c>
    </row>
    <row r="332" customFormat="false" ht="15" hidden="false" customHeight="false" outlineLevel="0" collapsed="false">
      <c r="A332" s="13" t="s">
        <v>116</v>
      </c>
      <c r="B332" s="13" t="s">
        <v>120</v>
      </c>
      <c r="C332" s="13" t="s">
        <v>789</v>
      </c>
      <c r="D332" s="13" t="s">
        <v>164</v>
      </c>
      <c r="E332" s="90"/>
      <c r="F332" s="95" t="s">
        <v>126</v>
      </c>
      <c r="G332" s="90"/>
      <c r="H332" s="13"/>
      <c r="I332" s="13" t="s">
        <v>198</v>
      </c>
    </row>
    <row r="333" customFormat="false" ht="15" hidden="false" customHeight="false" outlineLevel="0" collapsed="false">
      <c r="A333" s="13" t="s">
        <v>116</v>
      </c>
      <c r="B333" s="13" t="s">
        <v>120</v>
      </c>
      <c r="C333" s="13" t="s">
        <v>790</v>
      </c>
      <c r="D333" s="13" t="s">
        <v>164</v>
      </c>
      <c r="E333" s="90"/>
      <c r="F333" s="101" t="s">
        <v>128</v>
      </c>
      <c r="G333" s="90"/>
      <c r="H333" s="13"/>
      <c r="I333" s="13" t="s">
        <v>791</v>
      </c>
    </row>
    <row r="334" customFormat="false" ht="15" hidden="false" customHeight="false" outlineLevel="0" collapsed="false">
      <c r="A334" s="13" t="s">
        <v>116</v>
      </c>
      <c r="B334" s="13" t="s">
        <v>120</v>
      </c>
      <c r="C334" s="13" t="s">
        <v>792</v>
      </c>
      <c r="D334" s="13" t="s">
        <v>164</v>
      </c>
      <c r="E334" s="90"/>
      <c r="F334" s="101" t="s">
        <v>128</v>
      </c>
      <c r="G334" s="90"/>
      <c r="H334" s="13"/>
      <c r="I334" s="13" t="s">
        <v>303</v>
      </c>
    </row>
    <row r="335" customFormat="false" ht="23.85" hidden="false" customHeight="false" outlineLevel="0" collapsed="false">
      <c r="A335" s="13" t="s">
        <v>96</v>
      </c>
      <c r="B335" s="13" t="s">
        <v>793</v>
      </c>
      <c r="C335" s="13" t="s">
        <v>794</v>
      </c>
      <c r="D335" s="13" t="s">
        <v>164</v>
      </c>
      <c r="E335" s="90"/>
      <c r="F335" s="92" t="s">
        <v>125</v>
      </c>
      <c r="G335" s="90"/>
      <c r="H335" s="13" t="s">
        <v>795</v>
      </c>
      <c r="I335" s="13" t="s">
        <v>796</v>
      </c>
    </row>
    <row r="336" customFormat="false" ht="15" hidden="false" customHeight="false" outlineLevel="0" collapsed="false">
      <c r="A336" s="13" t="s">
        <v>96</v>
      </c>
      <c r="B336" s="13" t="s">
        <v>793</v>
      </c>
      <c r="C336" s="13" t="s">
        <v>797</v>
      </c>
      <c r="D336" s="13" t="s">
        <v>164</v>
      </c>
      <c r="E336" s="90"/>
      <c r="F336" s="92" t="s">
        <v>125</v>
      </c>
      <c r="G336" s="90"/>
      <c r="H336" s="13" t="s">
        <v>798</v>
      </c>
      <c r="I336" s="13" t="s">
        <v>799</v>
      </c>
    </row>
    <row r="337" customFormat="false" ht="23.85" hidden="false" customHeight="false" outlineLevel="0" collapsed="false">
      <c r="A337" s="13" t="s">
        <v>96</v>
      </c>
      <c r="B337" s="13" t="s">
        <v>793</v>
      </c>
      <c r="C337" s="13" t="s">
        <v>800</v>
      </c>
      <c r="D337" s="13" t="s">
        <v>164</v>
      </c>
      <c r="E337" s="90"/>
      <c r="F337" s="95" t="s">
        <v>126</v>
      </c>
      <c r="G337" s="90"/>
      <c r="H337" s="13" t="s">
        <v>168</v>
      </c>
      <c r="I337" s="13" t="s">
        <v>391</v>
      </c>
    </row>
    <row r="338" customFormat="false" ht="15" hidden="false" customHeight="false" outlineLevel="0" collapsed="false">
      <c r="A338" s="13" t="s">
        <v>96</v>
      </c>
      <c r="B338" s="13" t="s">
        <v>793</v>
      </c>
      <c r="C338" s="13" t="s">
        <v>801</v>
      </c>
      <c r="D338" s="13" t="s">
        <v>164</v>
      </c>
      <c r="E338" s="90"/>
      <c r="F338" s="89" t="s">
        <v>127</v>
      </c>
      <c r="G338" s="90"/>
      <c r="H338" s="13" t="s">
        <v>168</v>
      </c>
      <c r="I338" s="13" t="s">
        <v>359</v>
      </c>
    </row>
    <row r="339" customFormat="false" ht="15" hidden="false" customHeight="false" outlineLevel="0" collapsed="false">
      <c r="A339" s="13" t="s">
        <v>96</v>
      </c>
      <c r="B339" s="13" t="s">
        <v>802</v>
      </c>
      <c r="C339" s="13" t="s">
        <v>803</v>
      </c>
      <c r="D339" s="13" t="s">
        <v>164</v>
      </c>
      <c r="E339" s="90"/>
      <c r="F339" s="89" t="s">
        <v>127</v>
      </c>
      <c r="G339" s="90"/>
      <c r="H339" s="13" t="s">
        <v>804</v>
      </c>
      <c r="I339" s="13" t="s">
        <v>805</v>
      </c>
    </row>
    <row r="340" customFormat="false" ht="15" hidden="false" customHeight="false" outlineLevel="0" collapsed="false">
      <c r="A340" s="13" t="s">
        <v>96</v>
      </c>
      <c r="B340" s="13" t="s">
        <v>802</v>
      </c>
      <c r="C340" s="13" t="s">
        <v>806</v>
      </c>
      <c r="D340" s="13" t="s">
        <v>164</v>
      </c>
      <c r="E340" s="90"/>
      <c r="F340" s="95" t="s">
        <v>126</v>
      </c>
      <c r="G340" s="90"/>
      <c r="H340" s="13" t="s">
        <v>807</v>
      </c>
      <c r="I340" s="13" t="s">
        <v>230</v>
      </c>
    </row>
    <row r="341" customFormat="false" ht="15" hidden="false" customHeight="false" outlineLevel="0" collapsed="false">
      <c r="A341" s="13" t="s">
        <v>96</v>
      </c>
      <c r="B341" s="13" t="s">
        <v>802</v>
      </c>
      <c r="C341" s="13" t="s">
        <v>808</v>
      </c>
      <c r="D341" s="13" t="s">
        <v>164</v>
      </c>
      <c r="E341" s="90"/>
      <c r="F341" s="89" t="s">
        <v>127</v>
      </c>
      <c r="G341" s="90"/>
      <c r="H341" s="13" t="s">
        <v>168</v>
      </c>
      <c r="I341" s="13" t="s">
        <v>809</v>
      </c>
    </row>
    <row r="342" customFormat="false" ht="15" hidden="false" customHeight="false" outlineLevel="0" collapsed="false">
      <c r="A342" s="13" t="s">
        <v>96</v>
      </c>
      <c r="B342" s="13" t="s">
        <v>802</v>
      </c>
      <c r="C342" s="13" t="s">
        <v>810</v>
      </c>
      <c r="D342" s="13" t="s">
        <v>164</v>
      </c>
      <c r="E342" s="90"/>
      <c r="F342" s="89" t="s">
        <v>127</v>
      </c>
      <c r="G342" s="90"/>
      <c r="H342" s="13" t="s">
        <v>811</v>
      </c>
      <c r="I342" s="13" t="s">
        <v>631</v>
      </c>
    </row>
    <row r="343" customFormat="false" ht="15" hidden="false" customHeight="false" outlineLevel="0" collapsed="false">
      <c r="A343" s="13" t="s">
        <v>96</v>
      </c>
      <c r="B343" s="13" t="s">
        <v>802</v>
      </c>
      <c r="C343" s="13" t="s">
        <v>812</v>
      </c>
      <c r="D343" s="13" t="s">
        <v>164</v>
      </c>
      <c r="E343" s="90"/>
      <c r="F343" s="89" t="s">
        <v>127</v>
      </c>
      <c r="G343" s="90"/>
      <c r="H343" s="13" t="s">
        <v>813</v>
      </c>
      <c r="I343" s="13" t="s">
        <v>814</v>
      </c>
    </row>
    <row r="344" customFormat="false" ht="15" hidden="false" customHeight="false" outlineLevel="0" collapsed="false">
      <c r="A344" s="13" t="s">
        <v>96</v>
      </c>
      <c r="B344" s="13" t="s">
        <v>802</v>
      </c>
      <c r="C344" s="13" t="s">
        <v>815</v>
      </c>
      <c r="D344" s="13" t="s">
        <v>164</v>
      </c>
      <c r="E344" s="90"/>
      <c r="F344" s="89" t="s">
        <v>127</v>
      </c>
      <c r="G344" s="90"/>
      <c r="H344" s="13" t="s">
        <v>168</v>
      </c>
      <c r="I344" s="13" t="s">
        <v>201</v>
      </c>
    </row>
  </sheetData>
  <autoFilter ref="A11:I344"/>
  <mergeCells count="1">
    <mergeCell ref="A2:H2"/>
  </mergeCells>
  <conditionalFormatting sqref="F12:F344">
    <cfRule type="cellIs" priority="2" operator="equal" aboveAverage="0" equalAverage="0" bottom="0" percent="0" rank="0" text="" dxfId="19">
      <formula>"MVP"</formula>
    </cfRule>
    <cfRule type="cellIs" priority="3" operator="equal" aboveAverage="0" equalAverage="0" bottom="0" percent="0" rank="0" text="" dxfId="20">
      <formula>"V1"</formula>
    </cfRule>
    <cfRule type="cellIs" priority="4" operator="equal" aboveAverage="0" equalAverage="0" bottom="0" percent="0" rank="0" text="" dxfId="21">
      <formula>"V2"</formula>
    </cfRule>
    <cfRule type="cellIs" priority="5" operator="equal" aboveAverage="0" equalAverage="0" bottom="0" percent="0" rank="0" text="" dxfId="22">
      <formula>"Hors périmètre"</formula>
    </cfRule>
  </conditionalFormatting>
  <conditionalFormatting sqref="G12:G344">
    <cfRule type="cellIs" priority="6" operator="equal" aboveAverage="0" equalAverage="0" bottom="0" percent="0" rank="0" text="" dxfId="23">
      <formula>"Oui"</formula>
    </cfRule>
  </conditionalFormatting>
  <conditionalFormatting sqref="E12:E344">
    <cfRule type="colorScale" priority="7">
      <colorScale>
        <cfvo type="num" val="0"/>
        <cfvo type="num" val="5"/>
        <cfvo type="num" val="10"/>
        <color rgb="FFF8CBAD"/>
        <color rgb="FFFFEB84"/>
        <color rgb="FFA9D08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13" min="4" style="0" width="11"/>
    <col collapsed="false" customWidth="true" hidden="false" outlineLevel="0" max="14" min="14" style="0" width="9"/>
    <col collapsed="false" customWidth="true" hidden="false" outlineLevel="0" max="15" min="15" style="0" width="13"/>
  </cols>
  <sheetData>
    <row r="1" customFormat="false" ht="31.5" hidden="false" customHeight="true" outlineLevel="0" collapsed="false">
      <c r="A1" s="16" t="s">
        <v>82</v>
      </c>
      <c r="B1" s="16" t="s">
        <v>83</v>
      </c>
      <c r="C1" s="16" t="s">
        <v>129</v>
      </c>
      <c r="D1" s="16" t="s">
        <v>35</v>
      </c>
      <c r="E1" s="16" t="s">
        <v>39</v>
      </c>
      <c r="F1" s="16" t="s">
        <v>43</v>
      </c>
      <c r="G1" s="16" t="s">
        <v>47</v>
      </c>
      <c r="H1" s="16" t="s">
        <v>51</v>
      </c>
      <c r="I1" s="16" t="s">
        <v>55</v>
      </c>
      <c r="J1" s="16" t="s">
        <v>59</v>
      </c>
      <c r="K1" s="16" t="s">
        <v>63</v>
      </c>
      <c r="L1" s="16" t="s">
        <v>67</v>
      </c>
      <c r="M1" s="16" t="s">
        <v>71</v>
      </c>
      <c r="N1" s="16" t="s">
        <v>816</v>
      </c>
      <c r="O1" s="16" t="s">
        <v>817</v>
      </c>
    </row>
    <row r="2" customFormat="false" ht="15" hidden="false" customHeight="false" outlineLevel="0" collapsed="false">
      <c r="A2" s="38" t="s">
        <v>85</v>
      </c>
      <c r="B2" s="38" t="s">
        <v>86</v>
      </c>
      <c r="C2" s="105" t="s">
        <v>135</v>
      </c>
      <c r="D2" s="95" t="s">
        <v>18</v>
      </c>
      <c r="E2" s="92" t="s">
        <v>16</v>
      </c>
      <c r="F2" s="92" t="s">
        <v>16</v>
      </c>
      <c r="G2" s="106" t="s">
        <v>24</v>
      </c>
      <c r="H2" s="92" t="s">
        <v>16</v>
      </c>
      <c r="I2" s="107" t="s">
        <v>22</v>
      </c>
      <c r="J2" s="107" t="s">
        <v>22</v>
      </c>
      <c r="K2" s="106" t="s">
        <v>24</v>
      </c>
      <c r="L2" s="106" t="s">
        <v>24</v>
      </c>
      <c r="M2" s="106" t="s">
        <v>24</v>
      </c>
      <c r="N2" s="18" t="n">
        <f aca="false">COUNTIF(D2:M2,"Natif")</f>
        <v>3</v>
      </c>
      <c r="O2" s="18" t="n">
        <f aca="false">COUNTIF(D2:M2,"Natif")+COUNTIF(D2:M2,"Officiel")</f>
        <v>4</v>
      </c>
    </row>
    <row r="3" customFormat="false" ht="23.85" hidden="false" customHeight="false" outlineLevel="0" collapsed="false">
      <c r="A3" s="38" t="s">
        <v>85</v>
      </c>
      <c r="B3" s="38" t="s">
        <v>86</v>
      </c>
      <c r="C3" s="105" t="s">
        <v>138</v>
      </c>
      <c r="D3" s="92" t="s">
        <v>16</v>
      </c>
      <c r="E3" s="92" t="s">
        <v>16</v>
      </c>
      <c r="F3" s="92" t="s">
        <v>16</v>
      </c>
      <c r="G3" s="92" t="s">
        <v>16</v>
      </c>
      <c r="H3" s="92" t="s">
        <v>16</v>
      </c>
      <c r="I3" s="92" t="s">
        <v>16</v>
      </c>
      <c r="J3" s="92" t="s">
        <v>16</v>
      </c>
      <c r="K3" s="92" t="s">
        <v>16</v>
      </c>
      <c r="L3" s="107" t="s">
        <v>22</v>
      </c>
      <c r="M3" s="107" t="s">
        <v>22</v>
      </c>
      <c r="N3" s="18" t="n">
        <f aca="false">COUNTIF(D3:M3,"Natif")</f>
        <v>8</v>
      </c>
      <c r="O3" s="18" t="n">
        <f aca="false">COUNTIF(D3:M3,"Natif")+COUNTIF(D3:M3,"Officiel")</f>
        <v>8</v>
      </c>
    </row>
    <row r="4" customFormat="false" ht="23.85" hidden="false" customHeight="false" outlineLevel="0" collapsed="false">
      <c r="A4" s="38" t="s">
        <v>85</v>
      </c>
      <c r="B4" s="38" t="s">
        <v>86</v>
      </c>
      <c r="C4" s="105" t="s">
        <v>140</v>
      </c>
      <c r="D4" s="95" t="s">
        <v>18</v>
      </c>
      <c r="E4" s="92" t="s">
        <v>16</v>
      </c>
      <c r="F4" s="92" t="s">
        <v>16</v>
      </c>
      <c r="G4" s="92" t="s">
        <v>16</v>
      </c>
      <c r="H4" s="92" t="s">
        <v>16</v>
      </c>
      <c r="I4" s="92" t="s">
        <v>16</v>
      </c>
      <c r="J4" s="92" t="s">
        <v>16</v>
      </c>
      <c r="K4" s="92" t="s">
        <v>16</v>
      </c>
      <c r="L4" s="107" t="s">
        <v>22</v>
      </c>
      <c r="M4" s="106" t="s">
        <v>24</v>
      </c>
      <c r="N4" s="18" t="n">
        <f aca="false">COUNTIF(D4:M4,"Natif")</f>
        <v>7</v>
      </c>
      <c r="O4" s="18" t="n">
        <f aca="false">COUNTIF(D4:M4,"Natif")+COUNTIF(D4:M4,"Officiel")</f>
        <v>8</v>
      </c>
    </row>
    <row r="5" customFormat="false" ht="15" hidden="false" customHeight="false" outlineLevel="0" collapsed="false">
      <c r="A5" s="38" t="s">
        <v>85</v>
      </c>
      <c r="B5" s="38" t="s">
        <v>86</v>
      </c>
      <c r="C5" s="105" t="s">
        <v>142</v>
      </c>
      <c r="D5" s="95" t="s">
        <v>18</v>
      </c>
      <c r="E5" s="89" t="s">
        <v>20</v>
      </c>
      <c r="F5" s="92" t="s">
        <v>16</v>
      </c>
      <c r="G5" s="92" t="s">
        <v>16</v>
      </c>
      <c r="H5" s="92" t="s">
        <v>16</v>
      </c>
      <c r="I5" s="92" t="s">
        <v>16</v>
      </c>
      <c r="J5" s="92" t="s">
        <v>16</v>
      </c>
      <c r="K5" s="92" t="s">
        <v>16</v>
      </c>
      <c r="L5" s="107" t="s">
        <v>22</v>
      </c>
      <c r="M5" s="106" t="s">
        <v>24</v>
      </c>
      <c r="N5" s="18" t="n">
        <f aca="false">COUNTIF(D5:M5,"Natif")</f>
        <v>6</v>
      </c>
      <c r="O5" s="18" t="n">
        <f aca="false">COUNTIF(D5:M5,"Natif")+COUNTIF(D5:M5,"Officiel")</f>
        <v>7</v>
      </c>
    </row>
    <row r="6" customFormat="false" ht="15" hidden="false" customHeight="false" outlineLevel="0" collapsed="false">
      <c r="A6" s="38" t="s">
        <v>85</v>
      </c>
      <c r="B6" s="38" t="s">
        <v>86</v>
      </c>
      <c r="C6" s="105" t="s">
        <v>144</v>
      </c>
      <c r="D6" s="95" t="s">
        <v>18</v>
      </c>
      <c r="E6" s="92" t="s">
        <v>16</v>
      </c>
      <c r="F6" s="92" t="s">
        <v>16</v>
      </c>
      <c r="G6" s="92" t="s">
        <v>16</v>
      </c>
      <c r="H6" s="92" t="s">
        <v>16</v>
      </c>
      <c r="I6" s="92" t="s">
        <v>16</v>
      </c>
      <c r="J6" s="107" t="s">
        <v>22</v>
      </c>
      <c r="K6" s="92" t="s">
        <v>16</v>
      </c>
      <c r="L6" s="107" t="s">
        <v>22</v>
      </c>
      <c r="M6" s="107" t="s">
        <v>22</v>
      </c>
      <c r="N6" s="18" t="n">
        <f aca="false">COUNTIF(D6:M6,"Natif")</f>
        <v>6</v>
      </c>
      <c r="O6" s="18" t="n">
        <f aca="false">COUNTIF(D6:M6,"Natif")+COUNTIF(D6:M6,"Officiel")</f>
        <v>7</v>
      </c>
    </row>
    <row r="7" customFormat="false" ht="15" hidden="false" customHeight="false" outlineLevel="0" collapsed="false">
      <c r="A7" s="38" t="s">
        <v>85</v>
      </c>
      <c r="B7" s="38" t="s">
        <v>86</v>
      </c>
      <c r="C7" s="105" t="s">
        <v>146</v>
      </c>
      <c r="D7" s="95" t="s">
        <v>18</v>
      </c>
      <c r="E7" s="107" t="s">
        <v>22</v>
      </c>
      <c r="F7" s="107" t="s">
        <v>22</v>
      </c>
      <c r="G7" s="107" t="s">
        <v>22</v>
      </c>
      <c r="H7" s="89" t="s">
        <v>20</v>
      </c>
      <c r="I7" s="92" t="s">
        <v>16</v>
      </c>
      <c r="J7" s="106" t="s">
        <v>24</v>
      </c>
      <c r="K7" s="92" t="s">
        <v>16</v>
      </c>
      <c r="L7" s="107" t="s">
        <v>22</v>
      </c>
      <c r="M7" s="107" t="s">
        <v>22</v>
      </c>
      <c r="N7" s="18" t="n">
        <f aca="false">COUNTIF(D7:M7,"Natif")</f>
        <v>2</v>
      </c>
      <c r="O7" s="18" t="n">
        <f aca="false">COUNTIF(D7:M7,"Natif")+COUNTIF(D7:M7,"Officiel")</f>
        <v>3</v>
      </c>
    </row>
    <row r="8" customFormat="false" ht="23.85" hidden="false" customHeight="false" outlineLevel="0" collapsed="false">
      <c r="A8" s="38" t="s">
        <v>85</v>
      </c>
      <c r="B8" s="38" t="s">
        <v>86</v>
      </c>
      <c r="C8" s="105" t="s">
        <v>149</v>
      </c>
      <c r="D8" s="92" t="s">
        <v>16</v>
      </c>
      <c r="E8" s="92" t="s">
        <v>16</v>
      </c>
      <c r="F8" s="92" t="s">
        <v>16</v>
      </c>
      <c r="G8" s="107" t="s">
        <v>22</v>
      </c>
      <c r="H8" s="92" t="s">
        <v>16</v>
      </c>
      <c r="I8" s="107" t="s">
        <v>22</v>
      </c>
      <c r="J8" s="92" t="s">
        <v>16</v>
      </c>
      <c r="K8" s="107" t="s">
        <v>22</v>
      </c>
      <c r="L8" s="107" t="s">
        <v>22</v>
      </c>
      <c r="M8" s="92" t="s">
        <v>16</v>
      </c>
      <c r="N8" s="18" t="n">
        <f aca="false">COUNTIF(D8:M8,"Natif")</f>
        <v>6</v>
      </c>
      <c r="O8" s="18" t="n">
        <f aca="false">COUNTIF(D8:M8,"Natif")+COUNTIF(D8:M8,"Officiel")</f>
        <v>6</v>
      </c>
    </row>
    <row r="9" customFormat="false" ht="15" hidden="false" customHeight="false" outlineLevel="0" collapsed="false">
      <c r="A9" s="38" t="s">
        <v>85</v>
      </c>
      <c r="B9" s="38" t="s">
        <v>86</v>
      </c>
      <c r="C9" s="105" t="s">
        <v>151</v>
      </c>
      <c r="D9" s="92" t="s">
        <v>16</v>
      </c>
      <c r="E9" s="107" t="s">
        <v>22</v>
      </c>
      <c r="F9" s="92" t="s">
        <v>16</v>
      </c>
      <c r="G9" s="92" t="s">
        <v>16</v>
      </c>
      <c r="H9" s="92" t="s">
        <v>16</v>
      </c>
      <c r="I9" s="92" t="s">
        <v>16</v>
      </c>
      <c r="J9" s="92" t="s">
        <v>16</v>
      </c>
      <c r="K9" s="95" t="s">
        <v>18</v>
      </c>
      <c r="L9" s="92" t="s">
        <v>16</v>
      </c>
      <c r="M9" s="92" t="s">
        <v>16</v>
      </c>
      <c r="N9" s="18" t="n">
        <f aca="false">COUNTIF(D9:M9,"Natif")</f>
        <v>8</v>
      </c>
      <c r="O9" s="18" t="n">
        <f aca="false">COUNTIF(D9:M9,"Natif")+COUNTIF(D9:M9,"Officiel")</f>
        <v>9</v>
      </c>
    </row>
    <row r="10" customFormat="false" ht="23.85" hidden="false" customHeight="false" outlineLevel="0" collapsed="false">
      <c r="A10" s="38" t="s">
        <v>85</v>
      </c>
      <c r="B10" s="38" t="s">
        <v>86</v>
      </c>
      <c r="C10" s="105" t="s">
        <v>153</v>
      </c>
      <c r="D10" s="95" t="s">
        <v>18</v>
      </c>
      <c r="E10" s="107" t="s">
        <v>22</v>
      </c>
      <c r="F10" s="92" t="s">
        <v>16</v>
      </c>
      <c r="G10" s="92" t="s">
        <v>16</v>
      </c>
      <c r="H10" s="92" t="s">
        <v>16</v>
      </c>
      <c r="I10" s="92" t="s">
        <v>16</v>
      </c>
      <c r="J10" s="92" t="s">
        <v>16</v>
      </c>
      <c r="K10" s="92" t="s">
        <v>16</v>
      </c>
      <c r="L10" s="106" t="s">
        <v>24</v>
      </c>
      <c r="M10" s="106" t="s">
        <v>24</v>
      </c>
      <c r="N10" s="18" t="n">
        <f aca="false">COUNTIF(D10:M10,"Natif")</f>
        <v>6</v>
      </c>
      <c r="O10" s="18" t="n">
        <f aca="false">COUNTIF(D10:M10,"Natif")+COUNTIF(D10:M10,"Officiel")</f>
        <v>7</v>
      </c>
    </row>
    <row r="11" customFormat="false" ht="15" hidden="false" customHeight="false" outlineLevel="0" collapsed="false">
      <c r="A11" s="38" t="s">
        <v>85</v>
      </c>
      <c r="B11" s="38" t="s">
        <v>86</v>
      </c>
      <c r="C11" s="105" t="s">
        <v>155</v>
      </c>
      <c r="D11" s="95" t="s">
        <v>18</v>
      </c>
      <c r="E11" s="107" t="s">
        <v>22</v>
      </c>
      <c r="F11" s="92" t="s">
        <v>16</v>
      </c>
      <c r="G11" s="92" t="s">
        <v>16</v>
      </c>
      <c r="H11" s="92" t="s">
        <v>16</v>
      </c>
      <c r="I11" s="92" t="s">
        <v>16</v>
      </c>
      <c r="J11" s="92" t="s">
        <v>16</v>
      </c>
      <c r="K11" s="92" t="s">
        <v>16</v>
      </c>
      <c r="L11" s="92" t="s">
        <v>16</v>
      </c>
      <c r="M11" s="107" t="s">
        <v>22</v>
      </c>
      <c r="N11" s="18" t="n">
        <f aca="false">COUNTIF(D11:M11,"Natif")</f>
        <v>7</v>
      </c>
      <c r="O11" s="18" t="n">
        <f aca="false">COUNTIF(D11:M11,"Natif")+COUNTIF(D11:M11,"Officiel")</f>
        <v>8</v>
      </c>
    </row>
    <row r="12" customFormat="false" ht="15" hidden="false" customHeight="false" outlineLevel="0" collapsed="false">
      <c r="A12" s="38" t="s">
        <v>85</v>
      </c>
      <c r="B12" s="38" t="s">
        <v>86</v>
      </c>
      <c r="C12" s="105" t="s">
        <v>157</v>
      </c>
      <c r="D12" s="95" t="s">
        <v>18</v>
      </c>
      <c r="E12" s="92" t="s">
        <v>16</v>
      </c>
      <c r="F12" s="92" t="s">
        <v>16</v>
      </c>
      <c r="G12" s="92" t="s">
        <v>16</v>
      </c>
      <c r="H12" s="92" t="s">
        <v>16</v>
      </c>
      <c r="I12" s="92" t="s">
        <v>16</v>
      </c>
      <c r="J12" s="92" t="s">
        <v>16</v>
      </c>
      <c r="K12" s="92" t="s">
        <v>16</v>
      </c>
      <c r="L12" s="92" t="s">
        <v>16</v>
      </c>
      <c r="M12" s="92" t="s">
        <v>16</v>
      </c>
      <c r="N12" s="18" t="n">
        <f aca="false">COUNTIF(D12:M12,"Natif")</f>
        <v>9</v>
      </c>
      <c r="O12" s="18" t="n">
        <f aca="false">COUNTIF(D12:M12,"Natif")+COUNTIF(D12:M12,"Officiel")</f>
        <v>10</v>
      </c>
    </row>
    <row r="13" customFormat="false" ht="15" hidden="false" customHeight="false" outlineLevel="0" collapsed="false">
      <c r="A13" s="38" t="s">
        <v>85</v>
      </c>
      <c r="B13" s="38" t="s">
        <v>86</v>
      </c>
      <c r="C13" s="105" t="s">
        <v>159</v>
      </c>
      <c r="D13" s="95" t="s">
        <v>18</v>
      </c>
      <c r="E13" s="89" t="s">
        <v>20</v>
      </c>
      <c r="F13" s="92" t="s">
        <v>16</v>
      </c>
      <c r="G13" s="107" t="s">
        <v>22</v>
      </c>
      <c r="H13" s="92" t="s">
        <v>16</v>
      </c>
      <c r="I13" s="92" t="s">
        <v>16</v>
      </c>
      <c r="J13" s="107" t="s">
        <v>22</v>
      </c>
      <c r="K13" s="92" t="s">
        <v>16</v>
      </c>
      <c r="L13" s="92" t="s">
        <v>16</v>
      </c>
      <c r="M13" s="107" t="s">
        <v>22</v>
      </c>
      <c r="N13" s="18" t="n">
        <f aca="false">COUNTIF(D13:M13,"Natif")</f>
        <v>5</v>
      </c>
      <c r="O13" s="18" t="n">
        <f aca="false">COUNTIF(D13:M13,"Natif")+COUNTIF(D13:M13,"Officiel")</f>
        <v>6</v>
      </c>
    </row>
    <row r="14" customFormat="false" ht="15" hidden="false" customHeight="false" outlineLevel="0" collapsed="false">
      <c r="A14" s="38" t="s">
        <v>85</v>
      </c>
      <c r="B14" s="38" t="s">
        <v>86</v>
      </c>
      <c r="C14" s="105" t="s">
        <v>161</v>
      </c>
      <c r="D14" s="107" t="s">
        <v>22</v>
      </c>
      <c r="E14" s="107" t="s">
        <v>22</v>
      </c>
      <c r="F14" s="92" t="s">
        <v>16</v>
      </c>
      <c r="G14" s="107" t="s">
        <v>22</v>
      </c>
      <c r="H14" s="92" t="s">
        <v>16</v>
      </c>
      <c r="I14" s="107" t="s">
        <v>22</v>
      </c>
      <c r="J14" s="106" t="s">
        <v>24</v>
      </c>
      <c r="K14" s="92" t="s">
        <v>16</v>
      </c>
      <c r="L14" s="107" t="s">
        <v>22</v>
      </c>
      <c r="M14" s="107" t="s">
        <v>22</v>
      </c>
      <c r="N14" s="18" t="n">
        <f aca="false">COUNTIF(D14:M14,"Natif")</f>
        <v>3</v>
      </c>
      <c r="O14" s="18" t="n">
        <f aca="false">COUNTIF(D14:M14,"Natif")+COUNTIF(D14:M14,"Officiel")</f>
        <v>3</v>
      </c>
    </row>
    <row r="15" customFormat="false" ht="15" hidden="false" customHeight="false" outlineLevel="0" collapsed="false">
      <c r="A15" s="38" t="s">
        <v>85</v>
      </c>
      <c r="B15" s="38" t="s">
        <v>87</v>
      </c>
      <c r="C15" s="105" t="s">
        <v>204</v>
      </c>
      <c r="D15" s="92" t="s">
        <v>16</v>
      </c>
      <c r="E15" s="92" t="s">
        <v>16</v>
      </c>
      <c r="F15" s="95" t="s">
        <v>18</v>
      </c>
      <c r="G15" s="92" t="s">
        <v>16</v>
      </c>
      <c r="H15" s="92" t="s">
        <v>16</v>
      </c>
      <c r="I15" s="92" t="s">
        <v>16</v>
      </c>
      <c r="J15" s="95" t="s">
        <v>18</v>
      </c>
      <c r="K15" s="92" t="s">
        <v>16</v>
      </c>
      <c r="L15" s="92" t="s">
        <v>16</v>
      </c>
      <c r="M15" s="92" t="s">
        <v>16</v>
      </c>
      <c r="N15" s="18" t="n">
        <f aca="false">COUNTIF(D15:M15,"Natif")</f>
        <v>8</v>
      </c>
      <c r="O15" s="18" t="n">
        <f aca="false">COUNTIF(D15:M15,"Natif")+COUNTIF(D15:M15,"Officiel")</f>
        <v>10</v>
      </c>
    </row>
    <row r="16" customFormat="false" ht="15" hidden="false" customHeight="false" outlineLevel="0" collapsed="false">
      <c r="A16" s="38" t="s">
        <v>85</v>
      </c>
      <c r="B16" s="38" t="s">
        <v>87</v>
      </c>
      <c r="C16" s="105" t="s">
        <v>206</v>
      </c>
      <c r="D16" s="92" t="s">
        <v>16</v>
      </c>
      <c r="E16" s="92" t="s">
        <v>16</v>
      </c>
      <c r="F16" s="92" t="s">
        <v>16</v>
      </c>
      <c r="G16" s="92" t="s">
        <v>16</v>
      </c>
      <c r="H16" s="92" t="s">
        <v>16</v>
      </c>
      <c r="I16" s="107" t="s">
        <v>22</v>
      </c>
      <c r="J16" s="95" t="s">
        <v>18</v>
      </c>
      <c r="K16" s="92" t="s">
        <v>16</v>
      </c>
      <c r="L16" s="92" t="s">
        <v>16</v>
      </c>
      <c r="M16" s="106" t="s">
        <v>24</v>
      </c>
      <c r="N16" s="18" t="n">
        <f aca="false">COUNTIF(D16:M16,"Natif")</f>
        <v>7</v>
      </c>
      <c r="O16" s="18" t="n">
        <f aca="false">COUNTIF(D16:M16,"Natif")+COUNTIF(D16:M16,"Officiel")</f>
        <v>8</v>
      </c>
    </row>
    <row r="17" customFormat="false" ht="15" hidden="false" customHeight="false" outlineLevel="0" collapsed="false">
      <c r="A17" s="38" t="s">
        <v>85</v>
      </c>
      <c r="B17" s="38" t="s">
        <v>87</v>
      </c>
      <c r="C17" s="105" t="s">
        <v>208</v>
      </c>
      <c r="D17" s="92" t="s">
        <v>16</v>
      </c>
      <c r="E17" s="92" t="s">
        <v>16</v>
      </c>
      <c r="F17" s="92" t="s">
        <v>16</v>
      </c>
      <c r="G17" s="92" t="s">
        <v>16</v>
      </c>
      <c r="H17" s="92" t="s">
        <v>16</v>
      </c>
      <c r="I17" s="92" t="s">
        <v>16</v>
      </c>
      <c r="J17" s="92" t="s">
        <v>16</v>
      </c>
      <c r="K17" s="92" t="s">
        <v>16</v>
      </c>
      <c r="L17" s="92" t="s">
        <v>16</v>
      </c>
      <c r="M17" s="107" t="s">
        <v>22</v>
      </c>
      <c r="N17" s="18" t="n">
        <f aca="false">COUNTIF(D17:M17,"Natif")</f>
        <v>9</v>
      </c>
      <c r="O17" s="18" t="n">
        <f aca="false">COUNTIF(D17:M17,"Natif")+COUNTIF(D17:M17,"Officiel")</f>
        <v>9</v>
      </c>
    </row>
    <row r="18" customFormat="false" ht="15" hidden="false" customHeight="false" outlineLevel="0" collapsed="false">
      <c r="A18" s="38" t="s">
        <v>85</v>
      </c>
      <c r="B18" s="38" t="s">
        <v>87</v>
      </c>
      <c r="C18" s="105" t="s">
        <v>210</v>
      </c>
      <c r="D18" s="92" t="s">
        <v>16</v>
      </c>
      <c r="E18" s="92" t="s">
        <v>16</v>
      </c>
      <c r="F18" s="92" t="s">
        <v>16</v>
      </c>
      <c r="G18" s="92" t="s">
        <v>16</v>
      </c>
      <c r="H18" s="92" t="s">
        <v>16</v>
      </c>
      <c r="I18" s="92" t="s">
        <v>16</v>
      </c>
      <c r="J18" s="107" t="s">
        <v>22</v>
      </c>
      <c r="K18" s="92" t="s">
        <v>16</v>
      </c>
      <c r="L18" s="106" t="s">
        <v>24</v>
      </c>
      <c r="M18" s="106" t="s">
        <v>24</v>
      </c>
      <c r="N18" s="18" t="n">
        <f aca="false">COUNTIF(D18:M18,"Natif")</f>
        <v>7</v>
      </c>
      <c r="O18" s="18" t="n">
        <f aca="false">COUNTIF(D18:M18,"Natif")+COUNTIF(D18:M18,"Officiel")</f>
        <v>7</v>
      </c>
    </row>
    <row r="19" customFormat="false" ht="15" hidden="false" customHeight="false" outlineLevel="0" collapsed="false">
      <c r="A19" s="38" t="s">
        <v>85</v>
      </c>
      <c r="B19" s="38" t="s">
        <v>87</v>
      </c>
      <c r="C19" s="105" t="s">
        <v>212</v>
      </c>
      <c r="D19" s="92" t="s">
        <v>16</v>
      </c>
      <c r="E19" s="92" t="s">
        <v>16</v>
      </c>
      <c r="F19" s="107" t="s">
        <v>22</v>
      </c>
      <c r="G19" s="89" t="s">
        <v>20</v>
      </c>
      <c r="H19" s="107" t="s">
        <v>22</v>
      </c>
      <c r="I19" s="107" t="s">
        <v>22</v>
      </c>
      <c r="J19" s="95" t="s">
        <v>18</v>
      </c>
      <c r="K19" s="107" t="s">
        <v>22</v>
      </c>
      <c r="L19" s="106" t="s">
        <v>24</v>
      </c>
      <c r="M19" s="106" t="s">
        <v>24</v>
      </c>
      <c r="N19" s="18" t="n">
        <f aca="false">COUNTIF(D19:M19,"Natif")</f>
        <v>2</v>
      </c>
      <c r="O19" s="18" t="n">
        <f aca="false">COUNTIF(D19:M19,"Natif")+COUNTIF(D19:M19,"Officiel")</f>
        <v>3</v>
      </c>
    </row>
    <row r="20" customFormat="false" ht="15" hidden="false" customHeight="false" outlineLevel="0" collapsed="false">
      <c r="A20" s="38" t="s">
        <v>85</v>
      </c>
      <c r="B20" s="38" t="s">
        <v>87</v>
      </c>
      <c r="C20" s="105" t="s">
        <v>214</v>
      </c>
      <c r="D20" s="107" t="s">
        <v>22</v>
      </c>
      <c r="E20" s="89" t="s">
        <v>20</v>
      </c>
      <c r="F20" s="107" t="s">
        <v>22</v>
      </c>
      <c r="G20" s="92" t="s">
        <v>16</v>
      </c>
      <c r="H20" s="92" t="s">
        <v>16</v>
      </c>
      <c r="I20" s="92" t="s">
        <v>16</v>
      </c>
      <c r="J20" s="92" t="s">
        <v>16</v>
      </c>
      <c r="K20" s="92" t="s">
        <v>16</v>
      </c>
      <c r="L20" s="106" t="s">
        <v>24</v>
      </c>
      <c r="M20" s="92" t="s">
        <v>16</v>
      </c>
      <c r="N20" s="18" t="n">
        <f aca="false">COUNTIF(D20:M20,"Natif")</f>
        <v>6</v>
      </c>
      <c r="O20" s="18" t="n">
        <f aca="false">COUNTIF(D20:M20,"Natif")+COUNTIF(D20:M20,"Officiel")</f>
        <v>6</v>
      </c>
    </row>
    <row r="21" customFormat="false" ht="15" hidden="false" customHeight="false" outlineLevel="0" collapsed="false">
      <c r="A21" s="38" t="s">
        <v>85</v>
      </c>
      <c r="B21" s="38" t="s">
        <v>87</v>
      </c>
      <c r="C21" s="105" t="s">
        <v>216</v>
      </c>
      <c r="D21" s="107" t="s">
        <v>22</v>
      </c>
      <c r="E21" s="95" t="s">
        <v>18</v>
      </c>
      <c r="F21" s="106" t="s">
        <v>24</v>
      </c>
      <c r="G21" s="89" t="s">
        <v>20</v>
      </c>
      <c r="H21" s="107" t="s">
        <v>22</v>
      </c>
      <c r="I21" s="95" t="s">
        <v>18</v>
      </c>
      <c r="J21" s="106" t="s">
        <v>24</v>
      </c>
      <c r="K21" s="95" t="s">
        <v>18</v>
      </c>
      <c r="L21" s="106" t="s">
        <v>24</v>
      </c>
      <c r="M21" s="106" t="s">
        <v>24</v>
      </c>
      <c r="N21" s="18" t="n">
        <f aca="false">COUNTIF(D21:M21,"Natif")</f>
        <v>0</v>
      </c>
      <c r="O21" s="18" t="n">
        <f aca="false">COUNTIF(D21:M21,"Natif")+COUNTIF(D21:M21,"Officiel")</f>
        <v>3</v>
      </c>
    </row>
    <row r="22" customFormat="false" ht="15" hidden="false" customHeight="false" outlineLevel="0" collapsed="false">
      <c r="A22" s="38" t="s">
        <v>85</v>
      </c>
      <c r="B22" s="38" t="s">
        <v>87</v>
      </c>
      <c r="C22" s="105" t="s">
        <v>218</v>
      </c>
      <c r="D22" s="92" t="s">
        <v>16</v>
      </c>
      <c r="E22" s="92" t="s">
        <v>16</v>
      </c>
      <c r="F22" s="92" t="s">
        <v>16</v>
      </c>
      <c r="G22" s="92" t="s">
        <v>16</v>
      </c>
      <c r="H22" s="92" t="s">
        <v>16</v>
      </c>
      <c r="I22" s="92" t="s">
        <v>16</v>
      </c>
      <c r="J22" s="95" t="s">
        <v>18</v>
      </c>
      <c r="K22" s="92" t="s">
        <v>16</v>
      </c>
      <c r="L22" s="92" t="s">
        <v>16</v>
      </c>
      <c r="M22" s="107" t="s">
        <v>22</v>
      </c>
      <c r="N22" s="18" t="n">
        <f aca="false">COUNTIF(D22:M22,"Natif")</f>
        <v>8</v>
      </c>
      <c r="O22" s="18" t="n">
        <f aca="false">COUNTIF(D22:M22,"Natif")+COUNTIF(D22:M22,"Officiel")</f>
        <v>9</v>
      </c>
    </row>
    <row r="23" customFormat="false" ht="15" hidden="false" customHeight="false" outlineLevel="0" collapsed="false">
      <c r="A23" s="38" t="s">
        <v>85</v>
      </c>
      <c r="B23" s="38" t="s">
        <v>87</v>
      </c>
      <c r="C23" s="105" t="s">
        <v>220</v>
      </c>
      <c r="D23" s="92" t="s">
        <v>16</v>
      </c>
      <c r="E23" s="95" t="s">
        <v>18</v>
      </c>
      <c r="F23" s="92" t="s">
        <v>16</v>
      </c>
      <c r="G23" s="107" t="s">
        <v>22</v>
      </c>
      <c r="H23" s="92" t="s">
        <v>16</v>
      </c>
      <c r="I23" s="106" t="s">
        <v>24</v>
      </c>
      <c r="J23" s="101" t="s">
        <v>26</v>
      </c>
      <c r="K23" s="92" t="s">
        <v>16</v>
      </c>
      <c r="L23" s="106" t="s">
        <v>24</v>
      </c>
      <c r="M23" s="106" t="s">
        <v>24</v>
      </c>
      <c r="N23" s="18" t="n">
        <f aca="false">COUNTIF(D23:M23,"Natif")</f>
        <v>4</v>
      </c>
      <c r="O23" s="18" t="n">
        <f aca="false">COUNTIF(D23:M23,"Natif")+COUNTIF(D23:M23,"Officiel")</f>
        <v>5</v>
      </c>
    </row>
    <row r="24" customFormat="false" ht="15" hidden="false" customHeight="false" outlineLevel="0" collapsed="false">
      <c r="A24" s="38" t="s">
        <v>85</v>
      </c>
      <c r="B24" s="38" t="s">
        <v>87</v>
      </c>
      <c r="C24" s="105" t="s">
        <v>222</v>
      </c>
      <c r="D24" s="92" t="s">
        <v>16</v>
      </c>
      <c r="E24" s="107" t="s">
        <v>22</v>
      </c>
      <c r="F24" s="107" t="s">
        <v>22</v>
      </c>
      <c r="G24" s="107" t="s">
        <v>22</v>
      </c>
      <c r="H24" s="107" t="s">
        <v>22</v>
      </c>
      <c r="I24" s="107" t="s">
        <v>22</v>
      </c>
      <c r="J24" s="107" t="s">
        <v>22</v>
      </c>
      <c r="K24" s="92" t="s">
        <v>16</v>
      </c>
      <c r="L24" s="92" t="s">
        <v>16</v>
      </c>
      <c r="M24" s="92" t="s">
        <v>16</v>
      </c>
      <c r="N24" s="18" t="n">
        <f aca="false">COUNTIF(D24:M24,"Natif")</f>
        <v>4</v>
      </c>
      <c r="O24" s="18" t="n">
        <f aca="false">COUNTIF(D24:M24,"Natif")+COUNTIF(D24:M24,"Officiel")</f>
        <v>4</v>
      </c>
    </row>
    <row r="25" customFormat="false" ht="15" hidden="false" customHeight="false" outlineLevel="0" collapsed="false">
      <c r="A25" s="38" t="s">
        <v>85</v>
      </c>
      <c r="B25" s="38" t="s">
        <v>87</v>
      </c>
      <c r="C25" s="105" t="s">
        <v>224</v>
      </c>
      <c r="D25" s="92" t="s">
        <v>16</v>
      </c>
      <c r="E25" s="95" t="s">
        <v>18</v>
      </c>
      <c r="F25" s="92" t="s">
        <v>16</v>
      </c>
      <c r="G25" s="92" t="s">
        <v>16</v>
      </c>
      <c r="H25" s="106" t="s">
        <v>24</v>
      </c>
      <c r="I25" s="106" t="s">
        <v>24</v>
      </c>
      <c r="J25" s="95" t="s">
        <v>18</v>
      </c>
      <c r="K25" s="92" t="s">
        <v>16</v>
      </c>
      <c r="L25" s="106" t="s">
        <v>24</v>
      </c>
      <c r="M25" s="106" t="s">
        <v>24</v>
      </c>
      <c r="N25" s="18" t="n">
        <f aca="false">COUNTIF(D25:M25,"Natif")</f>
        <v>4</v>
      </c>
      <c r="O25" s="18" t="n">
        <f aca="false">COUNTIF(D25:M25,"Natif")+COUNTIF(D25:M25,"Officiel")</f>
        <v>6</v>
      </c>
    </row>
    <row r="26" customFormat="false" ht="15" hidden="false" customHeight="false" outlineLevel="0" collapsed="false">
      <c r="A26" s="38" t="s">
        <v>85</v>
      </c>
      <c r="B26" s="38" t="s">
        <v>88</v>
      </c>
      <c r="C26" s="105" t="s">
        <v>261</v>
      </c>
      <c r="D26" s="92" t="s">
        <v>16</v>
      </c>
      <c r="E26" s="92" t="s">
        <v>16</v>
      </c>
      <c r="F26" s="92" t="s">
        <v>16</v>
      </c>
      <c r="G26" s="107" t="s">
        <v>22</v>
      </c>
      <c r="H26" s="92" t="s">
        <v>16</v>
      </c>
      <c r="I26" s="92" t="s">
        <v>16</v>
      </c>
      <c r="J26" s="95" t="s">
        <v>18</v>
      </c>
      <c r="K26" s="92" t="s">
        <v>16</v>
      </c>
      <c r="L26" s="92" t="s">
        <v>16</v>
      </c>
      <c r="M26" s="106" t="s">
        <v>24</v>
      </c>
      <c r="N26" s="18" t="n">
        <f aca="false">COUNTIF(D26:M26,"Natif")</f>
        <v>7</v>
      </c>
      <c r="O26" s="18" t="n">
        <f aca="false">COUNTIF(D26:M26,"Natif")+COUNTIF(D26:M26,"Officiel")</f>
        <v>8</v>
      </c>
    </row>
    <row r="27" customFormat="false" ht="15" hidden="false" customHeight="false" outlineLevel="0" collapsed="false">
      <c r="A27" s="38" t="s">
        <v>85</v>
      </c>
      <c r="B27" s="38" t="s">
        <v>88</v>
      </c>
      <c r="C27" s="105" t="s">
        <v>263</v>
      </c>
      <c r="D27" s="89" t="s">
        <v>20</v>
      </c>
      <c r="E27" s="89" t="s">
        <v>20</v>
      </c>
      <c r="F27" s="92" t="s">
        <v>16</v>
      </c>
      <c r="G27" s="89" t="s">
        <v>20</v>
      </c>
      <c r="H27" s="92" t="s">
        <v>16</v>
      </c>
      <c r="I27" s="92" t="s">
        <v>16</v>
      </c>
      <c r="J27" s="95" t="s">
        <v>18</v>
      </c>
      <c r="K27" s="92" t="s">
        <v>16</v>
      </c>
      <c r="L27" s="107" t="s">
        <v>22</v>
      </c>
      <c r="M27" s="107" t="s">
        <v>22</v>
      </c>
      <c r="N27" s="18" t="n">
        <f aca="false">COUNTIF(D27:M27,"Natif")</f>
        <v>4</v>
      </c>
      <c r="O27" s="18" t="n">
        <f aca="false">COUNTIF(D27:M27,"Natif")+COUNTIF(D27:M27,"Officiel")</f>
        <v>5</v>
      </c>
    </row>
    <row r="28" customFormat="false" ht="15" hidden="false" customHeight="false" outlineLevel="0" collapsed="false">
      <c r="A28" s="38" t="s">
        <v>85</v>
      </c>
      <c r="B28" s="38" t="s">
        <v>88</v>
      </c>
      <c r="C28" s="105" t="s">
        <v>265</v>
      </c>
      <c r="D28" s="107" t="s">
        <v>22</v>
      </c>
      <c r="E28" s="89" t="s">
        <v>20</v>
      </c>
      <c r="F28" s="92" t="s">
        <v>16</v>
      </c>
      <c r="G28" s="92" t="s">
        <v>16</v>
      </c>
      <c r="H28" s="92" t="s">
        <v>16</v>
      </c>
      <c r="I28" s="107" t="s">
        <v>22</v>
      </c>
      <c r="J28" s="107" t="s">
        <v>22</v>
      </c>
      <c r="K28" s="92" t="s">
        <v>16</v>
      </c>
      <c r="L28" s="107" t="s">
        <v>22</v>
      </c>
      <c r="M28" s="107" t="s">
        <v>22</v>
      </c>
      <c r="N28" s="18" t="n">
        <f aca="false">COUNTIF(D28:M28,"Natif")</f>
        <v>4</v>
      </c>
      <c r="O28" s="18" t="n">
        <f aca="false">COUNTIF(D28:M28,"Natif")+COUNTIF(D28:M28,"Officiel")</f>
        <v>4</v>
      </c>
    </row>
    <row r="29" customFormat="false" ht="15" hidden="false" customHeight="false" outlineLevel="0" collapsed="false">
      <c r="A29" s="38" t="s">
        <v>85</v>
      </c>
      <c r="B29" s="38" t="s">
        <v>88</v>
      </c>
      <c r="C29" s="105" t="s">
        <v>267</v>
      </c>
      <c r="D29" s="107" t="s">
        <v>22</v>
      </c>
      <c r="E29" s="92" t="s">
        <v>16</v>
      </c>
      <c r="F29" s="92" t="s">
        <v>16</v>
      </c>
      <c r="G29" s="92" t="s">
        <v>16</v>
      </c>
      <c r="H29" s="92" t="s">
        <v>16</v>
      </c>
      <c r="I29" s="92" t="s">
        <v>16</v>
      </c>
      <c r="J29" s="92" t="s">
        <v>16</v>
      </c>
      <c r="K29" s="107" t="s">
        <v>22</v>
      </c>
      <c r="L29" s="107" t="s">
        <v>22</v>
      </c>
      <c r="M29" s="107" t="s">
        <v>22</v>
      </c>
      <c r="N29" s="18" t="n">
        <f aca="false">COUNTIF(D29:M29,"Natif")</f>
        <v>6</v>
      </c>
      <c r="O29" s="18" t="n">
        <f aca="false">COUNTIF(D29:M29,"Natif")+COUNTIF(D29:M29,"Officiel")</f>
        <v>6</v>
      </c>
    </row>
    <row r="30" customFormat="false" ht="15" hidden="false" customHeight="false" outlineLevel="0" collapsed="false">
      <c r="A30" s="38" t="s">
        <v>85</v>
      </c>
      <c r="B30" s="38" t="s">
        <v>88</v>
      </c>
      <c r="C30" s="105" t="s">
        <v>269</v>
      </c>
      <c r="D30" s="95" t="s">
        <v>18</v>
      </c>
      <c r="E30" s="92" t="s">
        <v>16</v>
      </c>
      <c r="F30" s="92" t="s">
        <v>16</v>
      </c>
      <c r="G30" s="92" t="s">
        <v>16</v>
      </c>
      <c r="H30" s="92" t="s">
        <v>16</v>
      </c>
      <c r="I30" s="107" t="s">
        <v>22</v>
      </c>
      <c r="J30" s="92" t="s">
        <v>16</v>
      </c>
      <c r="K30" s="92" t="s">
        <v>16</v>
      </c>
      <c r="L30" s="107" t="s">
        <v>22</v>
      </c>
      <c r="M30" s="107" t="s">
        <v>22</v>
      </c>
      <c r="N30" s="18" t="n">
        <f aca="false">COUNTIF(D30:M30,"Natif")</f>
        <v>6</v>
      </c>
      <c r="O30" s="18" t="n">
        <f aca="false">COUNTIF(D30:M30,"Natif")+COUNTIF(D30:M30,"Officiel")</f>
        <v>7</v>
      </c>
    </row>
    <row r="31" customFormat="false" ht="15" hidden="false" customHeight="false" outlineLevel="0" collapsed="false">
      <c r="A31" s="38" t="s">
        <v>85</v>
      </c>
      <c r="B31" s="38" t="s">
        <v>88</v>
      </c>
      <c r="C31" s="105" t="s">
        <v>271</v>
      </c>
      <c r="D31" s="92" t="s">
        <v>16</v>
      </c>
      <c r="E31" s="92" t="s">
        <v>16</v>
      </c>
      <c r="F31" s="92" t="s">
        <v>16</v>
      </c>
      <c r="G31" s="92" t="s">
        <v>16</v>
      </c>
      <c r="H31" s="92" t="s">
        <v>16</v>
      </c>
      <c r="I31" s="107" t="s">
        <v>22</v>
      </c>
      <c r="J31" s="92" t="s">
        <v>16</v>
      </c>
      <c r="K31" s="92" t="s">
        <v>16</v>
      </c>
      <c r="L31" s="107" t="s">
        <v>22</v>
      </c>
      <c r="M31" s="106" t="s">
        <v>24</v>
      </c>
      <c r="N31" s="18" t="n">
        <f aca="false">COUNTIF(D31:M31,"Natif")</f>
        <v>7</v>
      </c>
      <c r="O31" s="18" t="n">
        <f aca="false">COUNTIF(D31:M31,"Natif")+COUNTIF(D31:M31,"Officiel")</f>
        <v>7</v>
      </c>
    </row>
    <row r="32" customFormat="false" ht="15" hidden="false" customHeight="false" outlineLevel="0" collapsed="false">
      <c r="A32" s="38" t="s">
        <v>85</v>
      </c>
      <c r="B32" s="38" t="s">
        <v>88</v>
      </c>
      <c r="C32" s="105" t="s">
        <v>273</v>
      </c>
      <c r="D32" s="89" t="s">
        <v>20</v>
      </c>
      <c r="E32" s="89" t="s">
        <v>20</v>
      </c>
      <c r="F32" s="95" t="s">
        <v>18</v>
      </c>
      <c r="G32" s="89" t="s">
        <v>20</v>
      </c>
      <c r="H32" s="92" t="s">
        <v>16</v>
      </c>
      <c r="I32" s="92" t="s">
        <v>16</v>
      </c>
      <c r="J32" s="106" t="s">
        <v>24</v>
      </c>
      <c r="K32" s="95" t="s">
        <v>18</v>
      </c>
      <c r="L32" s="92" t="s">
        <v>16</v>
      </c>
      <c r="M32" s="92" t="s">
        <v>16</v>
      </c>
      <c r="N32" s="18" t="n">
        <f aca="false">COUNTIF(D32:M32,"Natif")</f>
        <v>4</v>
      </c>
      <c r="O32" s="18" t="n">
        <f aca="false">COUNTIF(D32:M32,"Natif")+COUNTIF(D32:M32,"Officiel")</f>
        <v>6</v>
      </c>
    </row>
    <row r="33" customFormat="false" ht="15" hidden="false" customHeight="false" outlineLevel="0" collapsed="false">
      <c r="A33" s="38" t="s">
        <v>85</v>
      </c>
      <c r="B33" s="38" t="s">
        <v>88</v>
      </c>
      <c r="C33" s="105" t="s">
        <v>275</v>
      </c>
      <c r="D33" s="92" t="s">
        <v>16</v>
      </c>
      <c r="E33" s="92" t="s">
        <v>16</v>
      </c>
      <c r="F33" s="92" t="s">
        <v>16</v>
      </c>
      <c r="G33" s="92" t="s">
        <v>16</v>
      </c>
      <c r="H33" s="92" t="s">
        <v>16</v>
      </c>
      <c r="I33" s="92" t="s">
        <v>16</v>
      </c>
      <c r="J33" s="92" t="s">
        <v>16</v>
      </c>
      <c r="K33" s="92" t="s">
        <v>16</v>
      </c>
      <c r="L33" s="92" t="s">
        <v>16</v>
      </c>
      <c r="M33" s="92" t="s">
        <v>16</v>
      </c>
      <c r="N33" s="18" t="n">
        <f aca="false">COUNTIF(D33:M33,"Natif")</f>
        <v>10</v>
      </c>
      <c r="O33" s="18" t="n">
        <f aca="false">COUNTIF(D33:M33,"Natif")+COUNTIF(D33:M33,"Officiel")</f>
        <v>10</v>
      </c>
    </row>
    <row r="34" customFormat="false" ht="15" hidden="false" customHeight="false" outlineLevel="0" collapsed="false">
      <c r="A34" s="38" t="s">
        <v>85</v>
      </c>
      <c r="B34" s="38" t="s">
        <v>88</v>
      </c>
      <c r="C34" s="105" t="s">
        <v>277</v>
      </c>
      <c r="D34" s="92" t="s">
        <v>16</v>
      </c>
      <c r="E34" s="107" t="s">
        <v>22</v>
      </c>
      <c r="F34" s="92" t="s">
        <v>16</v>
      </c>
      <c r="G34" s="92" t="s">
        <v>16</v>
      </c>
      <c r="H34" s="92" t="s">
        <v>16</v>
      </c>
      <c r="I34" s="92" t="s">
        <v>16</v>
      </c>
      <c r="J34" s="95" t="s">
        <v>18</v>
      </c>
      <c r="K34" s="92" t="s">
        <v>16</v>
      </c>
      <c r="L34" s="92" t="s">
        <v>16</v>
      </c>
      <c r="M34" s="92" t="s">
        <v>16</v>
      </c>
      <c r="N34" s="18" t="n">
        <f aca="false">COUNTIF(D34:M34,"Natif")</f>
        <v>8</v>
      </c>
      <c r="O34" s="18" t="n">
        <f aca="false">COUNTIF(D34:M34,"Natif")+COUNTIF(D34:M34,"Officiel")</f>
        <v>9</v>
      </c>
    </row>
    <row r="35" customFormat="false" ht="15" hidden="false" customHeight="false" outlineLevel="0" collapsed="false">
      <c r="A35" s="38" t="s">
        <v>85</v>
      </c>
      <c r="B35" s="38" t="s">
        <v>88</v>
      </c>
      <c r="C35" s="105" t="s">
        <v>279</v>
      </c>
      <c r="D35" s="89" t="s">
        <v>20</v>
      </c>
      <c r="E35" s="89" t="s">
        <v>20</v>
      </c>
      <c r="F35" s="89" t="s">
        <v>20</v>
      </c>
      <c r="G35" s="89" t="s">
        <v>20</v>
      </c>
      <c r="H35" s="89" t="s">
        <v>20</v>
      </c>
      <c r="I35" s="107" t="s">
        <v>22</v>
      </c>
      <c r="J35" s="106" t="s">
        <v>24</v>
      </c>
      <c r="K35" s="106" t="s">
        <v>24</v>
      </c>
      <c r="L35" s="107" t="s">
        <v>22</v>
      </c>
      <c r="M35" s="106" t="s">
        <v>24</v>
      </c>
      <c r="N35" s="18" t="n">
        <f aca="false">COUNTIF(D35:M35,"Natif")</f>
        <v>0</v>
      </c>
      <c r="O35" s="18" t="n">
        <f aca="false">COUNTIF(D35:M35,"Natif")+COUNTIF(D35:M35,"Officiel")</f>
        <v>0</v>
      </c>
    </row>
    <row r="36" customFormat="false" ht="15" hidden="false" customHeight="false" outlineLevel="0" collapsed="false">
      <c r="A36" s="38" t="s">
        <v>85</v>
      </c>
      <c r="B36" s="38" t="s">
        <v>89</v>
      </c>
      <c r="C36" s="105" t="s">
        <v>304</v>
      </c>
      <c r="D36" s="92" t="s">
        <v>16</v>
      </c>
      <c r="E36" s="92" t="s">
        <v>16</v>
      </c>
      <c r="F36" s="92" t="s">
        <v>16</v>
      </c>
      <c r="G36" s="92" t="s">
        <v>16</v>
      </c>
      <c r="H36" s="92" t="s">
        <v>16</v>
      </c>
      <c r="I36" s="92" t="s">
        <v>16</v>
      </c>
      <c r="J36" s="92" t="s">
        <v>16</v>
      </c>
      <c r="K36" s="92" t="s">
        <v>16</v>
      </c>
      <c r="L36" s="92" t="s">
        <v>16</v>
      </c>
      <c r="M36" s="92" t="s">
        <v>16</v>
      </c>
      <c r="N36" s="18" t="n">
        <f aca="false">COUNTIF(D36:M36,"Natif")</f>
        <v>10</v>
      </c>
      <c r="O36" s="18" t="n">
        <f aca="false">COUNTIF(D36:M36,"Natif")+COUNTIF(D36:M36,"Officiel")</f>
        <v>10</v>
      </c>
    </row>
    <row r="37" customFormat="false" ht="15" hidden="false" customHeight="false" outlineLevel="0" collapsed="false">
      <c r="A37" s="38" t="s">
        <v>85</v>
      </c>
      <c r="B37" s="38" t="s">
        <v>89</v>
      </c>
      <c r="C37" s="105" t="s">
        <v>306</v>
      </c>
      <c r="D37" s="92" t="s">
        <v>16</v>
      </c>
      <c r="E37" s="92" t="s">
        <v>16</v>
      </c>
      <c r="F37" s="92" t="s">
        <v>16</v>
      </c>
      <c r="G37" s="89" t="s">
        <v>20</v>
      </c>
      <c r="H37" s="95" t="s">
        <v>18</v>
      </c>
      <c r="I37" s="107" t="s">
        <v>22</v>
      </c>
      <c r="J37" s="95" t="s">
        <v>18</v>
      </c>
      <c r="K37" s="92" t="s">
        <v>16</v>
      </c>
      <c r="L37" s="92" t="s">
        <v>16</v>
      </c>
      <c r="M37" s="106" t="s">
        <v>24</v>
      </c>
      <c r="N37" s="18" t="n">
        <f aca="false">COUNTIF(D37:M37,"Natif")</f>
        <v>5</v>
      </c>
      <c r="O37" s="18" t="n">
        <f aca="false">COUNTIF(D37:M37,"Natif")+COUNTIF(D37:M37,"Officiel")</f>
        <v>7</v>
      </c>
    </row>
    <row r="38" customFormat="false" ht="15" hidden="false" customHeight="false" outlineLevel="0" collapsed="false">
      <c r="A38" s="38" t="s">
        <v>85</v>
      </c>
      <c r="B38" s="38" t="s">
        <v>89</v>
      </c>
      <c r="C38" s="105" t="s">
        <v>308</v>
      </c>
      <c r="D38" s="92" t="s">
        <v>16</v>
      </c>
      <c r="E38" s="89" t="s">
        <v>20</v>
      </c>
      <c r="F38" s="107" t="s">
        <v>22</v>
      </c>
      <c r="G38" s="107" t="s">
        <v>22</v>
      </c>
      <c r="H38" s="106" t="s">
        <v>24</v>
      </c>
      <c r="I38" s="106" t="s">
        <v>24</v>
      </c>
      <c r="J38" s="95" t="s">
        <v>18</v>
      </c>
      <c r="K38" s="92" t="s">
        <v>16</v>
      </c>
      <c r="L38" s="92" t="s">
        <v>16</v>
      </c>
      <c r="M38" s="106" t="s">
        <v>24</v>
      </c>
      <c r="N38" s="18" t="n">
        <f aca="false">COUNTIF(D38:M38,"Natif")</f>
        <v>3</v>
      </c>
      <c r="O38" s="18" t="n">
        <f aca="false">COUNTIF(D38:M38,"Natif")+COUNTIF(D38:M38,"Officiel")</f>
        <v>4</v>
      </c>
    </row>
    <row r="39" customFormat="false" ht="15" hidden="false" customHeight="false" outlineLevel="0" collapsed="false">
      <c r="A39" s="38" t="s">
        <v>85</v>
      </c>
      <c r="B39" s="38" t="s">
        <v>89</v>
      </c>
      <c r="C39" s="105" t="s">
        <v>310</v>
      </c>
      <c r="D39" s="92" t="s">
        <v>16</v>
      </c>
      <c r="E39" s="92" t="s">
        <v>16</v>
      </c>
      <c r="F39" s="92" t="s">
        <v>16</v>
      </c>
      <c r="G39" s="89" t="s">
        <v>20</v>
      </c>
      <c r="H39" s="95" t="s">
        <v>18</v>
      </c>
      <c r="I39" s="107" t="s">
        <v>22</v>
      </c>
      <c r="J39" s="95" t="s">
        <v>18</v>
      </c>
      <c r="K39" s="92" t="s">
        <v>16</v>
      </c>
      <c r="L39" s="92" t="s">
        <v>16</v>
      </c>
      <c r="M39" s="106" t="s">
        <v>24</v>
      </c>
      <c r="N39" s="18" t="n">
        <f aca="false">COUNTIF(D39:M39,"Natif")</f>
        <v>5</v>
      </c>
      <c r="O39" s="18" t="n">
        <f aca="false">COUNTIF(D39:M39,"Natif")+COUNTIF(D39:M39,"Officiel")</f>
        <v>7</v>
      </c>
    </row>
    <row r="40" customFormat="false" ht="15" hidden="false" customHeight="false" outlineLevel="0" collapsed="false">
      <c r="A40" s="38" t="s">
        <v>85</v>
      </c>
      <c r="B40" s="38" t="s">
        <v>89</v>
      </c>
      <c r="C40" s="105" t="s">
        <v>311</v>
      </c>
      <c r="D40" s="92" t="s">
        <v>16</v>
      </c>
      <c r="E40" s="89" t="s">
        <v>20</v>
      </c>
      <c r="F40" s="92" t="s">
        <v>16</v>
      </c>
      <c r="G40" s="89" t="s">
        <v>20</v>
      </c>
      <c r="H40" s="92" t="s">
        <v>16</v>
      </c>
      <c r="I40" s="92" t="s">
        <v>16</v>
      </c>
      <c r="J40" s="92" t="s">
        <v>16</v>
      </c>
      <c r="K40" s="92" t="s">
        <v>16</v>
      </c>
      <c r="L40" s="92" t="s">
        <v>16</v>
      </c>
      <c r="M40" s="92" t="s">
        <v>16</v>
      </c>
      <c r="N40" s="18" t="n">
        <f aca="false">COUNTIF(D40:M40,"Natif")</f>
        <v>8</v>
      </c>
      <c r="O40" s="18" t="n">
        <f aca="false">COUNTIF(D40:M40,"Natif")+COUNTIF(D40:M40,"Officiel")</f>
        <v>8</v>
      </c>
    </row>
    <row r="41" customFormat="false" ht="15" hidden="false" customHeight="false" outlineLevel="0" collapsed="false">
      <c r="A41" s="38" t="s">
        <v>85</v>
      </c>
      <c r="B41" s="38" t="s">
        <v>89</v>
      </c>
      <c r="C41" s="105" t="s">
        <v>313</v>
      </c>
      <c r="D41" s="89" t="s">
        <v>20</v>
      </c>
      <c r="E41" s="89" t="s">
        <v>20</v>
      </c>
      <c r="F41" s="92" t="s">
        <v>16</v>
      </c>
      <c r="G41" s="89" t="s">
        <v>20</v>
      </c>
      <c r="H41" s="107" t="s">
        <v>22</v>
      </c>
      <c r="I41" s="92" t="s">
        <v>16</v>
      </c>
      <c r="J41" s="92" t="s">
        <v>16</v>
      </c>
      <c r="K41" s="92" t="s">
        <v>16</v>
      </c>
      <c r="L41" s="106" t="s">
        <v>24</v>
      </c>
      <c r="M41" s="107" t="s">
        <v>22</v>
      </c>
      <c r="N41" s="18" t="n">
        <f aca="false">COUNTIF(D41:M41,"Natif")</f>
        <v>4</v>
      </c>
      <c r="O41" s="18" t="n">
        <f aca="false">COUNTIF(D41:M41,"Natif")+COUNTIF(D41:M41,"Officiel")</f>
        <v>4</v>
      </c>
    </row>
    <row r="42" customFormat="false" ht="15" hidden="false" customHeight="false" outlineLevel="0" collapsed="false">
      <c r="A42" s="38" t="s">
        <v>85</v>
      </c>
      <c r="B42" s="38" t="s">
        <v>89</v>
      </c>
      <c r="C42" s="105" t="s">
        <v>315</v>
      </c>
      <c r="D42" s="92" t="s">
        <v>16</v>
      </c>
      <c r="E42" s="89" t="s">
        <v>20</v>
      </c>
      <c r="F42" s="92" t="s">
        <v>16</v>
      </c>
      <c r="G42" s="89" t="s">
        <v>20</v>
      </c>
      <c r="H42" s="106" t="s">
        <v>24</v>
      </c>
      <c r="I42" s="92" t="s">
        <v>16</v>
      </c>
      <c r="J42" s="106" t="s">
        <v>24</v>
      </c>
      <c r="K42" s="92" t="s">
        <v>16</v>
      </c>
      <c r="L42" s="92" t="s">
        <v>16</v>
      </c>
      <c r="M42" s="92" t="s">
        <v>16</v>
      </c>
      <c r="N42" s="18" t="n">
        <f aca="false">COUNTIF(D42:M42,"Natif")</f>
        <v>6</v>
      </c>
      <c r="O42" s="18" t="n">
        <f aca="false">COUNTIF(D42:M42,"Natif")+COUNTIF(D42:M42,"Officiel")</f>
        <v>6</v>
      </c>
    </row>
    <row r="43" customFormat="false" ht="15" hidden="false" customHeight="false" outlineLevel="0" collapsed="false">
      <c r="A43" s="38" t="s">
        <v>85</v>
      </c>
      <c r="B43" s="38" t="s">
        <v>89</v>
      </c>
      <c r="C43" s="105" t="s">
        <v>317</v>
      </c>
      <c r="D43" s="107" t="s">
        <v>22</v>
      </c>
      <c r="E43" s="89" t="s">
        <v>20</v>
      </c>
      <c r="F43" s="92" t="s">
        <v>16</v>
      </c>
      <c r="G43" s="92" t="s">
        <v>16</v>
      </c>
      <c r="H43" s="92" t="s">
        <v>16</v>
      </c>
      <c r="I43" s="92" t="s">
        <v>16</v>
      </c>
      <c r="J43" s="95" t="s">
        <v>18</v>
      </c>
      <c r="K43" s="92" t="s">
        <v>16</v>
      </c>
      <c r="L43" s="107" t="s">
        <v>22</v>
      </c>
      <c r="M43" s="106" t="s">
        <v>24</v>
      </c>
      <c r="N43" s="18" t="n">
        <f aca="false">COUNTIF(D43:M43,"Natif")</f>
        <v>5</v>
      </c>
      <c r="O43" s="18" t="n">
        <f aca="false">COUNTIF(D43:M43,"Natif")+COUNTIF(D43:M43,"Officiel")</f>
        <v>6</v>
      </c>
    </row>
    <row r="44" customFormat="false" ht="15" hidden="false" customHeight="false" outlineLevel="0" collapsed="false">
      <c r="A44" s="38" t="s">
        <v>85</v>
      </c>
      <c r="B44" s="38" t="s">
        <v>90</v>
      </c>
      <c r="C44" s="105" t="s">
        <v>328</v>
      </c>
      <c r="D44" s="92" t="s">
        <v>16</v>
      </c>
      <c r="E44" s="92" t="s">
        <v>16</v>
      </c>
      <c r="F44" s="92" t="s">
        <v>16</v>
      </c>
      <c r="G44" s="92" t="s">
        <v>16</v>
      </c>
      <c r="H44" s="92" t="s">
        <v>16</v>
      </c>
      <c r="I44" s="92" t="s">
        <v>16</v>
      </c>
      <c r="J44" s="95" t="s">
        <v>18</v>
      </c>
      <c r="K44" s="92" t="s">
        <v>16</v>
      </c>
      <c r="L44" s="92" t="s">
        <v>16</v>
      </c>
      <c r="M44" s="92" t="s">
        <v>16</v>
      </c>
      <c r="N44" s="18" t="n">
        <f aca="false">COUNTIF(D44:M44,"Natif")</f>
        <v>9</v>
      </c>
      <c r="O44" s="18" t="n">
        <f aca="false">COUNTIF(D44:M44,"Natif")+COUNTIF(D44:M44,"Officiel")</f>
        <v>10</v>
      </c>
    </row>
    <row r="45" customFormat="false" ht="15" hidden="false" customHeight="false" outlineLevel="0" collapsed="false">
      <c r="A45" s="38" t="s">
        <v>85</v>
      </c>
      <c r="B45" s="38" t="s">
        <v>90</v>
      </c>
      <c r="C45" s="105" t="s">
        <v>330</v>
      </c>
      <c r="D45" s="92" t="s">
        <v>16</v>
      </c>
      <c r="E45" s="107" t="s">
        <v>22</v>
      </c>
      <c r="F45" s="92" t="s">
        <v>16</v>
      </c>
      <c r="G45" s="92" t="s">
        <v>16</v>
      </c>
      <c r="H45" s="92" t="s">
        <v>16</v>
      </c>
      <c r="I45" s="89" t="s">
        <v>20</v>
      </c>
      <c r="J45" s="95" t="s">
        <v>18</v>
      </c>
      <c r="K45" s="95" t="s">
        <v>18</v>
      </c>
      <c r="L45" s="92" t="s">
        <v>16</v>
      </c>
      <c r="M45" s="92" t="s">
        <v>16</v>
      </c>
      <c r="N45" s="18" t="n">
        <f aca="false">COUNTIF(D45:M45,"Natif")</f>
        <v>6</v>
      </c>
      <c r="O45" s="18" t="n">
        <f aca="false">COUNTIF(D45:M45,"Natif")+COUNTIF(D45:M45,"Officiel")</f>
        <v>8</v>
      </c>
    </row>
    <row r="46" customFormat="false" ht="15" hidden="false" customHeight="false" outlineLevel="0" collapsed="false">
      <c r="A46" s="38" t="s">
        <v>85</v>
      </c>
      <c r="B46" s="38" t="s">
        <v>90</v>
      </c>
      <c r="C46" s="105" t="s">
        <v>332</v>
      </c>
      <c r="D46" s="107" t="s">
        <v>22</v>
      </c>
      <c r="E46" s="107" t="s">
        <v>22</v>
      </c>
      <c r="F46" s="92" t="s">
        <v>16</v>
      </c>
      <c r="G46" s="107" t="s">
        <v>22</v>
      </c>
      <c r="H46" s="92" t="s">
        <v>16</v>
      </c>
      <c r="I46" s="89" t="s">
        <v>20</v>
      </c>
      <c r="J46" s="95" t="s">
        <v>18</v>
      </c>
      <c r="K46" s="107" t="s">
        <v>22</v>
      </c>
      <c r="L46" s="107" t="s">
        <v>22</v>
      </c>
      <c r="M46" s="107" t="s">
        <v>22</v>
      </c>
      <c r="N46" s="18" t="n">
        <f aca="false">COUNTIF(D46:M46,"Natif")</f>
        <v>2</v>
      </c>
      <c r="O46" s="18" t="n">
        <f aca="false">COUNTIF(D46:M46,"Natif")+COUNTIF(D46:M46,"Officiel")</f>
        <v>3</v>
      </c>
    </row>
    <row r="47" customFormat="false" ht="15" hidden="false" customHeight="false" outlineLevel="0" collapsed="false">
      <c r="A47" s="38" t="s">
        <v>85</v>
      </c>
      <c r="B47" s="38" t="s">
        <v>90</v>
      </c>
      <c r="C47" s="105" t="s">
        <v>334</v>
      </c>
      <c r="D47" s="89" t="s">
        <v>20</v>
      </c>
      <c r="E47" s="89" t="s">
        <v>20</v>
      </c>
      <c r="F47" s="92" t="s">
        <v>16</v>
      </c>
      <c r="G47" s="107" t="s">
        <v>22</v>
      </c>
      <c r="H47" s="92" t="s">
        <v>16</v>
      </c>
      <c r="I47" s="89" t="s">
        <v>20</v>
      </c>
      <c r="J47" s="95" t="s">
        <v>18</v>
      </c>
      <c r="K47" s="92" t="s">
        <v>16</v>
      </c>
      <c r="L47" s="107" t="s">
        <v>22</v>
      </c>
      <c r="M47" s="106" t="s">
        <v>24</v>
      </c>
      <c r="N47" s="18" t="n">
        <f aca="false">COUNTIF(D47:M47,"Natif")</f>
        <v>3</v>
      </c>
      <c r="O47" s="18" t="n">
        <f aca="false">COUNTIF(D47:M47,"Natif")+COUNTIF(D47:M47,"Officiel")</f>
        <v>4</v>
      </c>
    </row>
    <row r="48" customFormat="false" ht="23.85" hidden="false" customHeight="false" outlineLevel="0" collapsed="false">
      <c r="A48" s="38" t="s">
        <v>85</v>
      </c>
      <c r="B48" s="38" t="s">
        <v>90</v>
      </c>
      <c r="C48" s="105" t="s">
        <v>336</v>
      </c>
      <c r="D48" s="95" t="s">
        <v>18</v>
      </c>
      <c r="E48" s="89" t="s">
        <v>20</v>
      </c>
      <c r="F48" s="89" t="s">
        <v>20</v>
      </c>
      <c r="G48" s="89" t="s">
        <v>20</v>
      </c>
      <c r="H48" s="92" t="s">
        <v>16</v>
      </c>
      <c r="I48" s="107" t="s">
        <v>22</v>
      </c>
      <c r="J48" s="95" t="s">
        <v>18</v>
      </c>
      <c r="K48" s="89" t="s">
        <v>20</v>
      </c>
      <c r="L48" s="107" t="s">
        <v>22</v>
      </c>
      <c r="M48" s="106" t="s">
        <v>24</v>
      </c>
      <c r="N48" s="18" t="n">
        <f aca="false">COUNTIF(D48:M48,"Natif")</f>
        <v>1</v>
      </c>
      <c r="O48" s="18" t="n">
        <f aca="false">COUNTIF(D48:M48,"Natif")+COUNTIF(D48:M48,"Officiel")</f>
        <v>3</v>
      </c>
    </row>
    <row r="49" customFormat="false" ht="15" hidden="false" customHeight="false" outlineLevel="0" collapsed="false">
      <c r="A49" s="38" t="s">
        <v>85</v>
      </c>
      <c r="B49" s="38" t="s">
        <v>90</v>
      </c>
      <c r="C49" s="105" t="s">
        <v>338</v>
      </c>
      <c r="D49" s="95" t="s">
        <v>18</v>
      </c>
      <c r="E49" s="89" t="s">
        <v>20</v>
      </c>
      <c r="F49" s="107" t="s">
        <v>22</v>
      </c>
      <c r="G49" s="107" t="s">
        <v>22</v>
      </c>
      <c r="H49" s="107" t="s">
        <v>22</v>
      </c>
      <c r="I49" s="107" t="s">
        <v>22</v>
      </c>
      <c r="J49" s="107" t="s">
        <v>22</v>
      </c>
      <c r="K49" s="92" t="s">
        <v>16</v>
      </c>
      <c r="L49" s="107" t="s">
        <v>22</v>
      </c>
      <c r="M49" s="107" t="s">
        <v>22</v>
      </c>
      <c r="N49" s="18" t="n">
        <f aca="false">COUNTIF(D49:M49,"Natif")</f>
        <v>1</v>
      </c>
      <c r="O49" s="18" t="n">
        <f aca="false">COUNTIF(D49:M49,"Natif")+COUNTIF(D49:M49,"Officiel")</f>
        <v>2</v>
      </c>
    </row>
    <row r="50" customFormat="false" ht="15" hidden="false" customHeight="false" outlineLevel="0" collapsed="false">
      <c r="A50" s="38" t="s">
        <v>85</v>
      </c>
      <c r="B50" s="38" t="s">
        <v>91</v>
      </c>
      <c r="C50" s="105" t="s">
        <v>340</v>
      </c>
      <c r="D50" s="95" t="s">
        <v>18</v>
      </c>
      <c r="E50" s="89" t="s">
        <v>20</v>
      </c>
      <c r="F50" s="89" t="s">
        <v>20</v>
      </c>
      <c r="G50" s="89" t="s">
        <v>20</v>
      </c>
      <c r="H50" s="92" t="s">
        <v>16</v>
      </c>
      <c r="I50" s="107" t="s">
        <v>22</v>
      </c>
      <c r="J50" s="107" t="s">
        <v>22</v>
      </c>
      <c r="K50" s="95" t="s">
        <v>18</v>
      </c>
      <c r="L50" s="107" t="s">
        <v>22</v>
      </c>
      <c r="M50" s="95" t="s">
        <v>18</v>
      </c>
      <c r="N50" s="18" t="n">
        <f aca="false">COUNTIF(D50:M50,"Natif")</f>
        <v>1</v>
      </c>
      <c r="O50" s="18" t="n">
        <f aca="false">COUNTIF(D50:M50,"Natif")+COUNTIF(D50:M50,"Officiel")</f>
        <v>4</v>
      </c>
    </row>
    <row r="51" customFormat="false" ht="15" hidden="false" customHeight="false" outlineLevel="0" collapsed="false">
      <c r="A51" s="38" t="s">
        <v>85</v>
      </c>
      <c r="B51" s="38" t="s">
        <v>91</v>
      </c>
      <c r="C51" s="105" t="s">
        <v>342</v>
      </c>
      <c r="D51" s="95" t="s">
        <v>18</v>
      </c>
      <c r="E51" s="89" t="s">
        <v>20</v>
      </c>
      <c r="F51" s="89" t="s">
        <v>20</v>
      </c>
      <c r="G51" s="89" t="s">
        <v>20</v>
      </c>
      <c r="H51" s="92" t="s">
        <v>16</v>
      </c>
      <c r="I51" s="92" t="s">
        <v>16</v>
      </c>
      <c r="J51" s="95" t="s">
        <v>18</v>
      </c>
      <c r="K51" s="95" t="s">
        <v>18</v>
      </c>
      <c r="L51" s="92" t="s">
        <v>16</v>
      </c>
      <c r="M51" s="95" t="s">
        <v>18</v>
      </c>
      <c r="N51" s="18" t="n">
        <f aca="false">COUNTIF(D51:M51,"Natif")</f>
        <v>3</v>
      </c>
      <c r="O51" s="18" t="n">
        <f aca="false">COUNTIF(D51:M51,"Natif")+COUNTIF(D51:M51,"Officiel")</f>
        <v>7</v>
      </c>
    </row>
    <row r="52" customFormat="false" ht="15" hidden="false" customHeight="false" outlineLevel="0" collapsed="false">
      <c r="A52" s="38" t="s">
        <v>85</v>
      </c>
      <c r="B52" s="38" t="s">
        <v>91</v>
      </c>
      <c r="C52" s="105" t="s">
        <v>344</v>
      </c>
      <c r="D52" s="95" t="s">
        <v>18</v>
      </c>
      <c r="E52" s="89" t="s">
        <v>20</v>
      </c>
      <c r="F52" s="95" t="s">
        <v>18</v>
      </c>
      <c r="G52" s="89" t="s">
        <v>20</v>
      </c>
      <c r="H52" s="92" t="s">
        <v>16</v>
      </c>
      <c r="I52" s="92" t="s">
        <v>16</v>
      </c>
      <c r="J52" s="95" t="s">
        <v>18</v>
      </c>
      <c r="K52" s="95" t="s">
        <v>18</v>
      </c>
      <c r="L52" s="92" t="s">
        <v>16</v>
      </c>
      <c r="M52" s="95" t="s">
        <v>18</v>
      </c>
      <c r="N52" s="18" t="n">
        <f aca="false">COUNTIF(D52:M52,"Natif")</f>
        <v>3</v>
      </c>
      <c r="O52" s="18" t="n">
        <f aca="false">COUNTIF(D52:M52,"Natif")+COUNTIF(D52:M52,"Officiel")</f>
        <v>8</v>
      </c>
    </row>
    <row r="53" customFormat="false" ht="15" hidden="false" customHeight="false" outlineLevel="0" collapsed="false">
      <c r="A53" s="38" t="s">
        <v>85</v>
      </c>
      <c r="B53" s="38" t="s">
        <v>91</v>
      </c>
      <c r="C53" s="105" t="s">
        <v>346</v>
      </c>
      <c r="D53" s="95" t="s">
        <v>18</v>
      </c>
      <c r="E53" s="89" t="s">
        <v>20</v>
      </c>
      <c r="F53" s="95" t="s">
        <v>18</v>
      </c>
      <c r="G53" s="89" t="s">
        <v>20</v>
      </c>
      <c r="H53" s="92" t="s">
        <v>16</v>
      </c>
      <c r="I53" s="92" t="s">
        <v>16</v>
      </c>
      <c r="J53" s="95" t="s">
        <v>18</v>
      </c>
      <c r="K53" s="106" t="s">
        <v>24</v>
      </c>
      <c r="L53" s="107" t="s">
        <v>22</v>
      </c>
      <c r="M53" s="101" t="s">
        <v>26</v>
      </c>
      <c r="N53" s="18" t="n">
        <f aca="false">COUNTIF(D53:M53,"Natif")</f>
        <v>2</v>
      </c>
      <c r="O53" s="18" t="n">
        <f aca="false">COUNTIF(D53:M53,"Natif")+COUNTIF(D53:M53,"Officiel")</f>
        <v>5</v>
      </c>
    </row>
    <row r="54" customFormat="false" ht="15" hidden="false" customHeight="false" outlineLevel="0" collapsed="false">
      <c r="A54" s="38" t="s">
        <v>85</v>
      </c>
      <c r="B54" s="38" t="s">
        <v>91</v>
      </c>
      <c r="C54" s="105" t="s">
        <v>348</v>
      </c>
      <c r="D54" s="95" t="s">
        <v>18</v>
      </c>
      <c r="E54" s="89" t="s">
        <v>20</v>
      </c>
      <c r="F54" s="89" t="s">
        <v>20</v>
      </c>
      <c r="G54" s="89" t="s">
        <v>20</v>
      </c>
      <c r="H54" s="92" t="s">
        <v>16</v>
      </c>
      <c r="I54" s="107" t="s">
        <v>22</v>
      </c>
      <c r="J54" s="107" t="s">
        <v>22</v>
      </c>
      <c r="K54" s="107" t="s">
        <v>22</v>
      </c>
      <c r="L54" s="106" t="s">
        <v>24</v>
      </c>
      <c r="M54" s="95" t="s">
        <v>18</v>
      </c>
      <c r="N54" s="18" t="n">
        <f aca="false">COUNTIF(D54:M54,"Natif")</f>
        <v>1</v>
      </c>
      <c r="O54" s="18" t="n">
        <f aca="false">COUNTIF(D54:M54,"Natif")+COUNTIF(D54:M54,"Officiel")</f>
        <v>3</v>
      </c>
    </row>
    <row r="55" customFormat="false" ht="15" hidden="false" customHeight="false" outlineLevel="0" collapsed="false">
      <c r="A55" s="38" t="s">
        <v>85</v>
      </c>
      <c r="B55" s="38" t="s">
        <v>91</v>
      </c>
      <c r="C55" s="105" t="s">
        <v>349</v>
      </c>
      <c r="D55" s="95" t="s">
        <v>18</v>
      </c>
      <c r="E55" s="89" t="s">
        <v>20</v>
      </c>
      <c r="F55" s="95" t="s">
        <v>18</v>
      </c>
      <c r="G55" s="89" t="s">
        <v>20</v>
      </c>
      <c r="H55" s="92" t="s">
        <v>16</v>
      </c>
      <c r="I55" s="92" t="s">
        <v>16</v>
      </c>
      <c r="J55" s="95" t="s">
        <v>18</v>
      </c>
      <c r="K55" s="95" t="s">
        <v>18</v>
      </c>
      <c r="L55" s="106" t="s">
        <v>24</v>
      </c>
      <c r="M55" s="95" t="s">
        <v>18</v>
      </c>
      <c r="N55" s="18" t="n">
        <f aca="false">COUNTIF(D55:M55,"Natif")</f>
        <v>2</v>
      </c>
      <c r="O55" s="18" t="n">
        <f aca="false">COUNTIF(D55:M55,"Natif")+COUNTIF(D55:M55,"Officiel")</f>
        <v>7</v>
      </c>
    </row>
    <row r="56" customFormat="false" ht="15" hidden="false" customHeight="false" outlineLevel="0" collapsed="false">
      <c r="A56" s="38" t="s">
        <v>85</v>
      </c>
      <c r="B56" s="38" t="s">
        <v>91</v>
      </c>
      <c r="C56" s="105" t="s">
        <v>351</v>
      </c>
      <c r="D56" s="95" t="s">
        <v>18</v>
      </c>
      <c r="E56" s="89" t="s">
        <v>20</v>
      </c>
      <c r="F56" s="89" t="s">
        <v>20</v>
      </c>
      <c r="G56" s="89" t="s">
        <v>20</v>
      </c>
      <c r="H56" s="92" t="s">
        <v>16</v>
      </c>
      <c r="I56" s="92" t="s">
        <v>16</v>
      </c>
      <c r="J56" s="106" t="s">
        <v>24</v>
      </c>
      <c r="K56" s="95" t="s">
        <v>18</v>
      </c>
      <c r="L56" s="106" t="s">
        <v>24</v>
      </c>
      <c r="M56" s="95" t="s">
        <v>18</v>
      </c>
      <c r="N56" s="18" t="n">
        <f aca="false">COUNTIF(D56:M56,"Natif")</f>
        <v>2</v>
      </c>
      <c r="O56" s="18" t="n">
        <f aca="false">COUNTIF(D56:M56,"Natif")+COUNTIF(D56:M56,"Officiel")</f>
        <v>5</v>
      </c>
    </row>
    <row r="57" customFormat="false" ht="15" hidden="false" customHeight="false" outlineLevel="0" collapsed="false">
      <c r="A57" s="38" t="s">
        <v>92</v>
      </c>
      <c r="B57" s="38" t="s">
        <v>93</v>
      </c>
      <c r="C57" s="105" t="s">
        <v>363</v>
      </c>
      <c r="D57" s="107" t="s">
        <v>22</v>
      </c>
      <c r="E57" s="92" t="s">
        <v>16</v>
      </c>
      <c r="F57" s="95" t="s">
        <v>18</v>
      </c>
      <c r="G57" s="92" t="s">
        <v>16</v>
      </c>
      <c r="H57" s="95" t="s">
        <v>18</v>
      </c>
      <c r="I57" s="92" t="s">
        <v>16</v>
      </c>
      <c r="J57" s="92" t="s">
        <v>16</v>
      </c>
      <c r="K57" s="107" t="s">
        <v>22</v>
      </c>
      <c r="L57" s="92" t="s">
        <v>16</v>
      </c>
      <c r="M57" s="89" t="s">
        <v>20</v>
      </c>
      <c r="N57" s="18" t="n">
        <f aca="false">COUNTIF(D57:M57,"Natif")</f>
        <v>5</v>
      </c>
      <c r="O57" s="18" t="n">
        <f aca="false">COUNTIF(D57:M57,"Natif")+COUNTIF(D57:M57,"Officiel")</f>
        <v>7</v>
      </c>
    </row>
    <row r="58" customFormat="false" ht="15" hidden="false" customHeight="false" outlineLevel="0" collapsed="false">
      <c r="A58" s="38" t="s">
        <v>92</v>
      </c>
      <c r="B58" s="38" t="s">
        <v>93</v>
      </c>
      <c r="C58" s="105" t="s">
        <v>365</v>
      </c>
      <c r="D58" s="92" t="s">
        <v>16</v>
      </c>
      <c r="E58" s="92" t="s">
        <v>16</v>
      </c>
      <c r="F58" s="95" t="s">
        <v>18</v>
      </c>
      <c r="G58" s="92" t="s">
        <v>16</v>
      </c>
      <c r="H58" s="95" t="s">
        <v>18</v>
      </c>
      <c r="I58" s="92" t="s">
        <v>16</v>
      </c>
      <c r="J58" s="92" t="s">
        <v>16</v>
      </c>
      <c r="K58" s="92" t="s">
        <v>16</v>
      </c>
      <c r="L58" s="92" t="s">
        <v>16</v>
      </c>
      <c r="M58" s="89" t="s">
        <v>20</v>
      </c>
      <c r="N58" s="18" t="n">
        <f aca="false">COUNTIF(D58:M58,"Natif")</f>
        <v>7</v>
      </c>
      <c r="O58" s="18" t="n">
        <f aca="false">COUNTIF(D58:M58,"Natif")+COUNTIF(D58:M58,"Officiel")</f>
        <v>9</v>
      </c>
    </row>
    <row r="59" customFormat="false" ht="15" hidden="false" customHeight="false" outlineLevel="0" collapsed="false">
      <c r="A59" s="38" t="s">
        <v>92</v>
      </c>
      <c r="B59" s="38" t="s">
        <v>93</v>
      </c>
      <c r="C59" s="105" t="s">
        <v>367</v>
      </c>
      <c r="D59" s="89" t="s">
        <v>20</v>
      </c>
      <c r="E59" s="89" t="s">
        <v>20</v>
      </c>
      <c r="F59" s="95" t="s">
        <v>18</v>
      </c>
      <c r="G59" s="107" t="s">
        <v>22</v>
      </c>
      <c r="H59" s="106" t="s">
        <v>24</v>
      </c>
      <c r="I59" s="92" t="s">
        <v>16</v>
      </c>
      <c r="J59" s="107" t="s">
        <v>22</v>
      </c>
      <c r="K59" s="92" t="s">
        <v>16</v>
      </c>
      <c r="L59" s="106" t="s">
        <v>24</v>
      </c>
      <c r="M59" s="106" t="s">
        <v>24</v>
      </c>
      <c r="N59" s="18" t="n">
        <f aca="false">COUNTIF(D59:M59,"Natif")</f>
        <v>2</v>
      </c>
      <c r="O59" s="18" t="n">
        <f aca="false">COUNTIF(D59:M59,"Natif")+COUNTIF(D59:M59,"Officiel")</f>
        <v>3</v>
      </c>
    </row>
    <row r="60" customFormat="false" ht="15" hidden="false" customHeight="false" outlineLevel="0" collapsed="false">
      <c r="A60" s="38" t="s">
        <v>92</v>
      </c>
      <c r="B60" s="38" t="s">
        <v>93</v>
      </c>
      <c r="C60" s="105" t="s">
        <v>369</v>
      </c>
      <c r="D60" s="92" t="s">
        <v>16</v>
      </c>
      <c r="E60" s="92" t="s">
        <v>16</v>
      </c>
      <c r="F60" s="95" t="s">
        <v>18</v>
      </c>
      <c r="G60" s="107" t="s">
        <v>22</v>
      </c>
      <c r="H60" s="95" t="s">
        <v>18</v>
      </c>
      <c r="I60" s="92" t="s">
        <v>16</v>
      </c>
      <c r="J60" s="92" t="s">
        <v>16</v>
      </c>
      <c r="K60" s="92" t="s">
        <v>16</v>
      </c>
      <c r="L60" s="107" t="s">
        <v>22</v>
      </c>
      <c r="M60" s="107" t="s">
        <v>22</v>
      </c>
      <c r="N60" s="18" t="n">
        <f aca="false">COUNTIF(D60:M60,"Natif")</f>
        <v>5</v>
      </c>
      <c r="O60" s="18" t="n">
        <f aca="false">COUNTIF(D60:M60,"Natif")+COUNTIF(D60:M60,"Officiel")</f>
        <v>7</v>
      </c>
    </row>
    <row r="61" customFormat="false" ht="23.85" hidden="false" customHeight="false" outlineLevel="0" collapsed="false">
      <c r="A61" s="38" t="s">
        <v>92</v>
      </c>
      <c r="B61" s="38" t="s">
        <v>93</v>
      </c>
      <c r="C61" s="105" t="s">
        <v>371</v>
      </c>
      <c r="D61" s="107" t="s">
        <v>22</v>
      </c>
      <c r="E61" s="92" t="s">
        <v>16</v>
      </c>
      <c r="F61" s="95" t="s">
        <v>18</v>
      </c>
      <c r="G61" s="107" t="s">
        <v>22</v>
      </c>
      <c r="H61" s="92" t="s">
        <v>16</v>
      </c>
      <c r="I61" s="95" t="s">
        <v>18</v>
      </c>
      <c r="J61" s="95" t="s">
        <v>18</v>
      </c>
      <c r="K61" s="92" t="s">
        <v>16</v>
      </c>
      <c r="L61" s="95" t="s">
        <v>18</v>
      </c>
      <c r="M61" s="106" t="s">
        <v>24</v>
      </c>
      <c r="N61" s="18" t="n">
        <f aca="false">COUNTIF(D61:M61,"Natif")</f>
        <v>3</v>
      </c>
      <c r="O61" s="18" t="n">
        <f aca="false">COUNTIF(D61:M61,"Natif")+COUNTIF(D61:M61,"Officiel")</f>
        <v>7</v>
      </c>
    </row>
    <row r="62" customFormat="false" ht="15" hidden="false" customHeight="false" outlineLevel="0" collapsed="false">
      <c r="A62" s="38" t="s">
        <v>92</v>
      </c>
      <c r="B62" s="38" t="s">
        <v>93</v>
      </c>
      <c r="C62" s="105" t="s">
        <v>373</v>
      </c>
      <c r="D62" s="95" t="s">
        <v>18</v>
      </c>
      <c r="E62" s="89" t="s">
        <v>20</v>
      </c>
      <c r="F62" s="92" t="s">
        <v>16</v>
      </c>
      <c r="G62" s="92" t="s">
        <v>16</v>
      </c>
      <c r="H62" s="92" t="s">
        <v>16</v>
      </c>
      <c r="I62" s="107" t="s">
        <v>22</v>
      </c>
      <c r="J62" s="95" t="s">
        <v>18</v>
      </c>
      <c r="K62" s="89" t="s">
        <v>20</v>
      </c>
      <c r="L62" s="92" t="s">
        <v>16</v>
      </c>
      <c r="M62" s="92" t="s">
        <v>16</v>
      </c>
      <c r="N62" s="18" t="n">
        <f aca="false">COUNTIF(D62:M62,"Natif")</f>
        <v>5</v>
      </c>
      <c r="O62" s="18" t="n">
        <f aca="false">COUNTIF(D62:M62,"Natif")+COUNTIF(D62:M62,"Officiel")</f>
        <v>7</v>
      </c>
    </row>
    <row r="63" customFormat="false" ht="15" hidden="false" customHeight="false" outlineLevel="0" collapsed="false">
      <c r="A63" s="38" t="s">
        <v>92</v>
      </c>
      <c r="B63" s="38" t="s">
        <v>93</v>
      </c>
      <c r="C63" s="105" t="s">
        <v>375</v>
      </c>
      <c r="D63" s="95" t="s">
        <v>18</v>
      </c>
      <c r="E63" s="89" t="s">
        <v>20</v>
      </c>
      <c r="F63" s="95" t="s">
        <v>18</v>
      </c>
      <c r="G63" s="89" t="s">
        <v>20</v>
      </c>
      <c r="H63" s="95" t="s">
        <v>18</v>
      </c>
      <c r="I63" s="89" t="s">
        <v>20</v>
      </c>
      <c r="J63" s="95" t="s">
        <v>18</v>
      </c>
      <c r="K63" s="95" t="s">
        <v>18</v>
      </c>
      <c r="L63" s="89" t="s">
        <v>20</v>
      </c>
      <c r="M63" s="89" t="s">
        <v>20</v>
      </c>
      <c r="N63" s="18" t="n">
        <f aca="false">COUNTIF(D63:M63,"Natif")</f>
        <v>0</v>
      </c>
      <c r="O63" s="18" t="n">
        <f aca="false">COUNTIF(D63:M63,"Natif")+COUNTIF(D63:M63,"Officiel")</f>
        <v>5</v>
      </c>
    </row>
    <row r="64" customFormat="false" ht="15" hidden="false" customHeight="false" outlineLevel="0" collapsed="false">
      <c r="A64" s="38" t="s">
        <v>92</v>
      </c>
      <c r="B64" s="38" t="s">
        <v>93</v>
      </c>
      <c r="C64" s="105" t="s">
        <v>377</v>
      </c>
      <c r="D64" s="89" t="s">
        <v>20</v>
      </c>
      <c r="E64" s="89" t="s">
        <v>20</v>
      </c>
      <c r="F64" s="95" t="s">
        <v>18</v>
      </c>
      <c r="G64" s="107" t="s">
        <v>22</v>
      </c>
      <c r="H64" s="95" t="s">
        <v>18</v>
      </c>
      <c r="I64" s="107" t="s">
        <v>22</v>
      </c>
      <c r="J64" s="106" t="s">
        <v>24</v>
      </c>
      <c r="K64" s="106" t="s">
        <v>24</v>
      </c>
      <c r="L64" s="89" t="s">
        <v>20</v>
      </c>
      <c r="M64" s="89" t="s">
        <v>20</v>
      </c>
      <c r="N64" s="18" t="n">
        <f aca="false">COUNTIF(D64:M64,"Natif")</f>
        <v>0</v>
      </c>
      <c r="O64" s="18" t="n">
        <f aca="false">COUNTIF(D64:M64,"Natif")+COUNTIF(D64:M64,"Officiel")</f>
        <v>2</v>
      </c>
    </row>
    <row r="65" customFormat="false" ht="15" hidden="false" customHeight="false" outlineLevel="0" collapsed="false">
      <c r="A65" s="38" t="s">
        <v>92</v>
      </c>
      <c r="B65" s="38" t="s">
        <v>93</v>
      </c>
      <c r="C65" s="105" t="s">
        <v>379</v>
      </c>
      <c r="D65" s="89" t="s">
        <v>20</v>
      </c>
      <c r="E65" s="89" t="s">
        <v>20</v>
      </c>
      <c r="F65" s="95" t="s">
        <v>18</v>
      </c>
      <c r="G65" s="106" t="s">
        <v>24</v>
      </c>
      <c r="H65" s="95" t="s">
        <v>18</v>
      </c>
      <c r="I65" s="92" t="s">
        <v>16</v>
      </c>
      <c r="J65" s="92" t="s">
        <v>16</v>
      </c>
      <c r="K65" s="107" t="s">
        <v>22</v>
      </c>
      <c r="L65" s="106" t="s">
        <v>24</v>
      </c>
      <c r="M65" s="106" t="s">
        <v>24</v>
      </c>
      <c r="N65" s="18" t="n">
        <f aca="false">COUNTIF(D65:M65,"Natif")</f>
        <v>2</v>
      </c>
      <c r="O65" s="18" t="n">
        <f aca="false">COUNTIF(D65:M65,"Natif")+COUNTIF(D65:M65,"Officiel")</f>
        <v>4</v>
      </c>
    </row>
    <row r="66" customFormat="false" ht="15" hidden="false" customHeight="false" outlineLevel="0" collapsed="false">
      <c r="A66" s="38" t="s">
        <v>92</v>
      </c>
      <c r="B66" s="38" t="s">
        <v>94</v>
      </c>
      <c r="C66" s="105" t="s">
        <v>404</v>
      </c>
      <c r="D66" s="107" t="s">
        <v>22</v>
      </c>
      <c r="E66" s="92" t="s">
        <v>16</v>
      </c>
      <c r="F66" s="106" t="s">
        <v>24</v>
      </c>
      <c r="G66" s="107" t="s">
        <v>22</v>
      </c>
      <c r="H66" s="106" t="s">
        <v>24</v>
      </c>
      <c r="I66" s="107" t="s">
        <v>22</v>
      </c>
      <c r="J66" s="106" t="s">
        <v>24</v>
      </c>
      <c r="K66" s="107" t="s">
        <v>22</v>
      </c>
      <c r="L66" s="106" t="s">
        <v>24</v>
      </c>
      <c r="M66" s="92" t="s">
        <v>16</v>
      </c>
      <c r="N66" s="18" t="n">
        <f aca="false">COUNTIF(D66:M66,"Natif")</f>
        <v>2</v>
      </c>
      <c r="O66" s="18" t="n">
        <f aca="false">COUNTIF(D66:M66,"Natif")+COUNTIF(D66:M66,"Officiel")</f>
        <v>2</v>
      </c>
    </row>
    <row r="67" customFormat="false" ht="15" hidden="false" customHeight="false" outlineLevel="0" collapsed="false">
      <c r="A67" s="38" t="s">
        <v>92</v>
      </c>
      <c r="B67" s="38" t="s">
        <v>94</v>
      </c>
      <c r="C67" s="105" t="s">
        <v>406</v>
      </c>
      <c r="D67" s="107" t="s">
        <v>22</v>
      </c>
      <c r="E67" s="92" t="s">
        <v>16</v>
      </c>
      <c r="F67" s="89" t="s">
        <v>20</v>
      </c>
      <c r="G67" s="107" t="s">
        <v>22</v>
      </c>
      <c r="H67" s="107" t="s">
        <v>22</v>
      </c>
      <c r="I67" s="107" t="s">
        <v>22</v>
      </c>
      <c r="J67" s="106" t="s">
        <v>24</v>
      </c>
      <c r="K67" s="95" t="s">
        <v>18</v>
      </c>
      <c r="L67" s="92" t="s">
        <v>16</v>
      </c>
      <c r="M67" s="107" t="s">
        <v>22</v>
      </c>
      <c r="N67" s="18" t="n">
        <f aca="false">COUNTIF(D67:M67,"Natif")</f>
        <v>2</v>
      </c>
      <c r="O67" s="18" t="n">
        <f aca="false">COUNTIF(D67:M67,"Natif")+COUNTIF(D67:M67,"Officiel")</f>
        <v>3</v>
      </c>
    </row>
    <row r="68" customFormat="false" ht="15" hidden="false" customHeight="false" outlineLevel="0" collapsed="false">
      <c r="A68" s="38" t="s">
        <v>92</v>
      </c>
      <c r="B68" s="38" t="s">
        <v>94</v>
      </c>
      <c r="C68" s="105" t="s">
        <v>408</v>
      </c>
      <c r="D68" s="89" t="s">
        <v>20</v>
      </c>
      <c r="E68" s="89" t="s">
        <v>20</v>
      </c>
      <c r="F68" s="89" t="s">
        <v>20</v>
      </c>
      <c r="G68" s="106" t="s">
        <v>24</v>
      </c>
      <c r="H68" s="106" t="s">
        <v>24</v>
      </c>
      <c r="I68" s="106" t="s">
        <v>24</v>
      </c>
      <c r="J68" s="106" t="s">
        <v>24</v>
      </c>
      <c r="K68" s="95" t="s">
        <v>18</v>
      </c>
      <c r="L68" s="106" t="s">
        <v>24</v>
      </c>
      <c r="M68" s="106" t="s">
        <v>24</v>
      </c>
      <c r="N68" s="18" t="n">
        <f aca="false">COUNTIF(D68:M68,"Natif")</f>
        <v>0</v>
      </c>
      <c r="O68" s="18" t="n">
        <f aca="false">COUNTIF(D68:M68,"Natif")+COUNTIF(D68:M68,"Officiel")</f>
        <v>1</v>
      </c>
    </row>
    <row r="69" customFormat="false" ht="15" hidden="false" customHeight="false" outlineLevel="0" collapsed="false">
      <c r="A69" s="38" t="s">
        <v>92</v>
      </c>
      <c r="B69" s="38" t="s">
        <v>94</v>
      </c>
      <c r="C69" s="105" t="s">
        <v>409</v>
      </c>
      <c r="D69" s="92" t="s">
        <v>16</v>
      </c>
      <c r="E69" s="89" t="s">
        <v>20</v>
      </c>
      <c r="F69" s="107" t="s">
        <v>22</v>
      </c>
      <c r="G69" s="106" t="s">
        <v>24</v>
      </c>
      <c r="H69" s="106" t="s">
        <v>24</v>
      </c>
      <c r="I69" s="107" t="s">
        <v>22</v>
      </c>
      <c r="J69" s="106" t="s">
        <v>24</v>
      </c>
      <c r="K69" s="95" t="s">
        <v>18</v>
      </c>
      <c r="L69" s="107" t="s">
        <v>22</v>
      </c>
      <c r="M69" s="106" t="s">
        <v>24</v>
      </c>
      <c r="N69" s="18" t="n">
        <f aca="false">COUNTIF(D69:M69,"Natif")</f>
        <v>1</v>
      </c>
      <c r="O69" s="18" t="n">
        <f aca="false">COUNTIF(D69:M69,"Natif")+COUNTIF(D69:M69,"Officiel")</f>
        <v>2</v>
      </c>
    </row>
    <row r="70" customFormat="false" ht="15" hidden="false" customHeight="false" outlineLevel="0" collapsed="false">
      <c r="A70" s="38" t="s">
        <v>92</v>
      </c>
      <c r="B70" s="38" t="s">
        <v>94</v>
      </c>
      <c r="C70" s="105" t="s">
        <v>411</v>
      </c>
      <c r="D70" s="92" t="s">
        <v>16</v>
      </c>
      <c r="E70" s="89" t="s">
        <v>20</v>
      </c>
      <c r="F70" s="107" t="s">
        <v>22</v>
      </c>
      <c r="G70" s="92" t="s">
        <v>16</v>
      </c>
      <c r="H70" s="95" t="s">
        <v>18</v>
      </c>
      <c r="I70" s="107" t="s">
        <v>22</v>
      </c>
      <c r="J70" s="107" t="s">
        <v>22</v>
      </c>
      <c r="K70" s="92" t="s">
        <v>16</v>
      </c>
      <c r="L70" s="106" t="s">
        <v>24</v>
      </c>
      <c r="M70" s="106" t="s">
        <v>24</v>
      </c>
      <c r="N70" s="18" t="n">
        <f aca="false">COUNTIF(D70:M70,"Natif")</f>
        <v>3</v>
      </c>
      <c r="O70" s="18" t="n">
        <f aca="false">COUNTIF(D70:M70,"Natif")+COUNTIF(D70:M70,"Officiel")</f>
        <v>4</v>
      </c>
    </row>
    <row r="71" customFormat="false" ht="15" hidden="false" customHeight="false" outlineLevel="0" collapsed="false">
      <c r="A71" s="38" t="s">
        <v>92</v>
      </c>
      <c r="B71" s="38" t="s">
        <v>94</v>
      </c>
      <c r="C71" s="105" t="s">
        <v>413</v>
      </c>
      <c r="D71" s="95" t="s">
        <v>18</v>
      </c>
      <c r="E71" s="89" t="s">
        <v>20</v>
      </c>
      <c r="F71" s="106" t="s">
        <v>24</v>
      </c>
      <c r="G71" s="107" t="s">
        <v>22</v>
      </c>
      <c r="H71" s="95" t="s">
        <v>18</v>
      </c>
      <c r="I71" s="106" t="s">
        <v>24</v>
      </c>
      <c r="J71" s="95" t="s">
        <v>18</v>
      </c>
      <c r="K71" s="95" t="s">
        <v>18</v>
      </c>
      <c r="L71" s="106" t="s">
        <v>24</v>
      </c>
      <c r="M71" s="106" t="s">
        <v>24</v>
      </c>
      <c r="N71" s="18" t="n">
        <f aca="false">COUNTIF(D71:M71,"Natif")</f>
        <v>0</v>
      </c>
      <c r="O71" s="18" t="n">
        <f aca="false">COUNTIF(D71:M71,"Natif")+COUNTIF(D71:M71,"Officiel")</f>
        <v>4</v>
      </c>
    </row>
    <row r="72" customFormat="false" ht="15" hidden="false" customHeight="false" outlineLevel="0" collapsed="false">
      <c r="A72" s="38" t="s">
        <v>92</v>
      </c>
      <c r="B72" s="38" t="s">
        <v>95</v>
      </c>
      <c r="C72" s="105" t="s">
        <v>420</v>
      </c>
      <c r="D72" s="107" t="s">
        <v>22</v>
      </c>
      <c r="E72" s="89" t="s">
        <v>20</v>
      </c>
      <c r="F72" s="106" t="s">
        <v>24</v>
      </c>
      <c r="G72" s="107" t="s">
        <v>22</v>
      </c>
      <c r="H72" s="107" t="s">
        <v>22</v>
      </c>
      <c r="I72" s="95" t="s">
        <v>18</v>
      </c>
      <c r="J72" s="107" t="s">
        <v>22</v>
      </c>
      <c r="K72" s="95" t="s">
        <v>18</v>
      </c>
      <c r="L72" s="92" t="s">
        <v>16</v>
      </c>
      <c r="M72" s="107" t="s">
        <v>22</v>
      </c>
      <c r="N72" s="18" t="n">
        <f aca="false">COUNTIF(D72:M72,"Natif")</f>
        <v>1</v>
      </c>
      <c r="O72" s="18" t="n">
        <f aca="false">COUNTIF(D72:M72,"Natif")+COUNTIF(D72:M72,"Officiel")</f>
        <v>3</v>
      </c>
    </row>
    <row r="73" customFormat="false" ht="15" hidden="false" customHeight="false" outlineLevel="0" collapsed="false">
      <c r="A73" s="38" t="s">
        <v>92</v>
      </c>
      <c r="B73" s="38" t="s">
        <v>95</v>
      </c>
      <c r="C73" s="105" t="s">
        <v>422</v>
      </c>
      <c r="D73" s="89" t="s">
        <v>20</v>
      </c>
      <c r="E73" s="107" t="s">
        <v>22</v>
      </c>
      <c r="F73" s="95" t="s">
        <v>18</v>
      </c>
      <c r="G73" s="107" t="s">
        <v>22</v>
      </c>
      <c r="H73" s="107" t="s">
        <v>22</v>
      </c>
      <c r="I73" s="92" t="s">
        <v>16</v>
      </c>
      <c r="J73" s="107" t="s">
        <v>22</v>
      </c>
      <c r="K73" s="107" t="s">
        <v>22</v>
      </c>
      <c r="L73" s="107" t="s">
        <v>22</v>
      </c>
      <c r="M73" s="106" t="s">
        <v>24</v>
      </c>
      <c r="N73" s="18" t="n">
        <f aca="false">COUNTIF(D73:M73,"Natif")</f>
        <v>1</v>
      </c>
      <c r="O73" s="18" t="n">
        <f aca="false">COUNTIF(D73:M73,"Natif")+COUNTIF(D73:M73,"Officiel")</f>
        <v>2</v>
      </c>
    </row>
    <row r="74" customFormat="false" ht="15" hidden="false" customHeight="false" outlineLevel="0" collapsed="false">
      <c r="A74" s="38" t="s">
        <v>92</v>
      </c>
      <c r="B74" s="38" t="s">
        <v>95</v>
      </c>
      <c r="C74" s="105" t="s">
        <v>424</v>
      </c>
      <c r="D74" s="107" t="s">
        <v>22</v>
      </c>
      <c r="E74" s="92" t="s">
        <v>16</v>
      </c>
      <c r="F74" s="92" t="s">
        <v>16</v>
      </c>
      <c r="G74" s="92" t="s">
        <v>16</v>
      </c>
      <c r="H74" s="92" t="s">
        <v>16</v>
      </c>
      <c r="I74" s="92" t="s">
        <v>16</v>
      </c>
      <c r="J74" s="95" t="s">
        <v>18</v>
      </c>
      <c r="K74" s="95" t="s">
        <v>18</v>
      </c>
      <c r="L74" s="92" t="s">
        <v>16</v>
      </c>
      <c r="M74" s="92" t="s">
        <v>16</v>
      </c>
      <c r="N74" s="18" t="n">
        <f aca="false">COUNTIF(D74:M74,"Natif")</f>
        <v>7</v>
      </c>
      <c r="O74" s="18" t="n">
        <f aca="false">COUNTIF(D74:M74,"Natif")+COUNTIF(D74:M74,"Officiel")</f>
        <v>9</v>
      </c>
    </row>
    <row r="75" customFormat="false" ht="15" hidden="false" customHeight="false" outlineLevel="0" collapsed="false">
      <c r="A75" s="38" t="s">
        <v>92</v>
      </c>
      <c r="B75" s="38" t="s">
        <v>95</v>
      </c>
      <c r="C75" s="105" t="s">
        <v>426</v>
      </c>
      <c r="D75" s="95" t="s">
        <v>18</v>
      </c>
      <c r="E75" s="89" t="s">
        <v>20</v>
      </c>
      <c r="F75" s="89" t="s">
        <v>20</v>
      </c>
      <c r="G75" s="89" t="s">
        <v>20</v>
      </c>
      <c r="H75" s="89" t="s">
        <v>20</v>
      </c>
      <c r="I75" s="95" t="s">
        <v>18</v>
      </c>
      <c r="J75" s="95" t="s">
        <v>18</v>
      </c>
      <c r="K75" s="106" t="s">
        <v>24</v>
      </c>
      <c r="L75" s="95" t="s">
        <v>18</v>
      </c>
      <c r="M75" s="106" t="s">
        <v>24</v>
      </c>
      <c r="N75" s="18" t="n">
        <f aca="false">COUNTIF(D75:M75,"Natif")</f>
        <v>0</v>
      </c>
      <c r="O75" s="18" t="n">
        <f aca="false">COUNTIF(D75:M75,"Natif")+COUNTIF(D75:M75,"Officiel")</f>
        <v>4</v>
      </c>
    </row>
    <row r="76" customFormat="false" ht="15" hidden="false" customHeight="false" outlineLevel="0" collapsed="false">
      <c r="A76" s="38" t="s">
        <v>92</v>
      </c>
      <c r="B76" s="38" t="s">
        <v>95</v>
      </c>
      <c r="C76" s="105" t="s">
        <v>428</v>
      </c>
      <c r="D76" s="89" t="s">
        <v>20</v>
      </c>
      <c r="E76" s="89" t="s">
        <v>20</v>
      </c>
      <c r="F76" s="95" t="s">
        <v>18</v>
      </c>
      <c r="G76" s="89" t="s">
        <v>20</v>
      </c>
      <c r="H76" s="89" t="s">
        <v>20</v>
      </c>
      <c r="I76" s="106" t="s">
        <v>24</v>
      </c>
      <c r="J76" s="95" t="s">
        <v>18</v>
      </c>
      <c r="K76" s="107" t="s">
        <v>22</v>
      </c>
      <c r="L76" s="92" t="s">
        <v>16</v>
      </c>
      <c r="M76" s="106" t="s">
        <v>24</v>
      </c>
      <c r="N76" s="18" t="n">
        <f aca="false">COUNTIF(D76:M76,"Natif")</f>
        <v>1</v>
      </c>
      <c r="O76" s="18" t="n">
        <f aca="false">COUNTIF(D76:M76,"Natif")+COUNTIF(D76:M76,"Officiel")</f>
        <v>3</v>
      </c>
    </row>
    <row r="77" customFormat="false" ht="15" hidden="false" customHeight="false" outlineLevel="0" collapsed="false">
      <c r="A77" s="38" t="s">
        <v>96</v>
      </c>
      <c r="B77" s="38" t="s">
        <v>97</v>
      </c>
      <c r="C77" s="105" t="s">
        <v>430</v>
      </c>
      <c r="D77" s="89" t="s">
        <v>20</v>
      </c>
      <c r="E77" s="92" t="s">
        <v>16</v>
      </c>
      <c r="F77" s="92" t="s">
        <v>16</v>
      </c>
      <c r="G77" s="92" t="s">
        <v>16</v>
      </c>
      <c r="H77" s="95" t="s">
        <v>18</v>
      </c>
      <c r="I77" s="92" t="s">
        <v>16</v>
      </c>
      <c r="J77" s="92" t="s">
        <v>16</v>
      </c>
      <c r="K77" s="92" t="s">
        <v>16</v>
      </c>
      <c r="L77" s="92" t="s">
        <v>16</v>
      </c>
      <c r="M77" s="92" t="s">
        <v>16</v>
      </c>
      <c r="N77" s="18" t="n">
        <f aca="false">COUNTIF(D77:M77,"Natif")</f>
        <v>8</v>
      </c>
      <c r="O77" s="18" t="n">
        <f aca="false">COUNTIF(D77:M77,"Natif")+COUNTIF(D77:M77,"Officiel")</f>
        <v>9</v>
      </c>
    </row>
    <row r="78" customFormat="false" ht="15" hidden="false" customHeight="false" outlineLevel="0" collapsed="false">
      <c r="A78" s="38" t="s">
        <v>96</v>
      </c>
      <c r="B78" s="38" t="s">
        <v>97</v>
      </c>
      <c r="C78" s="105" t="s">
        <v>432</v>
      </c>
      <c r="D78" s="89" t="s">
        <v>20</v>
      </c>
      <c r="E78" s="92" t="s">
        <v>16</v>
      </c>
      <c r="F78" s="92" t="s">
        <v>16</v>
      </c>
      <c r="G78" s="92" t="s">
        <v>16</v>
      </c>
      <c r="H78" s="95" t="s">
        <v>18</v>
      </c>
      <c r="I78" s="92" t="s">
        <v>16</v>
      </c>
      <c r="J78" s="107" t="s">
        <v>22</v>
      </c>
      <c r="K78" s="92" t="s">
        <v>16</v>
      </c>
      <c r="L78" s="92" t="s">
        <v>16</v>
      </c>
      <c r="M78" s="92" t="s">
        <v>16</v>
      </c>
      <c r="N78" s="18" t="n">
        <f aca="false">COUNTIF(D78:M78,"Natif")</f>
        <v>7</v>
      </c>
      <c r="O78" s="18" t="n">
        <f aca="false">COUNTIF(D78:M78,"Natif")+COUNTIF(D78:M78,"Officiel")</f>
        <v>8</v>
      </c>
    </row>
    <row r="79" customFormat="false" ht="15" hidden="false" customHeight="false" outlineLevel="0" collapsed="false">
      <c r="A79" s="38" t="s">
        <v>96</v>
      </c>
      <c r="B79" s="38" t="s">
        <v>97</v>
      </c>
      <c r="C79" s="105" t="s">
        <v>434</v>
      </c>
      <c r="D79" s="89" t="s">
        <v>20</v>
      </c>
      <c r="E79" s="92" t="s">
        <v>16</v>
      </c>
      <c r="F79" s="107" t="s">
        <v>22</v>
      </c>
      <c r="G79" s="89" t="s">
        <v>20</v>
      </c>
      <c r="H79" s="107" t="s">
        <v>22</v>
      </c>
      <c r="I79" s="107" t="s">
        <v>22</v>
      </c>
      <c r="J79" s="107" t="s">
        <v>22</v>
      </c>
      <c r="K79" s="107" t="s">
        <v>22</v>
      </c>
      <c r="L79" s="107" t="s">
        <v>22</v>
      </c>
      <c r="M79" s="106" t="s">
        <v>24</v>
      </c>
      <c r="N79" s="18" t="n">
        <f aca="false">COUNTIF(D79:M79,"Natif")</f>
        <v>1</v>
      </c>
      <c r="O79" s="18" t="n">
        <f aca="false">COUNTIF(D79:M79,"Natif")+COUNTIF(D79:M79,"Officiel")</f>
        <v>1</v>
      </c>
    </row>
    <row r="80" customFormat="false" ht="15" hidden="false" customHeight="false" outlineLevel="0" collapsed="false">
      <c r="A80" s="38" t="s">
        <v>96</v>
      </c>
      <c r="B80" s="38" t="s">
        <v>97</v>
      </c>
      <c r="C80" s="105" t="s">
        <v>436</v>
      </c>
      <c r="D80" s="89" t="s">
        <v>20</v>
      </c>
      <c r="E80" s="107" t="s">
        <v>22</v>
      </c>
      <c r="F80" s="107" t="s">
        <v>22</v>
      </c>
      <c r="G80" s="92" t="s">
        <v>16</v>
      </c>
      <c r="H80" s="95" t="s">
        <v>18</v>
      </c>
      <c r="I80" s="92" t="s">
        <v>16</v>
      </c>
      <c r="J80" s="92" t="s">
        <v>16</v>
      </c>
      <c r="K80" s="92" t="s">
        <v>16</v>
      </c>
      <c r="L80" s="92" t="s">
        <v>16</v>
      </c>
      <c r="M80" s="92" t="s">
        <v>16</v>
      </c>
      <c r="N80" s="18" t="n">
        <f aca="false">COUNTIF(D80:M80,"Natif")</f>
        <v>6</v>
      </c>
      <c r="O80" s="18" t="n">
        <f aca="false">COUNTIF(D80:M80,"Natif")+COUNTIF(D80:M80,"Officiel")</f>
        <v>7</v>
      </c>
    </row>
    <row r="81" customFormat="false" ht="15" hidden="false" customHeight="false" outlineLevel="0" collapsed="false">
      <c r="A81" s="38" t="s">
        <v>96</v>
      </c>
      <c r="B81" s="38" t="s">
        <v>97</v>
      </c>
      <c r="C81" s="105" t="s">
        <v>438</v>
      </c>
      <c r="D81" s="92" t="s">
        <v>16</v>
      </c>
      <c r="E81" s="92" t="s">
        <v>16</v>
      </c>
      <c r="F81" s="92" t="s">
        <v>16</v>
      </c>
      <c r="G81" s="107" t="s">
        <v>22</v>
      </c>
      <c r="H81" s="95" t="s">
        <v>18</v>
      </c>
      <c r="I81" s="92" t="s">
        <v>16</v>
      </c>
      <c r="J81" s="107" t="s">
        <v>22</v>
      </c>
      <c r="K81" s="95" t="s">
        <v>18</v>
      </c>
      <c r="L81" s="95" t="s">
        <v>18</v>
      </c>
      <c r="M81" s="107" t="s">
        <v>22</v>
      </c>
      <c r="N81" s="18" t="n">
        <f aca="false">COUNTIF(D81:M81,"Natif")</f>
        <v>4</v>
      </c>
      <c r="O81" s="18" t="n">
        <f aca="false">COUNTIF(D81:M81,"Natif")+COUNTIF(D81:M81,"Officiel")</f>
        <v>7</v>
      </c>
    </row>
    <row r="82" customFormat="false" ht="15" hidden="false" customHeight="false" outlineLevel="0" collapsed="false">
      <c r="A82" s="38" t="s">
        <v>96</v>
      </c>
      <c r="B82" s="38" t="s">
        <v>97</v>
      </c>
      <c r="C82" s="105" t="s">
        <v>440</v>
      </c>
      <c r="D82" s="89" t="s">
        <v>20</v>
      </c>
      <c r="E82" s="89" t="s">
        <v>20</v>
      </c>
      <c r="F82" s="92" t="s">
        <v>16</v>
      </c>
      <c r="G82" s="106" t="s">
        <v>24</v>
      </c>
      <c r="H82" s="95" t="s">
        <v>18</v>
      </c>
      <c r="I82" s="92" t="s">
        <v>16</v>
      </c>
      <c r="J82" s="107" t="s">
        <v>22</v>
      </c>
      <c r="K82" s="107" t="s">
        <v>22</v>
      </c>
      <c r="L82" s="95" t="s">
        <v>18</v>
      </c>
      <c r="M82" s="106" t="s">
        <v>24</v>
      </c>
      <c r="N82" s="18" t="n">
        <f aca="false">COUNTIF(D82:M82,"Natif")</f>
        <v>2</v>
      </c>
      <c r="O82" s="18" t="n">
        <f aca="false">COUNTIF(D82:M82,"Natif")+COUNTIF(D82:M82,"Officiel")</f>
        <v>4</v>
      </c>
    </row>
    <row r="83" customFormat="false" ht="15" hidden="false" customHeight="false" outlineLevel="0" collapsed="false">
      <c r="A83" s="38" t="s">
        <v>96</v>
      </c>
      <c r="B83" s="38" t="s">
        <v>97</v>
      </c>
      <c r="C83" s="105" t="s">
        <v>442</v>
      </c>
      <c r="D83" s="92" t="s">
        <v>16</v>
      </c>
      <c r="E83" s="92" t="s">
        <v>16</v>
      </c>
      <c r="F83" s="92" t="s">
        <v>16</v>
      </c>
      <c r="G83" s="92" t="s">
        <v>16</v>
      </c>
      <c r="H83" s="92" t="s">
        <v>16</v>
      </c>
      <c r="I83" s="101" t="s">
        <v>26</v>
      </c>
      <c r="J83" s="92" t="s">
        <v>16</v>
      </c>
      <c r="K83" s="92" t="s">
        <v>16</v>
      </c>
      <c r="L83" s="92" t="s">
        <v>16</v>
      </c>
      <c r="M83" s="107" t="s">
        <v>22</v>
      </c>
      <c r="N83" s="18" t="n">
        <f aca="false">COUNTIF(D83:M83,"Natif")</f>
        <v>8</v>
      </c>
      <c r="O83" s="18" t="n">
        <f aca="false">COUNTIF(D83:M83,"Natif")+COUNTIF(D83:M83,"Officiel")</f>
        <v>8</v>
      </c>
    </row>
    <row r="84" customFormat="false" ht="15" hidden="false" customHeight="false" outlineLevel="0" collapsed="false">
      <c r="A84" s="38" t="s">
        <v>96</v>
      </c>
      <c r="B84" s="38" t="s">
        <v>98</v>
      </c>
      <c r="C84" s="105" t="s">
        <v>454</v>
      </c>
      <c r="D84" s="92" t="s">
        <v>16</v>
      </c>
      <c r="E84" s="107" t="s">
        <v>22</v>
      </c>
      <c r="F84" s="92" t="s">
        <v>16</v>
      </c>
      <c r="G84" s="107" t="s">
        <v>22</v>
      </c>
      <c r="H84" s="92" t="s">
        <v>16</v>
      </c>
      <c r="I84" s="92" t="s">
        <v>16</v>
      </c>
      <c r="J84" s="92" t="s">
        <v>16</v>
      </c>
      <c r="K84" s="106" t="s">
        <v>24</v>
      </c>
      <c r="L84" s="107" t="s">
        <v>22</v>
      </c>
      <c r="M84" s="107" t="s">
        <v>22</v>
      </c>
      <c r="N84" s="18" t="n">
        <f aca="false">COUNTIF(D84:M84,"Natif")</f>
        <v>5</v>
      </c>
      <c r="O84" s="18" t="n">
        <f aca="false">COUNTIF(D84:M84,"Natif")+COUNTIF(D84:M84,"Officiel")</f>
        <v>5</v>
      </c>
    </row>
    <row r="85" customFormat="false" ht="15" hidden="false" customHeight="false" outlineLevel="0" collapsed="false">
      <c r="A85" s="38" t="s">
        <v>96</v>
      </c>
      <c r="B85" s="38" t="s">
        <v>98</v>
      </c>
      <c r="C85" s="105" t="s">
        <v>456</v>
      </c>
      <c r="D85" s="92" t="s">
        <v>16</v>
      </c>
      <c r="E85" s="89" t="s">
        <v>20</v>
      </c>
      <c r="F85" s="92" t="s">
        <v>16</v>
      </c>
      <c r="G85" s="92" t="s">
        <v>16</v>
      </c>
      <c r="H85" s="92" t="s">
        <v>16</v>
      </c>
      <c r="I85" s="92" t="s">
        <v>16</v>
      </c>
      <c r="J85" s="92" t="s">
        <v>16</v>
      </c>
      <c r="K85" s="92" t="s">
        <v>16</v>
      </c>
      <c r="L85" s="92" t="s">
        <v>16</v>
      </c>
      <c r="M85" s="92" t="s">
        <v>16</v>
      </c>
      <c r="N85" s="18" t="n">
        <f aca="false">COUNTIF(D85:M85,"Natif")</f>
        <v>9</v>
      </c>
      <c r="O85" s="18" t="n">
        <f aca="false">COUNTIF(D85:M85,"Natif")+COUNTIF(D85:M85,"Officiel")</f>
        <v>9</v>
      </c>
    </row>
    <row r="86" customFormat="false" ht="15" hidden="false" customHeight="false" outlineLevel="0" collapsed="false">
      <c r="A86" s="38" t="s">
        <v>96</v>
      </c>
      <c r="B86" s="38" t="s">
        <v>98</v>
      </c>
      <c r="C86" s="105" t="s">
        <v>458</v>
      </c>
      <c r="D86" s="92" t="s">
        <v>16</v>
      </c>
      <c r="E86" s="89" t="s">
        <v>20</v>
      </c>
      <c r="F86" s="92" t="s">
        <v>16</v>
      </c>
      <c r="G86" s="92" t="s">
        <v>16</v>
      </c>
      <c r="H86" s="92" t="s">
        <v>16</v>
      </c>
      <c r="I86" s="92" t="s">
        <v>16</v>
      </c>
      <c r="J86" s="92" t="s">
        <v>16</v>
      </c>
      <c r="K86" s="95" t="s">
        <v>18</v>
      </c>
      <c r="L86" s="92" t="s">
        <v>16</v>
      </c>
      <c r="M86" s="106" t="s">
        <v>24</v>
      </c>
      <c r="N86" s="18" t="n">
        <f aca="false">COUNTIF(D86:M86,"Natif")</f>
        <v>7</v>
      </c>
      <c r="O86" s="18" t="n">
        <f aca="false">COUNTIF(D86:M86,"Natif")+COUNTIF(D86:M86,"Officiel")</f>
        <v>8</v>
      </c>
    </row>
    <row r="87" customFormat="false" ht="15" hidden="false" customHeight="false" outlineLevel="0" collapsed="false">
      <c r="A87" s="38" t="s">
        <v>96</v>
      </c>
      <c r="B87" s="38" t="s">
        <v>98</v>
      </c>
      <c r="C87" s="105" t="s">
        <v>460</v>
      </c>
      <c r="D87" s="107" t="s">
        <v>22</v>
      </c>
      <c r="E87" s="92" t="s">
        <v>16</v>
      </c>
      <c r="F87" s="92" t="s">
        <v>16</v>
      </c>
      <c r="G87" s="92" t="s">
        <v>16</v>
      </c>
      <c r="H87" s="92" t="s">
        <v>16</v>
      </c>
      <c r="I87" s="92" t="s">
        <v>16</v>
      </c>
      <c r="J87" s="92" t="s">
        <v>16</v>
      </c>
      <c r="K87" s="107" t="s">
        <v>22</v>
      </c>
      <c r="L87" s="107" t="s">
        <v>22</v>
      </c>
      <c r="M87" s="92" t="s">
        <v>16</v>
      </c>
      <c r="N87" s="18" t="n">
        <f aca="false">COUNTIF(D87:M87,"Natif")</f>
        <v>7</v>
      </c>
      <c r="O87" s="18" t="n">
        <f aca="false">COUNTIF(D87:M87,"Natif")+COUNTIF(D87:M87,"Officiel")</f>
        <v>7</v>
      </c>
    </row>
    <row r="88" customFormat="false" ht="15" hidden="false" customHeight="false" outlineLevel="0" collapsed="false">
      <c r="A88" s="38" t="s">
        <v>96</v>
      </c>
      <c r="B88" s="38" t="s">
        <v>98</v>
      </c>
      <c r="C88" s="105" t="s">
        <v>462</v>
      </c>
      <c r="D88" s="89" t="s">
        <v>20</v>
      </c>
      <c r="E88" s="89" t="s">
        <v>20</v>
      </c>
      <c r="F88" s="107" t="s">
        <v>22</v>
      </c>
      <c r="G88" s="89" t="s">
        <v>20</v>
      </c>
      <c r="H88" s="95" t="s">
        <v>18</v>
      </c>
      <c r="I88" s="89" t="s">
        <v>20</v>
      </c>
      <c r="J88" s="92" t="s">
        <v>16</v>
      </c>
      <c r="K88" s="95" t="s">
        <v>18</v>
      </c>
      <c r="L88" s="95" t="s">
        <v>18</v>
      </c>
      <c r="M88" s="106" t="s">
        <v>24</v>
      </c>
      <c r="N88" s="18" t="n">
        <f aca="false">COUNTIF(D88:M88,"Natif")</f>
        <v>1</v>
      </c>
      <c r="O88" s="18" t="n">
        <f aca="false">COUNTIF(D88:M88,"Natif")+COUNTIF(D88:M88,"Officiel")</f>
        <v>4</v>
      </c>
    </row>
    <row r="89" customFormat="false" ht="15" hidden="false" customHeight="false" outlineLevel="0" collapsed="false">
      <c r="A89" s="38" t="s">
        <v>96</v>
      </c>
      <c r="B89" s="38" t="s">
        <v>98</v>
      </c>
      <c r="C89" s="105" t="s">
        <v>464</v>
      </c>
      <c r="D89" s="92" t="s">
        <v>16</v>
      </c>
      <c r="E89" s="89" t="s">
        <v>20</v>
      </c>
      <c r="F89" s="89" t="s">
        <v>20</v>
      </c>
      <c r="G89" s="89" t="s">
        <v>20</v>
      </c>
      <c r="H89" s="95" t="s">
        <v>18</v>
      </c>
      <c r="I89" s="107" t="s">
        <v>22</v>
      </c>
      <c r="J89" s="106" t="s">
        <v>24</v>
      </c>
      <c r="K89" s="106" t="s">
        <v>24</v>
      </c>
      <c r="L89" s="106" t="s">
        <v>24</v>
      </c>
      <c r="M89" s="106" t="s">
        <v>24</v>
      </c>
      <c r="N89" s="18" t="n">
        <f aca="false">COUNTIF(D89:M89,"Natif")</f>
        <v>1</v>
      </c>
      <c r="O89" s="18" t="n">
        <f aca="false">COUNTIF(D89:M89,"Natif")+COUNTIF(D89:M89,"Officiel")</f>
        <v>2</v>
      </c>
    </row>
    <row r="90" customFormat="false" ht="15" hidden="false" customHeight="false" outlineLevel="0" collapsed="false">
      <c r="A90" s="38" t="s">
        <v>96</v>
      </c>
      <c r="B90" s="38" t="s">
        <v>98</v>
      </c>
      <c r="C90" s="105" t="s">
        <v>466</v>
      </c>
      <c r="D90" s="107" t="s">
        <v>22</v>
      </c>
      <c r="E90" s="92" t="s">
        <v>16</v>
      </c>
      <c r="F90" s="107" t="s">
        <v>22</v>
      </c>
      <c r="G90" s="107" t="s">
        <v>22</v>
      </c>
      <c r="H90" s="92" t="s">
        <v>16</v>
      </c>
      <c r="I90" s="92" t="s">
        <v>16</v>
      </c>
      <c r="J90" s="107" t="s">
        <v>22</v>
      </c>
      <c r="K90" s="107" t="s">
        <v>22</v>
      </c>
      <c r="L90" s="107" t="s">
        <v>22</v>
      </c>
      <c r="M90" s="107" t="s">
        <v>22</v>
      </c>
      <c r="N90" s="18" t="n">
        <f aca="false">COUNTIF(D90:M90,"Natif")</f>
        <v>3</v>
      </c>
      <c r="O90" s="18" t="n">
        <f aca="false">COUNTIF(D90:M90,"Natif")+COUNTIF(D90:M90,"Officiel")</f>
        <v>3</v>
      </c>
    </row>
    <row r="91" customFormat="false" ht="15" hidden="false" customHeight="false" outlineLevel="0" collapsed="false">
      <c r="A91" s="38" t="s">
        <v>96</v>
      </c>
      <c r="B91" s="38" t="s">
        <v>98</v>
      </c>
      <c r="C91" s="105" t="s">
        <v>468</v>
      </c>
      <c r="D91" s="89" t="s">
        <v>20</v>
      </c>
      <c r="E91" s="92" t="s">
        <v>16</v>
      </c>
      <c r="F91" s="92" t="s">
        <v>16</v>
      </c>
      <c r="G91" s="92" t="s">
        <v>16</v>
      </c>
      <c r="H91" s="95" t="s">
        <v>18</v>
      </c>
      <c r="I91" s="92" t="s">
        <v>16</v>
      </c>
      <c r="J91" s="107" t="s">
        <v>22</v>
      </c>
      <c r="K91" s="106" t="s">
        <v>24</v>
      </c>
      <c r="L91" s="107" t="s">
        <v>22</v>
      </c>
      <c r="M91" s="106" t="s">
        <v>24</v>
      </c>
      <c r="N91" s="18" t="n">
        <f aca="false">COUNTIF(D91:M91,"Natif")</f>
        <v>4</v>
      </c>
      <c r="O91" s="18" t="n">
        <f aca="false">COUNTIF(D91:M91,"Natif")+COUNTIF(D91:M91,"Officiel")</f>
        <v>5</v>
      </c>
    </row>
    <row r="92" customFormat="false" ht="15" hidden="false" customHeight="false" outlineLevel="0" collapsed="false">
      <c r="A92" s="38" t="s">
        <v>96</v>
      </c>
      <c r="B92" s="38" t="s">
        <v>98</v>
      </c>
      <c r="C92" s="105" t="s">
        <v>470</v>
      </c>
      <c r="D92" s="92" t="s">
        <v>16</v>
      </c>
      <c r="E92" s="92" t="s">
        <v>16</v>
      </c>
      <c r="F92" s="89" t="s">
        <v>20</v>
      </c>
      <c r="G92" s="89" t="s">
        <v>20</v>
      </c>
      <c r="H92" s="95" t="s">
        <v>18</v>
      </c>
      <c r="I92" s="107" t="s">
        <v>22</v>
      </c>
      <c r="J92" s="92" t="s">
        <v>16</v>
      </c>
      <c r="K92" s="107" t="s">
        <v>22</v>
      </c>
      <c r="L92" s="92" t="s">
        <v>16</v>
      </c>
      <c r="M92" s="107" t="s">
        <v>22</v>
      </c>
      <c r="N92" s="18" t="n">
        <f aca="false">COUNTIF(D92:M92,"Natif")</f>
        <v>4</v>
      </c>
      <c r="O92" s="18" t="n">
        <f aca="false">COUNTIF(D92:M92,"Natif")+COUNTIF(D92:M92,"Officiel")</f>
        <v>5</v>
      </c>
    </row>
    <row r="93" customFormat="false" ht="15" hidden="false" customHeight="false" outlineLevel="0" collapsed="false">
      <c r="A93" s="38" t="s">
        <v>96</v>
      </c>
      <c r="B93" s="38" t="s">
        <v>99</v>
      </c>
      <c r="C93" s="105" t="s">
        <v>818</v>
      </c>
      <c r="D93" s="90" t="s">
        <v>28</v>
      </c>
      <c r="E93" s="90" t="s">
        <v>28</v>
      </c>
      <c r="F93" s="90" t="s">
        <v>28</v>
      </c>
      <c r="G93" s="90" t="s">
        <v>28</v>
      </c>
      <c r="H93" s="90" t="s">
        <v>28</v>
      </c>
      <c r="I93" s="90" t="s">
        <v>28</v>
      </c>
      <c r="J93" s="90" t="s">
        <v>28</v>
      </c>
      <c r="K93" s="90" t="s">
        <v>28</v>
      </c>
      <c r="L93" s="90" t="s">
        <v>28</v>
      </c>
      <c r="M93" s="90" t="s">
        <v>28</v>
      </c>
      <c r="N93" s="18" t="n">
        <f aca="false">COUNTIF(D93:M93,"Natif")</f>
        <v>0</v>
      </c>
      <c r="O93" s="18" t="n">
        <f aca="false">COUNTIF(D93:M93,"Natif")+COUNTIF(D93:M93,"Officiel")</f>
        <v>0</v>
      </c>
    </row>
    <row r="94" customFormat="false" ht="15" hidden="false" customHeight="false" outlineLevel="0" collapsed="false">
      <c r="A94" s="38" t="s">
        <v>96</v>
      </c>
      <c r="B94" s="38" t="s">
        <v>99</v>
      </c>
      <c r="C94" s="105" t="s">
        <v>472</v>
      </c>
      <c r="D94" s="92" t="s">
        <v>16</v>
      </c>
      <c r="E94" s="92" t="s">
        <v>16</v>
      </c>
      <c r="F94" s="107" t="s">
        <v>22</v>
      </c>
      <c r="G94" s="92" t="s">
        <v>16</v>
      </c>
      <c r="H94" s="107" t="s">
        <v>22</v>
      </c>
      <c r="I94" s="107" t="s">
        <v>22</v>
      </c>
      <c r="J94" s="92" t="s">
        <v>16</v>
      </c>
      <c r="K94" s="106" t="s">
        <v>24</v>
      </c>
      <c r="L94" s="92" t="s">
        <v>16</v>
      </c>
      <c r="M94" s="107" t="s">
        <v>22</v>
      </c>
      <c r="N94" s="18" t="n">
        <f aca="false">COUNTIF(D94:M94,"Natif")</f>
        <v>5</v>
      </c>
      <c r="O94" s="18" t="n">
        <f aca="false">COUNTIF(D94:M94,"Natif")+COUNTIF(D94:M94,"Officiel")</f>
        <v>5</v>
      </c>
    </row>
    <row r="95" customFormat="false" ht="15" hidden="false" customHeight="false" outlineLevel="0" collapsed="false">
      <c r="A95" s="38" t="s">
        <v>96</v>
      </c>
      <c r="B95" s="38" t="s">
        <v>99</v>
      </c>
      <c r="C95" s="105" t="s">
        <v>474</v>
      </c>
      <c r="D95" s="92" t="s">
        <v>16</v>
      </c>
      <c r="E95" s="92" t="s">
        <v>16</v>
      </c>
      <c r="F95" s="92" t="s">
        <v>16</v>
      </c>
      <c r="G95" s="92" t="s">
        <v>16</v>
      </c>
      <c r="H95" s="92" t="s">
        <v>16</v>
      </c>
      <c r="I95" s="92" t="s">
        <v>16</v>
      </c>
      <c r="J95" s="92" t="s">
        <v>16</v>
      </c>
      <c r="K95" s="107" t="s">
        <v>22</v>
      </c>
      <c r="L95" s="92" t="s">
        <v>16</v>
      </c>
      <c r="M95" s="92" t="s">
        <v>16</v>
      </c>
      <c r="N95" s="18" t="n">
        <f aca="false">COUNTIF(D95:M95,"Natif")</f>
        <v>9</v>
      </c>
      <c r="O95" s="18" t="n">
        <f aca="false">COUNTIF(D95:M95,"Natif")+COUNTIF(D95:M95,"Officiel")</f>
        <v>9</v>
      </c>
    </row>
    <row r="96" customFormat="false" ht="15" hidden="false" customHeight="false" outlineLevel="0" collapsed="false">
      <c r="A96" s="38" t="s">
        <v>96</v>
      </c>
      <c r="B96" s="38" t="s">
        <v>99</v>
      </c>
      <c r="C96" s="105" t="s">
        <v>476</v>
      </c>
      <c r="D96" s="92" t="s">
        <v>16</v>
      </c>
      <c r="E96" s="92" t="s">
        <v>16</v>
      </c>
      <c r="F96" s="92" t="s">
        <v>16</v>
      </c>
      <c r="G96" s="92" t="s">
        <v>16</v>
      </c>
      <c r="H96" s="92" t="s">
        <v>16</v>
      </c>
      <c r="I96" s="92" t="s">
        <v>16</v>
      </c>
      <c r="J96" s="92" t="s">
        <v>16</v>
      </c>
      <c r="K96" s="107" t="s">
        <v>22</v>
      </c>
      <c r="L96" s="92" t="s">
        <v>16</v>
      </c>
      <c r="M96" s="92" t="s">
        <v>16</v>
      </c>
      <c r="N96" s="18" t="n">
        <f aca="false">COUNTIF(D96:M96,"Natif")</f>
        <v>9</v>
      </c>
      <c r="O96" s="18" t="n">
        <f aca="false">COUNTIF(D96:M96,"Natif")+COUNTIF(D96:M96,"Officiel")</f>
        <v>9</v>
      </c>
    </row>
    <row r="97" customFormat="false" ht="15" hidden="false" customHeight="false" outlineLevel="0" collapsed="false">
      <c r="A97" s="38" t="s">
        <v>96</v>
      </c>
      <c r="B97" s="38" t="s">
        <v>99</v>
      </c>
      <c r="C97" s="105" t="s">
        <v>478</v>
      </c>
      <c r="D97" s="92" t="s">
        <v>16</v>
      </c>
      <c r="E97" s="107" t="s">
        <v>22</v>
      </c>
      <c r="F97" s="107" t="s">
        <v>22</v>
      </c>
      <c r="G97" s="92" t="s">
        <v>16</v>
      </c>
      <c r="H97" s="92" t="s">
        <v>16</v>
      </c>
      <c r="I97" s="107" t="s">
        <v>22</v>
      </c>
      <c r="J97" s="92" t="s">
        <v>16</v>
      </c>
      <c r="K97" s="107" t="s">
        <v>22</v>
      </c>
      <c r="L97" s="92" t="s">
        <v>16</v>
      </c>
      <c r="M97" s="106" t="s">
        <v>24</v>
      </c>
      <c r="N97" s="18" t="n">
        <f aca="false">COUNTIF(D97:M97,"Natif")</f>
        <v>5</v>
      </c>
      <c r="O97" s="18" t="n">
        <f aca="false">COUNTIF(D97:M97,"Natif")+COUNTIF(D97:M97,"Officiel")</f>
        <v>5</v>
      </c>
    </row>
    <row r="98" customFormat="false" ht="15" hidden="false" customHeight="false" outlineLevel="0" collapsed="false">
      <c r="A98" s="38" t="s">
        <v>96</v>
      </c>
      <c r="B98" s="38" t="s">
        <v>99</v>
      </c>
      <c r="C98" s="105" t="s">
        <v>480</v>
      </c>
      <c r="D98" s="92" t="s">
        <v>16</v>
      </c>
      <c r="E98" s="92" t="s">
        <v>16</v>
      </c>
      <c r="F98" s="92" t="s">
        <v>16</v>
      </c>
      <c r="G98" s="92" t="s">
        <v>16</v>
      </c>
      <c r="H98" s="92" t="s">
        <v>16</v>
      </c>
      <c r="I98" s="92" t="s">
        <v>16</v>
      </c>
      <c r="J98" s="92" t="s">
        <v>16</v>
      </c>
      <c r="K98" s="107" t="s">
        <v>22</v>
      </c>
      <c r="L98" s="92" t="s">
        <v>16</v>
      </c>
      <c r="M98" s="92" t="s">
        <v>16</v>
      </c>
      <c r="N98" s="18" t="n">
        <f aca="false">COUNTIF(D98:M98,"Natif")</f>
        <v>9</v>
      </c>
      <c r="O98" s="18" t="n">
        <f aca="false">COUNTIF(D98:M98,"Natif")+COUNTIF(D98:M98,"Officiel")</f>
        <v>9</v>
      </c>
    </row>
    <row r="99" customFormat="false" ht="15" hidden="false" customHeight="false" outlineLevel="0" collapsed="false">
      <c r="A99" s="38" t="s">
        <v>96</v>
      </c>
      <c r="B99" s="38" t="s">
        <v>99</v>
      </c>
      <c r="C99" s="105" t="s">
        <v>482</v>
      </c>
      <c r="D99" s="92" t="s">
        <v>16</v>
      </c>
      <c r="E99" s="95" t="s">
        <v>18</v>
      </c>
      <c r="F99" s="106" t="s">
        <v>24</v>
      </c>
      <c r="G99" s="106" t="s">
        <v>24</v>
      </c>
      <c r="H99" s="106" t="s">
        <v>24</v>
      </c>
      <c r="I99" s="92" t="s">
        <v>16</v>
      </c>
      <c r="J99" s="106" t="s">
        <v>24</v>
      </c>
      <c r="K99" s="106" t="s">
        <v>24</v>
      </c>
      <c r="L99" s="106" t="s">
        <v>24</v>
      </c>
      <c r="M99" s="106" t="s">
        <v>24</v>
      </c>
      <c r="N99" s="18" t="n">
        <f aca="false">COUNTIF(D99:M99,"Natif")</f>
        <v>2</v>
      </c>
      <c r="O99" s="18" t="n">
        <f aca="false">COUNTIF(D99:M99,"Natif")+COUNTIF(D99:M99,"Officiel")</f>
        <v>3</v>
      </c>
    </row>
    <row r="100" customFormat="false" ht="15" hidden="false" customHeight="false" outlineLevel="0" collapsed="false">
      <c r="A100" s="38" t="s">
        <v>96</v>
      </c>
      <c r="B100" s="38" t="s">
        <v>100</v>
      </c>
      <c r="C100" s="105" t="s">
        <v>494</v>
      </c>
      <c r="D100" s="92" t="s">
        <v>16</v>
      </c>
      <c r="E100" s="92" t="s">
        <v>16</v>
      </c>
      <c r="F100" s="106" t="s">
        <v>24</v>
      </c>
      <c r="G100" s="106" t="s">
        <v>24</v>
      </c>
      <c r="H100" s="106" t="s">
        <v>24</v>
      </c>
      <c r="I100" s="92" t="s">
        <v>16</v>
      </c>
      <c r="J100" s="92" t="s">
        <v>16</v>
      </c>
      <c r="K100" s="106" t="s">
        <v>24</v>
      </c>
      <c r="L100" s="92" t="s">
        <v>16</v>
      </c>
      <c r="M100" s="92" t="s">
        <v>16</v>
      </c>
      <c r="N100" s="18" t="n">
        <f aca="false">COUNTIF(D100:M100,"Natif")</f>
        <v>6</v>
      </c>
      <c r="O100" s="18" t="n">
        <f aca="false">COUNTIF(D100:M100,"Natif")+COUNTIF(D100:M100,"Officiel")</f>
        <v>6</v>
      </c>
    </row>
    <row r="101" customFormat="false" ht="15" hidden="false" customHeight="false" outlineLevel="0" collapsed="false">
      <c r="A101" s="38" t="s">
        <v>96</v>
      </c>
      <c r="B101" s="38" t="s">
        <v>100</v>
      </c>
      <c r="C101" s="105" t="s">
        <v>496</v>
      </c>
      <c r="D101" s="92" t="s">
        <v>16</v>
      </c>
      <c r="E101" s="92" t="s">
        <v>16</v>
      </c>
      <c r="F101" s="106" t="s">
        <v>24</v>
      </c>
      <c r="G101" s="106" t="s">
        <v>24</v>
      </c>
      <c r="H101" s="106" t="s">
        <v>24</v>
      </c>
      <c r="I101" s="92" t="s">
        <v>16</v>
      </c>
      <c r="J101" s="92" t="s">
        <v>16</v>
      </c>
      <c r="K101" s="106" t="s">
        <v>24</v>
      </c>
      <c r="L101" s="106" t="s">
        <v>24</v>
      </c>
      <c r="M101" s="106" t="s">
        <v>24</v>
      </c>
      <c r="N101" s="18" t="n">
        <f aca="false">COUNTIF(D101:M101,"Natif")</f>
        <v>4</v>
      </c>
      <c r="O101" s="18" t="n">
        <f aca="false">COUNTIF(D101:M101,"Natif")+COUNTIF(D101:M101,"Officiel")</f>
        <v>4</v>
      </c>
    </row>
    <row r="102" customFormat="false" ht="15" hidden="false" customHeight="false" outlineLevel="0" collapsed="false">
      <c r="A102" s="38" t="s">
        <v>96</v>
      </c>
      <c r="B102" s="38" t="s">
        <v>100</v>
      </c>
      <c r="C102" s="105" t="s">
        <v>498</v>
      </c>
      <c r="D102" s="92" t="s">
        <v>16</v>
      </c>
      <c r="E102" s="95" t="s">
        <v>18</v>
      </c>
      <c r="F102" s="106" t="s">
        <v>24</v>
      </c>
      <c r="G102" s="107" t="s">
        <v>22</v>
      </c>
      <c r="H102" s="107" t="s">
        <v>22</v>
      </c>
      <c r="I102" s="92" t="s">
        <v>16</v>
      </c>
      <c r="J102" s="92" t="s">
        <v>16</v>
      </c>
      <c r="K102" s="106" t="s">
        <v>24</v>
      </c>
      <c r="L102" s="95" t="s">
        <v>18</v>
      </c>
      <c r="M102" s="106" t="s">
        <v>24</v>
      </c>
      <c r="N102" s="18" t="n">
        <f aca="false">COUNTIF(D102:M102,"Natif")</f>
        <v>3</v>
      </c>
      <c r="O102" s="18" t="n">
        <f aca="false">COUNTIF(D102:M102,"Natif")+COUNTIF(D102:M102,"Officiel")</f>
        <v>5</v>
      </c>
    </row>
    <row r="103" customFormat="false" ht="15" hidden="false" customHeight="false" outlineLevel="0" collapsed="false">
      <c r="A103" s="38" t="s">
        <v>96</v>
      </c>
      <c r="B103" s="38" t="s">
        <v>100</v>
      </c>
      <c r="C103" s="105" t="s">
        <v>499</v>
      </c>
      <c r="D103" s="107" t="s">
        <v>22</v>
      </c>
      <c r="E103" s="95" t="s">
        <v>18</v>
      </c>
      <c r="F103" s="95" t="s">
        <v>18</v>
      </c>
      <c r="G103" s="95" t="s">
        <v>18</v>
      </c>
      <c r="H103" s="92" t="s">
        <v>16</v>
      </c>
      <c r="I103" s="92" t="s">
        <v>16</v>
      </c>
      <c r="J103" s="92" t="s">
        <v>16</v>
      </c>
      <c r="K103" s="92" t="s">
        <v>16</v>
      </c>
      <c r="L103" s="92" t="s">
        <v>16</v>
      </c>
      <c r="M103" s="95" t="s">
        <v>18</v>
      </c>
      <c r="N103" s="18" t="n">
        <f aca="false">COUNTIF(D103:M103,"Natif")</f>
        <v>5</v>
      </c>
      <c r="O103" s="18" t="n">
        <f aca="false">COUNTIF(D103:M103,"Natif")+COUNTIF(D103:M103,"Officiel")</f>
        <v>9</v>
      </c>
    </row>
    <row r="104" customFormat="false" ht="15" hidden="false" customHeight="false" outlineLevel="0" collapsed="false">
      <c r="A104" s="38" t="s">
        <v>96</v>
      </c>
      <c r="B104" s="38" t="s">
        <v>100</v>
      </c>
      <c r="C104" s="105" t="s">
        <v>501</v>
      </c>
      <c r="D104" s="92" t="s">
        <v>16</v>
      </c>
      <c r="E104" s="92" t="s">
        <v>16</v>
      </c>
      <c r="F104" s="92" t="s">
        <v>16</v>
      </c>
      <c r="G104" s="92" t="s">
        <v>16</v>
      </c>
      <c r="H104" s="95" t="s">
        <v>18</v>
      </c>
      <c r="I104" s="107" t="s">
        <v>22</v>
      </c>
      <c r="J104" s="95" t="s">
        <v>18</v>
      </c>
      <c r="K104" s="92" t="s">
        <v>16</v>
      </c>
      <c r="L104" s="92" t="s">
        <v>16</v>
      </c>
      <c r="M104" s="107" t="s">
        <v>22</v>
      </c>
      <c r="N104" s="18" t="n">
        <f aca="false">COUNTIF(D104:M104,"Natif")</f>
        <v>6</v>
      </c>
      <c r="O104" s="18" t="n">
        <f aca="false">COUNTIF(D104:M104,"Natif")+COUNTIF(D104:M104,"Officiel")</f>
        <v>8</v>
      </c>
    </row>
    <row r="105" customFormat="false" ht="15" hidden="false" customHeight="false" outlineLevel="0" collapsed="false">
      <c r="A105" s="38" t="s">
        <v>96</v>
      </c>
      <c r="B105" s="38" t="s">
        <v>100</v>
      </c>
      <c r="C105" s="105" t="s">
        <v>503</v>
      </c>
      <c r="D105" s="89" t="s">
        <v>20</v>
      </c>
      <c r="E105" s="89" t="s">
        <v>20</v>
      </c>
      <c r="F105" s="89" t="s">
        <v>20</v>
      </c>
      <c r="G105" s="89" t="s">
        <v>20</v>
      </c>
      <c r="H105" s="95" t="s">
        <v>18</v>
      </c>
      <c r="I105" s="89" t="s">
        <v>20</v>
      </c>
      <c r="J105" s="89" t="s">
        <v>20</v>
      </c>
      <c r="K105" s="107" t="s">
        <v>22</v>
      </c>
      <c r="L105" s="106" t="s">
        <v>24</v>
      </c>
      <c r="M105" s="106" t="s">
        <v>24</v>
      </c>
      <c r="N105" s="18" t="n">
        <f aca="false">COUNTIF(D105:M105,"Natif")</f>
        <v>0</v>
      </c>
      <c r="O105" s="18" t="n">
        <f aca="false">COUNTIF(D105:M105,"Natif")+COUNTIF(D105:M105,"Officiel")</f>
        <v>1</v>
      </c>
    </row>
    <row r="106" customFormat="false" ht="15" hidden="false" customHeight="false" outlineLevel="0" collapsed="false">
      <c r="A106" s="38" t="s">
        <v>96</v>
      </c>
      <c r="B106" s="38" t="s">
        <v>100</v>
      </c>
      <c r="C106" s="105" t="s">
        <v>505</v>
      </c>
      <c r="D106" s="95" t="s">
        <v>18</v>
      </c>
      <c r="E106" s="107" t="s">
        <v>22</v>
      </c>
      <c r="F106" s="89" t="s">
        <v>20</v>
      </c>
      <c r="G106" s="89" t="s">
        <v>20</v>
      </c>
      <c r="H106" s="92" t="s">
        <v>16</v>
      </c>
      <c r="I106" s="107" t="s">
        <v>22</v>
      </c>
      <c r="J106" s="92" t="s">
        <v>16</v>
      </c>
      <c r="K106" s="107" t="s">
        <v>22</v>
      </c>
      <c r="L106" s="92" t="s">
        <v>16</v>
      </c>
      <c r="M106" s="92" t="s">
        <v>16</v>
      </c>
      <c r="N106" s="18" t="n">
        <f aca="false">COUNTIF(D106:M106,"Natif")</f>
        <v>4</v>
      </c>
      <c r="O106" s="18" t="n">
        <f aca="false">COUNTIF(D106:M106,"Natif")+COUNTIF(D106:M106,"Officiel")</f>
        <v>5</v>
      </c>
    </row>
    <row r="107" customFormat="false" ht="15" hidden="false" customHeight="false" outlineLevel="0" collapsed="false">
      <c r="A107" s="38" t="s">
        <v>96</v>
      </c>
      <c r="B107" s="38" t="s">
        <v>101</v>
      </c>
      <c r="C107" s="105" t="s">
        <v>520</v>
      </c>
      <c r="D107" s="95" t="s">
        <v>18</v>
      </c>
      <c r="E107" s="89" t="s">
        <v>20</v>
      </c>
      <c r="F107" s="89" t="s">
        <v>20</v>
      </c>
      <c r="G107" s="107" t="s">
        <v>22</v>
      </c>
      <c r="H107" s="95" t="s">
        <v>18</v>
      </c>
      <c r="I107" s="107" t="s">
        <v>22</v>
      </c>
      <c r="J107" s="92" t="s">
        <v>16</v>
      </c>
      <c r="K107" s="95" t="s">
        <v>18</v>
      </c>
      <c r="L107" s="92" t="s">
        <v>16</v>
      </c>
      <c r="M107" s="107" t="s">
        <v>22</v>
      </c>
      <c r="N107" s="18" t="n">
        <f aca="false">COUNTIF(D107:M107,"Natif")</f>
        <v>2</v>
      </c>
      <c r="O107" s="18" t="n">
        <f aca="false">COUNTIF(D107:M107,"Natif")+COUNTIF(D107:M107,"Officiel")</f>
        <v>5</v>
      </c>
    </row>
    <row r="108" customFormat="false" ht="15" hidden="false" customHeight="false" outlineLevel="0" collapsed="false">
      <c r="A108" s="38" t="s">
        <v>96</v>
      </c>
      <c r="B108" s="38" t="s">
        <v>101</v>
      </c>
      <c r="C108" s="105" t="s">
        <v>522</v>
      </c>
      <c r="D108" s="95" t="s">
        <v>18</v>
      </c>
      <c r="E108" s="89" t="s">
        <v>20</v>
      </c>
      <c r="F108" s="89" t="s">
        <v>20</v>
      </c>
      <c r="G108" s="89" t="s">
        <v>20</v>
      </c>
      <c r="H108" s="95" t="s">
        <v>18</v>
      </c>
      <c r="I108" s="107" t="s">
        <v>22</v>
      </c>
      <c r="J108" s="92" t="s">
        <v>16</v>
      </c>
      <c r="K108" s="95" t="s">
        <v>18</v>
      </c>
      <c r="L108" s="92" t="s">
        <v>16</v>
      </c>
      <c r="M108" s="92" t="s">
        <v>16</v>
      </c>
      <c r="N108" s="18" t="n">
        <f aca="false">COUNTIF(D108:M108,"Natif")</f>
        <v>3</v>
      </c>
      <c r="O108" s="18" t="n">
        <f aca="false">COUNTIF(D108:M108,"Natif")+COUNTIF(D108:M108,"Officiel")</f>
        <v>6</v>
      </c>
    </row>
    <row r="109" customFormat="false" ht="15" hidden="false" customHeight="false" outlineLevel="0" collapsed="false">
      <c r="A109" s="38" t="s">
        <v>96</v>
      </c>
      <c r="B109" s="38" t="s">
        <v>101</v>
      </c>
      <c r="C109" s="105" t="s">
        <v>523</v>
      </c>
      <c r="D109" s="92" t="s">
        <v>16</v>
      </c>
      <c r="E109" s="89" t="s">
        <v>20</v>
      </c>
      <c r="F109" s="89" t="s">
        <v>20</v>
      </c>
      <c r="G109" s="89" t="s">
        <v>20</v>
      </c>
      <c r="H109" s="95" t="s">
        <v>18</v>
      </c>
      <c r="I109" s="95" t="s">
        <v>18</v>
      </c>
      <c r="J109" s="95" t="s">
        <v>18</v>
      </c>
      <c r="K109" s="107" t="s">
        <v>22</v>
      </c>
      <c r="L109" s="92" t="s">
        <v>16</v>
      </c>
      <c r="M109" s="106" t="s">
        <v>24</v>
      </c>
      <c r="N109" s="18" t="n">
        <f aca="false">COUNTIF(D109:M109,"Natif")</f>
        <v>2</v>
      </c>
      <c r="O109" s="18" t="n">
        <f aca="false">COUNTIF(D109:M109,"Natif")+COUNTIF(D109:M109,"Officiel")</f>
        <v>5</v>
      </c>
    </row>
    <row r="110" customFormat="false" ht="15" hidden="false" customHeight="false" outlineLevel="0" collapsed="false">
      <c r="A110" s="38" t="s">
        <v>96</v>
      </c>
      <c r="B110" s="38" t="s">
        <v>101</v>
      </c>
      <c r="C110" s="105" t="s">
        <v>525</v>
      </c>
      <c r="D110" s="89" t="s">
        <v>20</v>
      </c>
      <c r="E110" s="89" t="s">
        <v>20</v>
      </c>
      <c r="F110" s="89" t="s">
        <v>20</v>
      </c>
      <c r="G110" s="89" t="s">
        <v>20</v>
      </c>
      <c r="H110" s="95" t="s">
        <v>18</v>
      </c>
      <c r="I110" s="89" t="s">
        <v>20</v>
      </c>
      <c r="J110" s="89" t="s">
        <v>20</v>
      </c>
      <c r="K110" s="107" t="s">
        <v>22</v>
      </c>
      <c r="L110" s="92" t="s">
        <v>16</v>
      </c>
      <c r="M110" s="106" t="s">
        <v>24</v>
      </c>
      <c r="N110" s="18" t="n">
        <f aca="false">COUNTIF(D110:M110,"Natif")</f>
        <v>1</v>
      </c>
      <c r="O110" s="18" t="n">
        <f aca="false">COUNTIF(D110:M110,"Natif")+COUNTIF(D110:M110,"Officiel")</f>
        <v>2</v>
      </c>
    </row>
    <row r="111" customFormat="false" ht="15" hidden="false" customHeight="false" outlineLevel="0" collapsed="false">
      <c r="A111" s="38" t="s">
        <v>96</v>
      </c>
      <c r="B111" s="38" t="s">
        <v>101</v>
      </c>
      <c r="C111" s="105" t="s">
        <v>527</v>
      </c>
      <c r="D111" s="107" t="s">
        <v>22</v>
      </c>
      <c r="E111" s="107" t="s">
        <v>22</v>
      </c>
      <c r="F111" s="89" t="s">
        <v>20</v>
      </c>
      <c r="G111" s="89" t="s">
        <v>20</v>
      </c>
      <c r="H111" s="95" t="s">
        <v>18</v>
      </c>
      <c r="I111" s="107" t="s">
        <v>22</v>
      </c>
      <c r="J111" s="92" t="s">
        <v>16</v>
      </c>
      <c r="K111" s="107" t="s">
        <v>22</v>
      </c>
      <c r="L111" s="107" t="s">
        <v>22</v>
      </c>
      <c r="M111" s="106" t="s">
        <v>24</v>
      </c>
      <c r="N111" s="18" t="n">
        <f aca="false">COUNTIF(D111:M111,"Natif")</f>
        <v>1</v>
      </c>
      <c r="O111" s="18" t="n">
        <f aca="false">COUNTIF(D111:M111,"Natif")+COUNTIF(D111:M111,"Officiel")</f>
        <v>2</v>
      </c>
    </row>
    <row r="112" customFormat="false" ht="15" hidden="false" customHeight="false" outlineLevel="0" collapsed="false">
      <c r="A112" s="38" t="s">
        <v>96</v>
      </c>
      <c r="B112" s="38" t="s">
        <v>101</v>
      </c>
      <c r="C112" s="105" t="s">
        <v>529</v>
      </c>
      <c r="D112" s="89" t="s">
        <v>20</v>
      </c>
      <c r="E112" s="89" t="s">
        <v>20</v>
      </c>
      <c r="F112" s="89" t="s">
        <v>20</v>
      </c>
      <c r="G112" s="89" t="s">
        <v>20</v>
      </c>
      <c r="H112" s="95" t="s">
        <v>18</v>
      </c>
      <c r="I112" s="89" t="s">
        <v>20</v>
      </c>
      <c r="J112" s="95" t="s">
        <v>18</v>
      </c>
      <c r="K112" s="107" t="s">
        <v>22</v>
      </c>
      <c r="L112" s="107" t="s">
        <v>22</v>
      </c>
      <c r="M112" s="106" t="s">
        <v>24</v>
      </c>
      <c r="N112" s="18" t="n">
        <f aca="false">COUNTIF(D112:M112,"Natif")</f>
        <v>0</v>
      </c>
      <c r="O112" s="18" t="n">
        <f aca="false">COUNTIF(D112:M112,"Natif")+COUNTIF(D112:M112,"Officiel")</f>
        <v>2</v>
      </c>
    </row>
    <row r="113" customFormat="false" ht="15" hidden="false" customHeight="false" outlineLevel="0" collapsed="false">
      <c r="A113" s="38" t="s">
        <v>96</v>
      </c>
      <c r="B113" s="38" t="s">
        <v>101</v>
      </c>
      <c r="C113" s="105" t="s">
        <v>531</v>
      </c>
      <c r="D113" s="89" t="s">
        <v>20</v>
      </c>
      <c r="E113" s="107" t="s">
        <v>22</v>
      </c>
      <c r="F113" s="89" t="s">
        <v>20</v>
      </c>
      <c r="G113" s="89" t="s">
        <v>20</v>
      </c>
      <c r="H113" s="89" t="s">
        <v>20</v>
      </c>
      <c r="I113" s="107" t="s">
        <v>22</v>
      </c>
      <c r="J113" s="95" t="s">
        <v>18</v>
      </c>
      <c r="K113" s="106" t="s">
        <v>24</v>
      </c>
      <c r="L113" s="92" t="s">
        <v>16</v>
      </c>
      <c r="M113" s="106" t="s">
        <v>24</v>
      </c>
      <c r="N113" s="18" t="n">
        <f aca="false">COUNTIF(D113:M113,"Natif")</f>
        <v>1</v>
      </c>
      <c r="O113" s="18" t="n">
        <f aca="false">COUNTIF(D113:M113,"Natif")+COUNTIF(D113:M113,"Officiel")</f>
        <v>2</v>
      </c>
    </row>
    <row r="114" customFormat="false" ht="15" hidden="false" customHeight="false" outlineLevel="0" collapsed="false">
      <c r="A114" s="38" t="s">
        <v>96</v>
      </c>
      <c r="B114" s="38" t="s">
        <v>102</v>
      </c>
      <c r="C114" s="105" t="s">
        <v>536</v>
      </c>
      <c r="D114" s="92" t="s">
        <v>16</v>
      </c>
      <c r="E114" s="92" t="s">
        <v>16</v>
      </c>
      <c r="F114" s="95" t="s">
        <v>18</v>
      </c>
      <c r="G114" s="92" t="s">
        <v>16</v>
      </c>
      <c r="H114" s="95" t="s">
        <v>18</v>
      </c>
      <c r="I114" s="107" t="s">
        <v>22</v>
      </c>
      <c r="J114" s="95" t="s">
        <v>18</v>
      </c>
      <c r="K114" s="92" t="s">
        <v>16</v>
      </c>
      <c r="L114" s="92" t="s">
        <v>16</v>
      </c>
      <c r="M114" s="106" t="s">
        <v>24</v>
      </c>
      <c r="N114" s="18" t="n">
        <f aca="false">COUNTIF(D114:M114,"Natif")</f>
        <v>5</v>
      </c>
      <c r="O114" s="18" t="n">
        <f aca="false">COUNTIF(D114:M114,"Natif")+COUNTIF(D114:M114,"Officiel")</f>
        <v>8</v>
      </c>
    </row>
    <row r="115" customFormat="false" ht="15" hidden="false" customHeight="false" outlineLevel="0" collapsed="false">
      <c r="A115" s="38" t="s">
        <v>96</v>
      </c>
      <c r="B115" s="38" t="s">
        <v>102</v>
      </c>
      <c r="C115" s="105" t="s">
        <v>538</v>
      </c>
      <c r="D115" s="95" t="s">
        <v>18</v>
      </c>
      <c r="E115" s="89" t="s">
        <v>20</v>
      </c>
      <c r="F115" s="92" t="s">
        <v>16</v>
      </c>
      <c r="G115" s="95" t="s">
        <v>18</v>
      </c>
      <c r="H115" s="95" t="s">
        <v>18</v>
      </c>
      <c r="I115" s="106" t="s">
        <v>24</v>
      </c>
      <c r="J115" s="106" t="s">
        <v>24</v>
      </c>
      <c r="K115" s="92" t="s">
        <v>16</v>
      </c>
      <c r="L115" s="106" t="s">
        <v>24</v>
      </c>
      <c r="M115" s="106" t="s">
        <v>24</v>
      </c>
      <c r="N115" s="18" t="n">
        <f aca="false">COUNTIF(D115:M115,"Natif")</f>
        <v>2</v>
      </c>
      <c r="O115" s="18" t="n">
        <f aca="false">COUNTIF(D115:M115,"Natif")+COUNTIF(D115:M115,"Officiel")</f>
        <v>5</v>
      </c>
    </row>
    <row r="116" customFormat="false" ht="15" hidden="false" customHeight="false" outlineLevel="0" collapsed="false">
      <c r="A116" s="38" t="s">
        <v>96</v>
      </c>
      <c r="B116" s="38" t="s">
        <v>102</v>
      </c>
      <c r="C116" s="105" t="s">
        <v>540</v>
      </c>
      <c r="D116" s="92" t="s">
        <v>16</v>
      </c>
      <c r="E116" s="92" t="s">
        <v>16</v>
      </c>
      <c r="F116" s="92" t="s">
        <v>16</v>
      </c>
      <c r="G116" s="92" t="s">
        <v>16</v>
      </c>
      <c r="H116" s="107" t="s">
        <v>22</v>
      </c>
      <c r="I116" s="107" t="s">
        <v>22</v>
      </c>
      <c r="J116" s="95" t="s">
        <v>18</v>
      </c>
      <c r="K116" s="92" t="s">
        <v>16</v>
      </c>
      <c r="L116" s="92" t="s">
        <v>16</v>
      </c>
      <c r="M116" s="106" t="s">
        <v>24</v>
      </c>
      <c r="N116" s="18" t="n">
        <f aca="false">COUNTIF(D116:M116,"Natif")</f>
        <v>6</v>
      </c>
      <c r="O116" s="18" t="n">
        <f aca="false">COUNTIF(D116:M116,"Natif")+COUNTIF(D116:M116,"Officiel")</f>
        <v>7</v>
      </c>
    </row>
    <row r="117" customFormat="false" ht="15" hidden="false" customHeight="false" outlineLevel="0" collapsed="false">
      <c r="A117" s="38" t="s">
        <v>96</v>
      </c>
      <c r="B117" s="38" t="s">
        <v>102</v>
      </c>
      <c r="C117" s="105" t="s">
        <v>542</v>
      </c>
      <c r="D117" s="92" t="s">
        <v>16</v>
      </c>
      <c r="E117" s="92" t="s">
        <v>16</v>
      </c>
      <c r="F117" s="92" t="s">
        <v>16</v>
      </c>
      <c r="G117" s="107" t="s">
        <v>22</v>
      </c>
      <c r="H117" s="95" t="s">
        <v>18</v>
      </c>
      <c r="I117" s="107" t="s">
        <v>22</v>
      </c>
      <c r="J117" s="95" t="s">
        <v>18</v>
      </c>
      <c r="K117" s="92" t="s">
        <v>16</v>
      </c>
      <c r="L117" s="92" t="s">
        <v>16</v>
      </c>
      <c r="M117" s="106" t="s">
        <v>24</v>
      </c>
      <c r="N117" s="18" t="n">
        <f aca="false">COUNTIF(D117:M117,"Natif")</f>
        <v>5</v>
      </c>
      <c r="O117" s="18" t="n">
        <f aca="false">COUNTIF(D117:M117,"Natif")+COUNTIF(D117:M117,"Officiel")</f>
        <v>7</v>
      </c>
    </row>
    <row r="118" customFormat="false" ht="15" hidden="false" customHeight="false" outlineLevel="0" collapsed="false">
      <c r="A118" s="38" t="s">
        <v>96</v>
      </c>
      <c r="B118" s="38" t="s">
        <v>102</v>
      </c>
      <c r="C118" s="105" t="s">
        <v>544</v>
      </c>
      <c r="D118" s="92" t="s">
        <v>16</v>
      </c>
      <c r="E118" s="92" t="s">
        <v>16</v>
      </c>
      <c r="F118" s="92" t="s">
        <v>16</v>
      </c>
      <c r="G118" s="107" t="s">
        <v>22</v>
      </c>
      <c r="H118" s="95" t="s">
        <v>18</v>
      </c>
      <c r="I118" s="107" t="s">
        <v>22</v>
      </c>
      <c r="J118" s="95" t="s">
        <v>18</v>
      </c>
      <c r="K118" s="92" t="s">
        <v>16</v>
      </c>
      <c r="L118" s="92" t="s">
        <v>16</v>
      </c>
      <c r="M118" s="106" t="s">
        <v>24</v>
      </c>
      <c r="N118" s="18" t="n">
        <f aca="false">COUNTIF(D118:M118,"Natif")</f>
        <v>5</v>
      </c>
      <c r="O118" s="18" t="n">
        <f aca="false">COUNTIF(D118:M118,"Natif")+COUNTIF(D118:M118,"Officiel")</f>
        <v>7</v>
      </c>
    </row>
    <row r="119" customFormat="false" ht="15" hidden="false" customHeight="false" outlineLevel="0" collapsed="false">
      <c r="A119" s="38" t="s">
        <v>96</v>
      </c>
      <c r="B119" s="38" t="s">
        <v>102</v>
      </c>
      <c r="C119" s="105" t="s">
        <v>546</v>
      </c>
      <c r="D119" s="107" t="s">
        <v>22</v>
      </c>
      <c r="E119" s="95" t="s">
        <v>18</v>
      </c>
      <c r="F119" s="106" t="s">
        <v>24</v>
      </c>
      <c r="G119" s="106" t="s">
        <v>24</v>
      </c>
      <c r="H119" s="106" t="s">
        <v>24</v>
      </c>
      <c r="I119" s="106" t="s">
        <v>24</v>
      </c>
      <c r="J119" s="106" t="s">
        <v>24</v>
      </c>
      <c r="K119" s="95" t="s">
        <v>18</v>
      </c>
      <c r="L119" s="106" t="s">
        <v>24</v>
      </c>
      <c r="M119" s="106" t="s">
        <v>24</v>
      </c>
      <c r="N119" s="18" t="n">
        <f aca="false">COUNTIF(D119:M119,"Natif")</f>
        <v>0</v>
      </c>
      <c r="O119" s="18" t="n">
        <f aca="false">COUNTIF(D119:M119,"Natif")+COUNTIF(D119:M119,"Officiel")</f>
        <v>2</v>
      </c>
    </row>
    <row r="120" customFormat="false" ht="15" hidden="false" customHeight="false" outlineLevel="0" collapsed="false">
      <c r="A120" s="38" t="s">
        <v>96</v>
      </c>
      <c r="B120" s="38" t="s">
        <v>102</v>
      </c>
      <c r="C120" s="105" t="s">
        <v>548</v>
      </c>
      <c r="D120" s="89" t="s">
        <v>20</v>
      </c>
      <c r="E120" s="89" t="s">
        <v>20</v>
      </c>
      <c r="F120" s="95" t="s">
        <v>18</v>
      </c>
      <c r="G120" s="89" t="s">
        <v>20</v>
      </c>
      <c r="H120" s="89" t="s">
        <v>20</v>
      </c>
      <c r="I120" s="106" t="s">
        <v>24</v>
      </c>
      <c r="J120" s="95" t="s">
        <v>18</v>
      </c>
      <c r="K120" s="107" t="s">
        <v>22</v>
      </c>
      <c r="L120" s="92" t="s">
        <v>16</v>
      </c>
      <c r="M120" s="106" t="s">
        <v>24</v>
      </c>
      <c r="N120" s="18" t="n">
        <f aca="false">COUNTIF(D120:M120,"Natif")</f>
        <v>1</v>
      </c>
      <c r="O120" s="18" t="n">
        <f aca="false">COUNTIF(D120:M120,"Natif")+COUNTIF(D120:M120,"Officiel")</f>
        <v>3</v>
      </c>
    </row>
    <row r="121" customFormat="false" ht="15" hidden="false" customHeight="false" outlineLevel="0" collapsed="false">
      <c r="A121" s="38" t="s">
        <v>96</v>
      </c>
      <c r="B121" s="38" t="s">
        <v>102</v>
      </c>
      <c r="C121" s="105" t="s">
        <v>549</v>
      </c>
      <c r="D121" s="107" t="s">
        <v>22</v>
      </c>
      <c r="E121" s="95" t="s">
        <v>18</v>
      </c>
      <c r="F121" s="92" t="s">
        <v>16</v>
      </c>
      <c r="G121" s="107" t="s">
        <v>22</v>
      </c>
      <c r="H121" s="95" t="s">
        <v>18</v>
      </c>
      <c r="I121" s="106" t="s">
        <v>24</v>
      </c>
      <c r="J121" s="107" t="s">
        <v>22</v>
      </c>
      <c r="K121" s="92" t="s">
        <v>16</v>
      </c>
      <c r="L121" s="107" t="s">
        <v>22</v>
      </c>
      <c r="M121" s="106" t="s">
        <v>24</v>
      </c>
      <c r="N121" s="18" t="n">
        <f aca="false">COUNTIF(D121:M121,"Natif")</f>
        <v>2</v>
      </c>
      <c r="O121" s="18" t="n">
        <f aca="false">COUNTIF(D121:M121,"Natif")+COUNTIF(D121:M121,"Officiel")</f>
        <v>4</v>
      </c>
    </row>
    <row r="122" customFormat="false" ht="15" hidden="false" customHeight="false" outlineLevel="0" collapsed="false">
      <c r="A122" s="38" t="s">
        <v>96</v>
      </c>
      <c r="B122" s="38" t="s">
        <v>103</v>
      </c>
      <c r="C122" s="105" t="s">
        <v>566</v>
      </c>
      <c r="D122" s="106" t="s">
        <v>24</v>
      </c>
      <c r="E122" s="106" t="s">
        <v>24</v>
      </c>
      <c r="F122" s="106" t="s">
        <v>24</v>
      </c>
      <c r="G122" s="106" t="s">
        <v>24</v>
      </c>
      <c r="H122" s="106" t="s">
        <v>24</v>
      </c>
      <c r="I122" s="106" t="s">
        <v>24</v>
      </c>
      <c r="J122" s="106" t="s">
        <v>24</v>
      </c>
      <c r="K122" s="106" t="s">
        <v>24</v>
      </c>
      <c r="L122" s="106" t="s">
        <v>24</v>
      </c>
      <c r="M122" s="106" t="s">
        <v>24</v>
      </c>
      <c r="N122" s="18" t="n">
        <f aca="false">COUNTIF(D122:M122,"Natif")</f>
        <v>0</v>
      </c>
      <c r="O122" s="18" t="n">
        <f aca="false">COUNTIF(D122:M122,"Natif")+COUNTIF(D122:M122,"Officiel")</f>
        <v>0</v>
      </c>
    </row>
    <row r="123" customFormat="false" ht="15" hidden="false" customHeight="false" outlineLevel="0" collapsed="false">
      <c r="A123" s="38" t="s">
        <v>96</v>
      </c>
      <c r="B123" s="38" t="s">
        <v>103</v>
      </c>
      <c r="C123" s="105" t="s">
        <v>567</v>
      </c>
      <c r="D123" s="95" t="s">
        <v>18</v>
      </c>
      <c r="E123" s="89" t="s">
        <v>20</v>
      </c>
      <c r="F123" s="95" t="s">
        <v>18</v>
      </c>
      <c r="G123" s="106" t="s">
        <v>24</v>
      </c>
      <c r="H123" s="106" t="s">
        <v>24</v>
      </c>
      <c r="I123" s="95" t="s">
        <v>18</v>
      </c>
      <c r="J123" s="95" t="s">
        <v>18</v>
      </c>
      <c r="K123" s="95" t="s">
        <v>18</v>
      </c>
      <c r="L123" s="106" t="s">
        <v>24</v>
      </c>
      <c r="M123" s="106" t="s">
        <v>24</v>
      </c>
      <c r="N123" s="18" t="n">
        <f aca="false">COUNTIF(D123:M123,"Natif")</f>
        <v>0</v>
      </c>
      <c r="O123" s="18" t="n">
        <f aca="false">COUNTIF(D123:M123,"Natif")+COUNTIF(D123:M123,"Officiel")</f>
        <v>5</v>
      </c>
    </row>
    <row r="124" customFormat="false" ht="15" hidden="false" customHeight="false" outlineLevel="0" collapsed="false">
      <c r="A124" s="38" t="s">
        <v>96</v>
      </c>
      <c r="B124" s="38" t="s">
        <v>103</v>
      </c>
      <c r="C124" s="105" t="s">
        <v>569</v>
      </c>
      <c r="D124" s="95" t="s">
        <v>18</v>
      </c>
      <c r="E124" s="89" t="s">
        <v>20</v>
      </c>
      <c r="F124" s="95" t="s">
        <v>18</v>
      </c>
      <c r="G124" s="89" t="s">
        <v>20</v>
      </c>
      <c r="H124" s="89" t="s">
        <v>20</v>
      </c>
      <c r="I124" s="95" t="s">
        <v>18</v>
      </c>
      <c r="J124" s="95" t="s">
        <v>18</v>
      </c>
      <c r="K124" s="95" t="s">
        <v>18</v>
      </c>
      <c r="L124" s="95" t="s">
        <v>18</v>
      </c>
      <c r="M124" s="106" t="s">
        <v>24</v>
      </c>
      <c r="N124" s="18" t="n">
        <f aca="false">COUNTIF(D124:M124,"Natif")</f>
        <v>0</v>
      </c>
      <c r="O124" s="18" t="n">
        <f aca="false">COUNTIF(D124:M124,"Natif")+COUNTIF(D124:M124,"Officiel")</f>
        <v>6</v>
      </c>
    </row>
    <row r="125" customFormat="false" ht="15" hidden="false" customHeight="false" outlineLevel="0" collapsed="false">
      <c r="A125" s="38" t="s">
        <v>96</v>
      </c>
      <c r="B125" s="38" t="s">
        <v>103</v>
      </c>
      <c r="C125" s="105" t="s">
        <v>571</v>
      </c>
      <c r="D125" s="95" t="s">
        <v>18</v>
      </c>
      <c r="E125" s="89" t="s">
        <v>20</v>
      </c>
      <c r="F125" s="95" t="s">
        <v>18</v>
      </c>
      <c r="G125" s="89" t="s">
        <v>20</v>
      </c>
      <c r="H125" s="89" t="s">
        <v>20</v>
      </c>
      <c r="I125" s="107" t="s">
        <v>22</v>
      </c>
      <c r="J125" s="107" t="s">
        <v>22</v>
      </c>
      <c r="K125" s="107" t="s">
        <v>22</v>
      </c>
      <c r="L125" s="107" t="s">
        <v>22</v>
      </c>
      <c r="M125" s="106" t="s">
        <v>24</v>
      </c>
      <c r="N125" s="18" t="n">
        <f aca="false">COUNTIF(D125:M125,"Natif")</f>
        <v>0</v>
      </c>
      <c r="O125" s="18" t="n">
        <f aca="false">COUNTIF(D125:M125,"Natif")+COUNTIF(D125:M125,"Officiel")</f>
        <v>2</v>
      </c>
    </row>
    <row r="126" customFormat="false" ht="15" hidden="false" customHeight="false" outlineLevel="0" collapsed="false">
      <c r="A126" s="38" t="s">
        <v>96</v>
      </c>
      <c r="B126" s="38" t="s">
        <v>103</v>
      </c>
      <c r="C126" s="105" t="s">
        <v>572</v>
      </c>
      <c r="D126" s="95" t="s">
        <v>18</v>
      </c>
      <c r="E126" s="89" t="s">
        <v>20</v>
      </c>
      <c r="F126" s="95" t="s">
        <v>18</v>
      </c>
      <c r="G126" s="89" t="s">
        <v>20</v>
      </c>
      <c r="H126" s="89" t="s">
        <v>20</v>
      </c>
      <c r="I126" s="95" t="s">
        <v>18</v>
      </c>
      <c r="J126" s="95" t="s">
        <v>18</v>
      </c>
      <c r="K126" s="106" t="s">
        <v>24</v>
      </c>
      <c r="L126" s="101" t="s">
        <v>26</v>
      </c>
      <c r="M126" s="106" t="s">
        <v>24</v>
      </c>
      <c r="N126" s="18" t="n">
        <f aca="false">COUNTIF(D126:M126,"Natif")</f>
        <v>0</v>
      </c>
      <c r="O126" s="18" t="n">
        <f aca="false">COUNTIF(D126:M126,"Natif")+COUNTIF(D126:M126,"Officiel")</f>
        <v>4</v>
      </c>
    </row>
    <row r="127" customFormat="false" ht="15" hidden="false" customHeight="false" outlineLevel="0" collapsed="false">
      <c r="A127" s="38" t="s">
        <v>96</v>
      </c>
      <c r="B127" s="38" t="s">
        <v>104</v>
      </c>
      <c r="C127" s="105" t="s">
        <v>573</v>
      </c>
      <c r="D127" s="92" t="s">
        <v>16</v>
      </c>
      <c r="E127" s="92" t="s">
        <v>16</v>
      </c>
      <c r="F127" s="92" t="s">
        <v>16</v>
      </c>
      <c r="G127" s="107" t="s">
        <v>22</v>
      </c>
      <c r="H127" s="101" t="s">
        <v>26</v>
      </c>
      <c r="I127" s="101" t="s">
        <v>26</v>
      </c>
      <c r="J127" s="107" t="s">
        <v>22</v>
      </c>
      <c r="K127" s="107" t="s">
        <v>22</v>
      </c>
      <c r="L127" s="101" t="s">
        <v>26</v>
      </c>
      <c r="M127" s="101" t="s">
        <v>26</v>
      </c>
      <c r="N127" s="18" t="n">
        <f aca="false">COUNTIF(D127:M127,"Natif")</f>
        <v>3</v>
      </c>
      <c r="O127" s="18" t="n">
        <f aca="false">COUNTIF(D127:M127,"Natif")+COUNTIF(D127:M127,"Officiel")</f>
        <v>3</v>
      </c>
    </row>
    <row r="128" customFormat="false" ht="15" hidden="false" customHeight="false" outlineLevel="0" collapsed="false">
      <c r="A128" s="38" t="s">
        <v>96</v>
      </c>
      <c r="B128" s="38" t="s">
        <v>104</v>
      </c>
      <c r="C128" s="105" t="s">
        <v>575</v>
      </c>
      <c r="D128" s="89" t="s">
        <v>20</v>
      </c>
      <c r="E128" s="89" t="s">
        <v>20</v>
      </c>
      <c r="F128" s="89" t="s">
        <v>20</v>
      </c>
      <c r="G128" s="89" t="s">
        <v>20</v>
      </c>
      <c r="H128" s="89" t="s">
        <v>20</v>
      </c>
      <c r="I128" s="106" t="s">
        <v>24</v>
      </c>
      <c r="J128" s="106" t="s">
        <v>24</v>
      </c>
      <c r="K128" s="106" t="s">
        <v>24</v>
      </c>
      <c r="L128" s="107" t="s">
        <v>22</v>
      </c>
      <c r="M128" s="106" t="s">
        <v>24</v>
      </c>
      <c r="N128" s="18" t="n">
        <f aca="false">COUNTIF(D128:M128,"Natif")</f>
        <v>0</v>
      </c>
      <c r="O128" s="18" t="n">
        <f aca="false">COUNTIF(D128:M128,"Natif")+COUNTIF(D128:M128,"Officiel")</f>
        <v>0</v>
      </c>
    </row>
    <row r="129" customFormat="false" ht="15" hidden="false" customHeight="false" outlineLevel="0" collapsed="false">
      <c r="A129" s="38" t="s">
        <v>96</v>
      </c>
      <c r="B129" s="38" t="s">
        <v>104</v>
      </c>
      <c r="C129" s="105" t="s">
        <v>577</v>
      </c>
      <c r="D129" s="92" t="s">
        <v>16</v>
      </c>
      <c r="E129" s="92" t="s">
        <v>16</v>
      </c>
      <c r="F129" s="106" t="s">
        <v>24</v>
      </c>
      <c r="G129" s="107" t="s">
        <v>22</v>
      </c>
      <c r="H129" s="106" t="s">
        <v>24</v>
      </c>
      <c r="I129" s="101" t="s">
        <v>26</v>
      </c>
      <c r="J129" s="101" t="s">
        <v>26</v>
      </c>
      <c r="K129" s="106" t="s">
        <v>24</v>
      </c>
      <c r="L129" s="101" t="s">
        <v>26</v>
      </c>
      <c r="M129" s="101" t="s">
        <v>26</v>
      </c>
      <c r="N129" s="18" t="n">
        <f aca="false">COUNTIF(D129:M129,"Natif")</f>
        <v>2</v>
      </c>
      <c r="O129" s="18" t="n">
        <f aca="false">COUNTIF(D129:M129,"Natif")+COUNTIF(D129:M129,"Officiel")</f>
        <v>2</v>
      </c>
    </row>
    <row r="130" customFormat="false" ht="15" hidden="false" customHeight="false" outlineLevel="0" collapsed="false">
      <c r="A130" s="38" t="s">
        <v>96</v>
      </c>
      <c r="B130" s="38" t="s">
        <v>104</v>
      </c>
      <c r="C130" s="105" t="s">
        <v>579</v>
      </c>
      <c r="D130" s="107" t="s">
        <v>22</v>
      </c>
      <c r="E130" s="92" t="s">
        <v>16</v>
      </c>
      <c r="F130" s="92" t="s">
        <v>16</v>
      </c>
      <c r="G130" s="107" t="s">
        <v>22</v>
      </c>
      <c r="H130" s="107" t="s">
        <v>22</v>
      </c>
      <c r="I130" s="106" t="s">
        <v>24</v>
      </c>
      <c r="J130" s="107" t="s">
        <v>22</v>
      </c>
      <c r="K130" s="107" t="s">
        <v>22</v>
      </c>
      <c r="L130" s="107" t="s">
        <v>22</v>
      </c>
      <c r="M130" s="106" t="s">
        <v>24</v>
      </c>
      <c r="N130" s="18" t="n">
        <f aca="false">COUNTIF(D130:M130,"Natif")</f>
        <v>2</v>
      </c>
      <c r="O130" s="18" t="n">
        <f aca="false">COUNTIF(D130:M130,"Natif")+COUNTIF(D130:M130,"Officiel")</f>
        <v>2</v>
      </c>
    </row>
    <row r="131" customFormat="false" ht="15" hidden="false" customHeight="false" outlineLevel="0" collapsed="false">
      <c r="A131" s="38" t="s">
        <v>105</v>
      </c>
      <c r="B131" s="38" t="s">
        <v>106</v>
      </c>
      <c r="C131" s="105" t="s">
        <v>581</v>
      </c>
      <c r="D131" s="92" t="s">
        <v>16</v>
      </c>
      <c r="E131" s="92" t="s">
        <v>16</v>
      </c>
      <c r="F131" s="92" t="s">
        <v>16</v>
      </c>
      <c r="G131" s="107" t="s">
        <v>22</v>
      </c>
      <c r="H131" s="95" t="s">
        <v>18</v>
      </c>
      <c r="I131" s="92" t="s">
        <v>16</v>
      </c>
      <c r="J131" s="106" t="s">
        <v>24</v>
      </c>
      <c r="K131" s="92" t="s">
        <v>16</v>
      </c>
      <c r="L131" s="92" t="s">
        <v>16</v>
      </c>
      <c r="M131" s="92" t="s">
        <v>16</v>
      </c>
      <c r="N131" s="18" t="n">
        <f aca="false">COUNTIF(D131:M131,"Natif")</f>
        <v>7</v>
      </c>
      <c r="O131" s="18" t="n">
        <f aca="false">COUNTIF(D131:M131,"Natif")+COUNTIF(D131:M131,"Officiel")</f>
        <v>8</v>
      </c>
    </row>
    <row r="132" customFormat="false" ht="15" hidden="false" customHeight="false" outlineLevel="0" collapsed="false">
      <c r="A132" s="38" t="s">
        <v>105</v>
      </c>
      <c r="B132" s="38" t="s">
        <v>106</v>
      </c>
      <c r="C132" s="105" t="s">
        <v>583</v>
      </c>
      <c r="D132" s="90" t="s">
        <v>28</v>
      </c>
      <c r="E132" s="90" t="s">
        <v>28</v>
      </c>
      <c r="F132" s="90" t="s">
        <v>28</v>
      </c>
      <c r="G132" s="90" t="s">
        <v>28</v>
      </c>
      <c r="H132" s="90" t="s">
        <v>28</v>
      </c>
      <c r="I132" s="90" t="s">
        <v>28</v>
      </c>
      <c r="J132" s="90" t="s">
        <v>28</v>
      </c>
      <c r="K132" s="90" t="s">
        <v>28</v>
      </c>
      <c r="L132" s="90" t="s">
        <v>28</v>
      </c>
      <c r="M132" s="90" t="s">
        <v>28</v>
      </c>
      <c r="N132" s="18" t="n">
        <f aca="false">COUNTIF(D132:M132,"Natif")</f>
        <v>0</v>
      </c>
      <c r="O132" s="18" t="n">
        <f aca="false">COUNTIF(D132:M132,"Natif")+COUNTIF(D132:M132,"Officiel")</f>
        <v>0</v>
      </c>
    </row>
    <row r="133" customFormat="false" ht="15" hidden="false" customHeight="false" outlineLevel="0" collapsed="false">
      <c r="A133" s="38" t="s">
        <v>105</v>
      </c>
      <c r="B133" s="38" t="s">
        <v>106</v>
      </c>
      <c r="C133" s="105" t="s">
        <v>585</v>
      </c>
      <c r="D133" s="106" t="s">
        <v>24</v>
      </c>
      <c r="E133" s="106" t="s">
        <v>24</v>
      </c>
      <c r="F133" s="106" t="s">
        <v>24</v>
      </c>
      <c r="G133" s="92" t="s">
        <v>16</v>
      </c>
      <c r="H133" s="92" t="s">
        <v>16</v>
      </c>
      <c r="I133" s="107" t="s">
        <v>22</v>
      </c>
      <c r="J133" s="92" t="s">
        <v>16</v>
      </c>
      <c r="K133" s="106" t="s">
        <v>24</v>
      </c>
      <c r="L133" s="106" t="s">
        <v>24</v>
      </c>
      <c r="M133" s="106" t="s">
        <v>24</v>
      </c>
      <c r="N133" s="18" t="n">
        <f aca="false">COUNTIF(D133:M133,"Natif")</f>
        <v>3</v>
      </c>
      <c r="O133" s="18" t="n">
        <f aca="false">COUNTIF(D133:M133,"Natif")+COUNTIF(D133:M133,"Officiel")</f>
        <v>3</v>
      </c>
    </row>
    <row r="134" customFormat="false" ht="15" hidden="false" customHeight="false" outlineLevel="0" collapsed="false">
      <c r="A134" s="38" t="s">
        <v>105</v>
      </c>
      <c r="B134" s="38" t="s">
        <v>106</v>
      </c>
      <c r="C134" s="105" t="s">
        <v>587</v>
      </c>
      <c r="D134" s="107" t="s">
        <v>22</v>
      </c>
      <c r="E134" s="107" t="s">
        <v>22</v>
      </c>
      <c r="F134" s="107" t="s">
        <v>22</v>
      </c>
      <c r="G134" s="95" t="s">
        <v>18</v>
      </c>
      <c r="H134" s="95" t="s">
        <v>18</v>
      </c>
      <c r="I134" s="92" t="s">
        <v>16</v>
      </c>
      <c r="J134" s="107" t="s">
        <v>22</v>
      </c>
      <c r="K134" s="106" t="s">
        <v>24</v>
      </c>
      <c r="L134" s="107" t="s">
        <v>22</v>
      </c>
      <c r="M134" s="106" t="s">
        <v>24</v>
      </c>
      <c r="N134" s="18" t="n">
        <f aca="false">COUNTIF(D134:M134,"Natif")</f>
        <v>1</v>
      </c>
      <c r="O134" s="18" t="n">
        <f aca="false">COUNTIF(D134:M134,"Natif")+COUNTIF(D134:M134,"Officiel")</f>
        <v>3</v>
      </c>
    </row>
    <row r="135" customFormat="false" ht="15" hidden="false" customHeight="false" outlineLevel="0" collapsed="false">
      <c r="A135" s="38" t="s">
        <v>105</v>
      </c>
      <c r="B135" s="38" t="s">
        <v>106</v>
      </c>
      <c r="C135" s="105" t="s">
        <v>588</v>
      </c>
      <c r="D135" s="107" t="s">
        <v>22</v>
      </c>
      <c r="E135" s="107" t="s">
        <v>22</v>
      </c>
      <c r="F135" s="106" t="s">
        <v>24</v>
      </c>
      <c r="G135" s="92" t="s">
        <v>16</v>
      </c>
      <c r="H135" s="92" t="s">
        <v>16</v>
      </c>
      <c r="I135" s="107" t="s">
        <v>22</v>
      </c>
      <c r="J135" s="92" t="s">
        <v>16</v>
      </c>
      <c r="K135" s="107" t="s">
        <v>22</v>
      </c>
      <c r="L135" s="106" t="s">
        <v>24</v>
      </c>
      <c r="M135" s="106" t="s">
        <v>24</v>
      </c>
      <c r="N135" s="18" t="n">
        <f aca="false">COUNTIF(D135:M135,"Natif")</f>
        <v>3</v>
      </c>
      <c r="O135" s="18" t="n">
        <f aca="false">COUNTIF(D135:M135,"Natif")+COUNTIF(D135:M135,"Officiel")</f>
        <v>3</v>
      </c>
    </row>
    <row r="136" customFormat="false" ht="15" hidden="false" customHeight="false" outlineLevel="0" collapsed="false">
      <c r="A136" s="38" t="s">
        <v>105</v>
      </c>
      <c r="B136" s="38" t="s">
        <v>107</v>
      </c>
      <c r="C136" s="105" t="s">
        <v>591</v>
      </c>
      <c r="D136" s="92" t="s">
        <v>16</v>
      </c>
      <c r="E136" s="92" t="s">
        <v>16</v>
      </c>
      <c r="F136" s="92" t="s">
        <v>16</v>
      </c>
      <c r="G136" s="92" t="s">
        <v>16</v>
      </c>
      <c r="H136" s="92" t="s">
        <v>16</v>
      </c>
      <c r="I136" s="92" t="s">
        <v>16</v>
      </c>
      <c r="J136" s="92" t="s">
        <v>16</v>
      </c>
      <c r="K136" s="92" t="s">
        <v>16</v>
      </c>
      <c r="L136" s="107" t="s">
        <v>22</v>
      </c>
      <c r="M136" s="107" t="s">
        <v>22</v>
      </c>
      <c r="N136" s="18" t="n">
        <f aca="false">COUNTIF(D136:M136,"Natif")</f>
        <v>8</v>
      </c>
      <c r="O136" s="18" t="n">
        <f aca="false">COUNTIF(D136:M136,"Natif")+COUNTIF(D136:M136,"Officiel")</f>
        <v>8</v>
      </c>
    </row>
    <row r="137" customFormat="false" ht="15" hidden="false" customHeight="false" outlineLevel="0" collapsed="false">
      <c r="A137" s="38" t="s">
        <v>105</v>
      </c>
      <c r="B137" s="38" t="s">
        <v>107</v>
      </c>
      <c r="C137" s="105" t="s">
        <v>593</v>
      </c>
      <c r="D137" s="107" t="s">
        <v>22</v>
      </c>
      <c r="E137" s="92" t="s">
        <v>16</v>
      </c>
      <c r="F137" s="92" t="s">
        <v>16</v>
      </c>
      <c r="G137" s="92" t="s">
        <v>16</v>
      </c>
      <c r="H137" s="92" t="s">
        <v>16</v>
      </c>
      <c r="I137" s="107" t="s">
        <v>22</v>
      </c>
      <c r="J137" s="92" t="s">
        <v>16</v>
      </c>
      <c r="K137" s="92" t="s">
        <v>16</v>
      </c>
      <c r="L137" s="106" t="s">
        <v>24</v>
      </c>
      <c r="M137" s="107" t="s">
        <v>22</v>
      </c>
      <c r="N137" s="18" t="n">
        <f aca="false">COUNTIF(D137:M137,"Natif")</f>
        <v>6</v>
      </c>
      <c r="O137" s="18" t="n">
        <f aca="false">COUNTIF(D137:M137,"Natif")+COUNTIF(D137:M137,"Officiel")</f>
        <v>6</v>
      </c>
    </row>
    <row r="138" customFormat="false" ht="15" hidden="false" customHeight="false" outlineLevel="0" collapsed="false">
      <c r="A138" s="38" t="s">
        <v>105</v>
      </c>
      <c r="B138" s="38" t="s">
        <v>107</v>
      </c>
      <c r="C138" s="105" t="s">
        <v>594</v>
      </c>
      <c r="D138" s="107" t="s">
        <v>22</v>
      </c>
      <c r="E138" s="107" t="s">
        <v>22</v>
      </c>
      <c r="F138" s="92" t="s">
        <v>16</v>
      </c>
      <c r="G138" s="107" t="s">
        <v>22</v>
      </c>
      <c r="H138" s="92" t="s">
        <v>16</v>
      </c>
      <c r="I138" s="92" t="s">
        <v>16</v>
      </c>
      <c r="J138" s="92" t="s">
        <v>16</v>
      </c>
      <c r="K138" s="92" t="s">
        <v>16</v>
      </c>
      <c r="L138" s="92" t="s">
        <v>16</v>
      </c>
      <c r="M138" s="92" t="s">
        <v>16</v>
      </c>
      <c r="N138" s="18" t="n">
        <f aca="false">COUNTIF(D138:M138,"Natif")</f>
        <v>7</v>
      </c>
      <c r="O138" s="18" t="n">
        <f aca="false">COUNTIF(D138:M138,"Natif")+COUNTIF(D138:M138,"Officiel")</f>
        <v>7</v>
      </c>
    </row>
    <row r="139" customFormat="false" ht="15" hidden="false" customHeight="false" outlineLevel="0" collapsed="false">
      <c r="A139" s="38" t="s">
        <v>105</v>
      </c>
      <c r="B139" s="38" t="s">
        <v>107</v>
      </c>
      <c r="C139" s="105" t="s">
        <v>595</v>
      </c>
      <c r="D139" s="95" t="s">
        <v>18</v>
      </c>
      <c r="E139" s="92" t="s">
        <v>16</v>
      </c>
      <c r="F139" s="92" t="s">
        <v>16</v>
      </c>
      <c r="G139" s="92" t="s">
        <v>16</v>
      </c>
      <c r="H139" s="92" t="s">
        <v>16</v>
      </c>
      <c r="I139" s="107" t="s">
        <v>22</v>
      </c>
      <c r="J139" s="92" t="s">
        <v>16</v>
      </c>
      <c r="K139" s="92" t="s">
        <v>16</v>
      </c>
      <c r="L139" s="106" t="s">
        <v>24</v>
      </c>
      <c r="M139" s="106" t="s">
        <v>24</v>
      </c>
      <c r="N139" s="18" t="n">
        <f aca="false">COUNTIF(D139:M139,"Natif")</f>
        <v>6</v>
      </c>
      <c r="O139" s="18" t="n">
        <f aca="false">COUNTIF(D139:M139,"Natif")+COUNTIF(D139:M139,"Officiel")</f>
        <v>7</v>
      </c>
    </row>
    <row r="140" customFormat="false" ht="15" hidden="false" customHeight="false" outlineLevel="0" collapsed="false">
      <c r="A140" s="38" t="s">
        <v>105</v>
      </c>
      <c r="B140" s="38" t="s">
        <v>108</v>
      </c>
      <c r="C140" s="105" t="s">
        <v>597</v>
      </c>
      <c r="D140" s="89" t="s">
        <v>20</v>
      </c>
      <c r="E140" s="92" t="s">
        <v>16</v>
      </c>
      <c r="F140" s="92" t="s">
        <v>16</v>
      </c>
      <c r="G140" s="92" t="s">
        <v>16</v>
      </c>
      <c r="H140" s="92" t="s">
        <v>16</v>
      </c>
      <c r="I140" s="107" t="s">
        <v>22</v>
      </c>
      <c r="J140" s="92" t="s">
        <v>16</v>
      </c>
      <c r="K140" s="92" t="s">
        <v>16</v>
      </c>
      <c r="L140" s="107" t="s">
        <v>22</v>
      </c>
      <c r="M140" s="107" t="s">
        <v>22</v>
      </c>
      <c r="N140" s="18" t="n">
        <f aca="false">COUNTIF(D140:M140,"Natif")</f>
        <v>6</v>
      </c>
      <c r="O140" s="18" t="n">
        <f aca="false">COUNTIF(D140:M140,"Natif")+COUNTIF(D140:M140,"Officiel")</f>
        <v>6</v>
      </c>
    </row>
    <row r="141" customFormat="false" ht="15" hidden="false" customHeight="false" outlineLevel="0" collapsed="false">
      <c r="A141" s="38" t="s">
        <v>105</v>
      </c>
      <c r="B141" s="38" t="s">
        <v>108</v>
      </c>
      <c r="C141" s="105" t="s">
        <v>599</v>
      </c>
      <c r="D141" s="107" t="s">
        <v>22</v>
      </c>
      <c r="E141" s="107" t="s">
        <v>22</v>
      </c>
      <c r="F141" s="107" t="s">
        <v>22</v>
      </c>
      <c r="G141" s="89" t="s">
        <v>20</v>
      </c>
      <c r="H141" s="95" t="s">
        <v>18</v>
      </c>
      <c r="I141" s="107" t="s">
        <v>22</v>
      </c>
      <c r="J141" s="95" t="s">
        <v>18</v>
      </c>
      <c r="K141" s="107" t="s">
        <v>22</v>
      </c>
      <c r="L141" s="106" t="s">
        <v>24</v>
      </c>
      <c r="M141" s="106" t="s">
        <v>24</v>
      </c>
      <c r="N141" s="18" t="n">
        <f aca="false">COUNTIF(D141:M141,"Natif")</f>
        <v>0</v>
      </c>
      <c r="O141" s="18" t="n">
        <f aca="false">COUNTIF(D141:M141,"Natif")+COUNTIF(D141:M141,"Officiel")</f>
        <v>2</v>
      </c>
    </row>
    <row r="142" customFormat="false" ht="15" hidden="false" customHeight="false" outlineLevel="0" collapsed="false">
      <c r="A142" s="38" t="s">
        <v>105</v>
      </c>
      <c r="B142" s="38" t="s">
        <v>108</v>
      </c>
      <c r="C142" s="105" t="s">
        <v>601</v>
      </c>
      <c r="D142" s="89" t="s">
        <v>20</v>
      </c>
      <c r="E142" s="92" t="s">
        <v>16</v>
      </c>
      <c r="F142" s="107" t="s">
        <v>22</v>
      </c>
      <c r="G142" s="106" t="s">
        <v>24</v>
      </c>
      <c r="H142" s="106" t="s">
        <v>24</v>
      </c>
      <c r="I142" s="106" t="s">
        <v>24</v>
      </c>
      <c r="J142" s="107" t="s">
        <v>22</v>
      </c>
      <c r="K142" s="106" t="s">
        <v>24</v>
      </c>
      <c r="L142" s="106" t="s">
        <v>24</v>
      </c>
      <c r="M142" s="106" t="s">
        <v>24</v>
      </c>
      <c r="N142" s="18" t="n">
        <f aca="false">COUNTIF(D142:M142,"Natif")</f>
        <v>1</v>
      </c>
      <c r="O142" s="18" t="n">
        <f aca="false">COUNTIF(D142:M142,"Natif")+COUNTIF(D142:M142,"Officiel")</f>
        <v>1</v>
      </c>
    </row>
    <row r="143" customFormat="false" ht="15" hidden="false" customHeight="false" outlineLevel="0" collapsed="false">
      <c r="A143" s="38" t="s">
        <v>105</v>
      </c>
      <c r="B143" s="38" t="s">
        <v>108</v>
      </c>
      <c r="C143" s="105" t="s">
        <v>602</v>
      </c>
      <c r="D143" s="107" t="s">
        <v>22</v>
      </c>
      <c r="E143" s="92" t="s">
        <v>16</v>
      </c>
      <c r="F143" s="92" t="s">
        <v>16</v>
      </c>
      <c r="G143" s="107" t="s">
        <v>22</v>
      </c>
      <c r="H143" s="95" t="s">
        <v>18</v>
      </c>
      <c r="I143" s="92" t="s">
        <v>16</v>
      </c>
      <c r="J143" s="107" t="s">
        <v>22</v>
      </c>
      <c r="K143" s="92" t="s">
        <v>16</v>
      </c>
      <c r="L143" s="92" t="s">
        <v>16</v>
      </c>
      <c r="M143" s="107" t="s">
        <v>22</v>
      </c>
      <c r="N143" s="18" t="n">
        <f aca="false">COUNTIF(D143:M143,"Natif")</f>
        <v>5</v>
      </c>
      <c r="O143" s="18" t="n">
        <f aca="false">COUNTIF(D143:M143,"Natif")+COUNTIF(D143:M143,"Officiel")</f>
        <v>6</v>
      </c>
    </row>
    <row r="144" customFormat="false" ht="15" hidden="false" customHeight="false" outlineLevel="0" collapsed="false">
      <c r="A144" s="38" t="s">
        <v>105</v>
      </c>
      <c r="B144" s="38" t="s">
        <v>109</v>
      </c>
      <c r="C144" s="105" t="s">
        <v>604</v>
      </c>
      <c r="D144" s="92" t="s">
        <v>16</v>
      </c>
      <c r="E144" s="92" t="s">
        <v>16</v>
      </c>
      <c r="F144" s="92" t="s">
        <v>16</v>
      </c>
      <c r="G144" s="92" t="s">
        <v>16</v>
      </c>
      <c r="H144" s="92" t="s">
        <v>16</v>
      </c>
      <c r="I144" s="92" t="s">
        <v>16</v>
      </c>
      <c r="J144" s="92" t="s">
        <v>16</v>
      </c>
      <c r="K144" s="92" t="s">
        <v>16</v>
      </c>
      <c r="L144" s="92" t="s">
        <v>16</v>
      </c>
      <c r="M144" s="92" t="s">
        <v>16</v>
      </c>
      <c r="N144" s="18" t="n">
        <f aca="false">COUNTIF(D144:M144,"Natif")</f>
        <v>10</v>
      </c>
      <c r="O144" s="18" t="n">
        <f aca="false">COUNTIF(D144:M144,"Natif")+COUNTIF(D144:M144,"Officiel")</f>
        <v>10</v>
      </c>
    </row>
    <row r="145" customFormat="false" ht="15" hidden="false" customHeight="false" outlineLevel="0" collapsed="false">
      <c r="A145" s="38" t="s">
        <v>105</v>
      </c>
      <c r="B145" s="38" t="s">
        <v>109</v>
      </c>
      <c r="C145" s="105" t="s">
        <v>606</v>
      </c>
      <c r="D145" s="92" t="s">
        <v>16</v>
      </c>
      <c r="E145" s="92" t="s">
        <v>16</v>
      </c>
      <c r="F145" s="92" t="s">
        <v>16</v>
      </c>
      <c r="G145" s="92" t="s">
        <v>16</v>
      </c>
      <c r="H145" s="92" t="s">
        <v>16</v>
      </c>
      <c r="I145" s="92" t="s">
        <v>16</v>
      </c>
      <c r="J145" s="92" t="s">
        <v>16</v>
      </c>
      <c r="K145" s="106" t="s">
        <v>24</v>
      </c>
      <c r="L145" s="95" t="s">
        <v>18</v>
      </c>
      <c r="M145" s="92" t="s">
        <v>16</v>
      </c>
      <c r="N145" s="18" t="n">
        <f aca="false">COUNTIF(D145:M145,"Natif")</f>
        <v>8</v>
      </c>
      <c r="O145" s="18" t="n">
        <f aca="false">COUNTIF(D145:M145,"Natif")+COUNTIF(D145:M145,"Officiel")</f>
        <v>9</v>
      </c>
    </row>
    <row r="146" customFormat="false" ht="15" hidden="false" customHeight="false" outlineLevel="0" collapsed="false">
      <c r="A146" s="38" t="s">
        <v>105</v>
      </c>
      <c r="B146" s="38" t="s">
        <v>109</v>
      </c>
      <c r="C146" s="105" t="s">
        <v>607</v>
      </c>
      <c r="D146" s="92" t="s">
        <v>16</v>
      </c>
      <c r="E146" s="92" t="s">
        <v>16</v>
      </c>
      <c r="F146" s="92" t="s">
        <v>16</v>
      </c>
      <c r="G146" s="92" t="s">
        <v>16</v>
      </c>
      <c r="H146" s="92" t="s">
        <v>16</v>
      </c>
      <c r="I146" s="92" t="s">
        <v>16</v>
      </c>
      <c r="J146" s="92" t="s">
        <v>16</v>
      </c>
      <c r="K146" s="92" t="s">
        <v>16</v>
      </c>
      <c r="L146" s="107" t="s">
        <v>22</v>
      </c>
      <c r="M146" s="107" t="s">
        <v>22</v>
      </c>
      <c r="N146" s="18" t="n">
        <f aca="false">COUNTIF(D146:M146,"Natif")</f>
        <v>8</v>
      </c>
      <c r="O146" s="18" t="n">
        <f aca="false">COUNTIF(D146:M146,"Natif")+COUNTIF(D146:M146,"Officiel")</f>
        <v>8</v>
      </c>
    </row>
    <row r="147" customFormat="false" ht="15" hidden="false" customHeight="false" outlineLevel="0" collapsed="false">
      <c r="A147" s="38" t="s">
        <v>105</v>
      </c>
      <c r="B147" s="38" t="s">
        <v>109</v>
      </c>
      <c r="C147" s="105" t="s">
        <v>609</v>
      </c>
      <c r="D147" s="92" t="s">
        <v>16</v>
      </c>
      <c r="E147" s="92" t="s">
        <v>16</v>
      </c>
      <c r="F147" s="92" t="s">
        <v>16</v>
      </c>
      <c r="G147" s="92" t="s">
        <v>16</v>
      </c>
      <c r="H147" s="92" t="s">
        <v>16</v>
      </c>
      <c r="I147" s="92" t="s">
        <v>16</v>
      </c>
      <c r="J147" s="92" t="s">
        <v>16</v>
      </c>
      <c r="K147" s="92" t="s">
        <v>16</v>
      </c>
      <c r="L147" s="92" t="s">
        <v>16</v>
      </c>
      <c r="M147" s="92" t="s">
        <v>16</v>
      </c>
      <c r="N147" s="18" t="n">
        <f aca="false">COUNTIF(D147:M147,"Natif")</f>
        <v>10</v>
      </c>
      <c r="O147" s="18" t="n">
        <f aca="false">COUNTIF(D147:M147,"Natif")+COUNTIF(D147:M147,"Officiel")</f>
        <v>10</v>
      </c>
    </row>
    <row r="148" customFormat="false" ht="15" hidden="false" customHeight="false" outlineLevel="0" collapsed="false">
      <c r="A148" s="38" t="s">
        <v>105</v>
      </c>
      <c r="B148" s="38" t="s">
        <v>109</v>
      </c>
      <c r="C148" s="105" t="s">
        <v>611</v>
      </c>
      <c r="D148" s="92" t="s">
        <v>16</v>
      </c>
      <c r="E148" s="92" t="s">
        <v>16</v>
      </c>
      <c r="F148" s="92" t="s">
        <v>16</v>
      </c>
      <c r="G148" s="92" t="s">
        <v>16</v>
      </c>
      <c r="H148" s="92" t="s">
        <v>16</v>
      </c>
      <c r="I148" s="92" t="s">
        <v>16</v>
      </c>
      <c r="J148" s="95" t="s">
        <v>18</v>
      </c>
      <c r="K148" s="92" t="s">
        <v>16</v>
      </c>
      <c r="L148" s="92" t="s">
        <v>16</v>
      </c>
      <c r="M148" s="92" t="s">
        <v>16</v>
      </c>
      <c r="N148" s="18" t="n">
        <f aca="false">COUNTIF(D148:M148,"Natif")</f>
        <v>9</v>
      </c>
      <c r="O148" s="18" t="n">
        <f aca="false">COUNTIF(D148:M148,"Natif")+COUNTIF(D148:M148,"Officiel")</f>
        <v>10</v>
      </c>
    </row>
    <row r="149" customFormat="false" ht="15" hidden="false" customHeight="false" outlineLevel="0" collapsed="false">
      <c r="A149" s="38" t="s">
        <v>105</v>
      </c>
      <c r="B149" s="38" t="s">
        <v>109</v>
      </c>
      <c r="C149" s="105" t="s">
        <v>613</v>
      </c>
      <c r="D149" s="92" t="s">
        <v>16</v>
      </c>
      <c r="E149" s="95" t="s">
        <v>18</v>
      </c>
      <c r="F149" s="92" t="s">
        <v>16</v>
      </c>
      <c r="G149" s="107" t="s">
        <v>22</v>
      </c>
      <c r="H149" s="92" t="s">
        <v>16</v>
      </c>
      <c r="I149" s="92" t="s">
        <v>16</v>
      </c>
      <c r="J149" s="95" t="s">
        <v>18</v>
      </c>
      <c r="K149" s="92" t="s">
        <v>16</v>
      </c>
      <c r="L149" s="92" t="s">
        <v>16</v>
      </c>
      <c r="M149" s="92" t="s">
        <v>16</v>
      </c>
      <c r="N149" s="18" t="n">
        <f aca="false">COUNTIF(D149:M149,"Natif")</f>
        <v>7</v>
      </c>
      <c r="O149" s="18" t="n">
        <f aca="false">COUNTIF(D149:M149,"Natif")+COUNTIF(D149:M149,"Officiel")</f>
        <v>9</v>
      </c>
    </row>
    <row r="150" customFormat="false" ht="15" hidden="false" customHeight="false" outlineLevel="0" collapsed="false">
      <c r="A150" s="38" t="s">
        <v>105</v>
      </c>
      <c r="B150" s="38" t="s">
        <v>109</v>
      </c>
      <c r="C150" s="105" t="s">
        <v>615</v>
      </c>
      <c r="D150" s="92" t="s">
        <v>16</v>
      </c>
      <c r="E150" s="92" t="s">
        <v>16</v>
      </c>
      <c r="F150" s="92" t="s">
        <v>16</v>
      </c>
      <c r="G150" s="92" t="s">
        <v>16</v>
      </c>
      <c r="H150" s="92" t="s">
        <v>16</v>
      </c>
      <c r="I150" s="92" t="s">
        <v>16</v>
      </c>
      <c r="J150" s="95" t="s">
        <v>18</v>
      </c>
      <c r="K150" s="92" t="s">
        <v>16</v>
      </c>
      <c r="L150" s="92" t="s">
        <v>16</v>
      </c>
      <c r="M150" s="92" t="s">
        <v>16</v>
      </c>
      <c r="N150" s="18" t="n">
        <f aca="false">COUNTIF(D150:M150,"Natif")</f>
        <v>9</v>
      </c>
      <c r="O150" s="18" t="n">
        <f aca="false">COUNTIF(D150:M150,"Natif")+COUNTIF(D150:M150,"Officiel")</f>
        <v>10</v>
      </c>
    </row>
    <row r="151" customFormat="false" ht="15" hidden="false" customHeight="false" outlineLevel="0" collapsed="false">
      <c r="A151" s="38" t="s">
        <v>105</v>
      </c>
      <c r="B151" s="38" t="s">
        <v>110</v>
      </c>
      <c r="C151" s="105" t="s">
        <v>635</v>
      </c>
      <c r="D151" s="95" t="s">
        <v>18</v>
      </c>
      <c r="E151" s="92" t="s">
        <v>16</v>
      </c>
      <c r="F151" s="89" t="s">
        <v>20</v>
      </c>
      <c r="G151" s="92" t="s">
        <v>16</v>
      </c>
      <c r="H151" s="92" t="s">
        <v>16</v>
      </c>
      <c r="I151" s="89" t="s">
        <v>20</v>
      </c>
      <c r="J151" s="107" t="s">
        <v>22</v>
      </c>
      <c r="K151" s="107" t="s">
        <v>22</v>
      </c>
      <c r="L151" s="106" t="s">
        <v>24</v>
      </c>
      <c r="M151" s="106" t="s">
        <v>24</v>
      </c>
      <c r="N151" s="18" t="n">
        <f aca="false">COUNTIF(D151:M151,"Natif")</f>
        <v>3</v>
      </c>
      <c r="O151" s="18" t="n">
        <f aca="false">COUNTIF(D151:M151,"Natif")+COUNTIF(D151:M151,"Officiel")</f>
        <v>4</v>
      </c>
    </row>
    <row r="152" customFormat="false" ht="15" hidden="false" customHeight="false" outlineLevel="0" collapsed="false">
      <c r="A152" s="38" t="s">
        <v>105</v>
      </c>
      <c r="B152" s="38" t="s">
        <v>110</v>
      </c>
      <c r="C152" s="105" t="s">
        <v>637</v>
      </c>
      <c r="D152" s="92" t="s">
        <v>16</v>
      </c>
      <c r="E152" s="92" t="s">
        <v>16</v>
      </c>
      <c r="F152" s="92" t="s">
        <v>16</v>
      </c>
      <c r="G152" s="92" t="s">
        <v>16</v>
      </c>
      <c r="H152" s="92" t="s">
        <v>16</v>
      </c>
      <c r="I152" s="92" t="s">
        <v>16</v>
      </c>
      <c r="J152" s="92" t="s">
        <v>16</v>
      </c>
      <c r="K152" s="107" t="s">
        <v>22</v>
      </c>
      <c r="L152" s="107" t="s">
        <v>22</v>
      </c>
      <c r="M152" s="107" t="s">
        <v>22</v>
      </c>
      <c r="N152" s="18" t="n">
        <f aca="false">COUNTIF(D152:M152,"Natif")</f>
        <v>7</v>
      </c>
      <c r="O152" s="18" t="n">
        <f aca="false">COUNTIF(D152:M152,"Natif")+COUNTIF(D152:M152,"Officiel")</f>
        <v>7</v>
      </c>
    </row>
    <row r="153" customFormat="false" ht="15" hidden="false" customHeight="false" outlineLevel="0" collapsed="false">
      <c r="A153" s="38" t="s">
        <v>105</v>
      </c>
      <c r="B153" s="38" t="s">
        <v>110</v>
      </c>
      <c r="C153" s="105" t="s">
        <v>639</v>
      </c>
      <c r="D153" s="95" t="s">
        <v>18</v>
      </c>
      <c r="E153" s="89" t="s">
        <v>20</v>
      </c>
      <c r="F153" s="89" t="s">
        <v>20</v>
      </c>
      <c r="G153" s="95" t="s">
        <v>18</v>
      </c>
      <c r="H153" s="92" t="s">
        <v>16</v>
      </c>
      <c r="I153" s="89" t="s">
        <v>20</v>
      </c>
      <c r="J153" s="89" t="s">
        <v>20</v>
      </c>
      <c r="K153" s="107" t="s">
        <v>22</v>
      </c>
      <c r="L153" s="106" t="s">
        <v>24</v>
      </c>
      <c r="M153" s="106" t="s">
        <v>24</v>
      </c>
      <c r="N153" s="18" t="n">
        <f aca="false">COUNTIF(D153:M153,"Natif")</f>
        <v>1</v>
      </c>
      <c r="O153" s="18" t="n">
        <f aca="false">COUNTIF(D153:M153,"Natif")+COUNTIF(D153:M153,"Officiel")</f>
        <v>3</v>
      </c>
    </row>
    <row r="154" customFormat="false" ht="15" hidden="false" customHeight="false" outlineLevel="0" collapsed="false">
      <c r="A154" s="38" t="s">
        <v>105</v>
      </c>
      <c r="B154" s="38" t="s">
        <v>110</v>
      </c>
      <c r="C154" s="105" t="s">
        <v>641</v>
      </c>
      <c r="D154" s="95" t="s">
        <v>18</v>
      </c>
      <c r="E154" s="92" t="s">
        <v>16</v>
      </c>
      <c r="F154" s="92" t="s">
        <v>16</v>
      </c>
      <c r="G154" s="107" t="s">
        <v>22</v>
      </c>
      <c r="H154" s="92" t="s">
        <v>16</v>
      </c>
      <c r="I154" s="107" t="s">
        <v>22</v>
      </c>
      <c r="J154" s="92" t="s">
        <v>16</v>
      </c>
      <c r="K154" s="107" t="s">
        <v>22</v>
      </c>
      <c r="L154" s="107" t="s">
        <v>22</v>
      </c>
      <c r="M154" s="106" t="s">
        <v>24</v>
      </c>
      <c r="N154" s="18" t="n">
        <f aca="false">COUNTIF(D154:M154,"Natif")</f>
        <v>4</v>
      </c>
      <c r="O154" s="18" t="n">
        <f aca="false">COUNTIF(D154:M154,"Natif")+COUNTIF(D154:M154,"Officiel")</f>
        <v>5</v>
      </c>
    </row>
    <row r="155" customFormat="false" ht="15" hidden="false" customHeight="false" outlineLevel="0" collapsed="false">
      <c r="A155" s="38" t="s">
        <v>105</v>
      </c>
      <c r="B155" s="38" t="s">
        <v>110</v>
      </c>
      <c r="C155" s="105" t="s">
        <v>643</v>
      </c>
      <c r="D155" s="92" t="s">
        <v>16</v>
      </c>
      <c r="E155" s="92" t="s">
        <v>16</v>
      </c>
      <c r="F155" s="107" t="s">
        <v>22</v>
      </c>
      <c r="G155" s="107" t="s">
        <v>22</v>
      </c>
      <c r="H155" s="107" t="s">
        <v>22</v>
      </c>
      <c r="I155" s="106" t="s">
        <v>24</v>
      </c>
      <c r="J155" s="92" t="s">
        <v>16</v>
      </c>
      <c r="K155" s="107" t="s">
        <v>22</v>
      </c>
      <c r="L155" s="92" t="s">
        <v>16</v>
      </c>
      <c r="M155" s="101" t="s">
        <v>26</v>
      </c>
      <c r="N155" s="18" t="n">
        <f aca="false">COUNTIF(D155:M155,"Natif")</f>
        <v>4</v>
      </c>
      <c r="O155" s="18" t="n">
        <f aca="false">COUNTIF(D155:M155,"Natif")+COUNTIF(D155:M155,"Officiel")</f>
        <v>4</v>
      </c>
    </row>
    <row r="156" customFormat="false" ht="15" hidden="false" customHeight="false" outlineLevel="0" collapsed="false">
      <c r="A156" s="38" t="s">
        <v>105</v>
      </c>
      <c r="B156" s="38" t="s">
        <v>110</v>
      </c>
      <c r="C156" s="105" t="s">
        <v>645</v>
      </c>
      <c r="D156" s="95" t="s">
        <v>18</v>
      </c>
      <c r="E156" s="89" t="s">
        <v>20</v>
      </c>
      <c r="F156" s="107" t="s">
        <v>22</v>
      </c>
      <c r="G156" s="107" t="s">
        <v>22</v>
      </c>
      <c r="H156" s="107" t="s">
        <v>22</v>
      </c>
      <c r="I156" s="107" t="s">
        <v>22</v>
      </c>
      <c r="J156" s="95" t="s">
        <v>18</v>
      </c>
      <c r="K156" s="107" t="s">
        <v>22</v>
      </c>
      <c r="L156" s="107" t="s">
        <v>22</v>
      </c>
      <c r="M156" s="107" t="s">
        <v>22</v>
      </c>
      <c r="N156" s="18" t="n">
        <f aca="false">COUNTIF(D156:M156,"Natif")</f>
        <v>0</v>
      </c>
      <c r="O156" s="18" t="n">
        <f aca="false">COUNTIF(D156:M156,"Natif")+COUNTIF(D156:M156,"Officiel")</f>
        <v>2</v>
      </c>
    </row>
    <row r="157" customFormat="false" ht="15" hidden="false" customHeight="false" outlineLevel="0" collapsed="false">
      <c r="A157" s="38" t="s">
        <v>105</v>
      </c>
      <c r="B157" s="38" t="s">
        <v>110</v>
      </c>
      <c r="C157" s="105" t="s">
        <v>647</v>
      </c>
      <c r="D157" s="92" t="s">
        <v>16</v>
      </c>
      <c r="E157" s="92" t="s">
        <v>16</v>
      </c>
      <c r="F157" s="92" t="s">
        <v>16</v>
      </c>
      <c r="G157" s="107" t="s">
        <v>22</v>
      </c>
      <c r="H157" s="92" t="s">
        <v>16</v>
      </c>
      <c r="I157" s="92" t="s">
        <v>16</v>
      </c>
      <c r="J157" s="92" t="s">
        <v>16</v>
      </c>
      <c r="K157" s="92" t="s">
        <v>16</v>
      </c>
      <c r="L157" s="92" t="s">
        <v>16</v>
      </c>
      <c r="M157" s="92" t="s">
        <v>16</v>
      </c>
      <c r="N157" s="18" t="n">
        <f aca="false">COUNTIF(D157:M157,"Natif")</f>
        <v>9</v>
      </c>
      <c r="O157" s="18" t="n">
        <f aca="false">COUNTIF(D157:M157,"Natif")+COUNTIF(D157:M157,"Officiel")</f>
        <v>9</v>
      </c>
    </row>
    <row r="158" customFormat="false" ht="15" hidden="false" customHeight="false" outlineLevel="0" collapsed="false">
      <c r="A158" s="38" t="s">
        <v>105</v>
      </c>
      <c r="B158" s="38" t="s">
        <v>111</v>
      </c>
      <c r="C158" s="105" t="s">
        <v>658</v>
      </c>
      <c r="D158" s="92" t="s">
        <v>16</v>
      </c>
      <c r="E158" s="92" t="s">
        <v>16</v>
      </c>
      <c r="F158" s="106" t="s">
        <v>24</v>
      </c>
      <c r="G158" s="89" t="s">
        <v>20</v>
      </c>
      <c r="H158" s="92" t="s">
        <v>16</v>
      </c>
      <c r="I158" s="92" t="s">
        <v>16</v>
      </c>
      <c r="J158" s="92" t="s">
        <v>16</v>
      </c>
      <c r="K158" s="92" t="s">
        <v>16</v>
      </c>
      <c r="L158" s="92" t="s">
        <v>16</v>
      </c>
      <c r="M158" s="92" t="s">
        <v>16</v>
      </c>
      <c r="N158" s="18" t="n">
        <f aca="false">COUNTIF(D158:M158,"Natif")</f>
        <v>8</v>
      </c>
      <c r="O158" s="18" t="n">
        <f aca="false">COUNTIF(D158:M158,"Natif")+COUNTIF(D158:M158,"Officiel")</f>
        <v>8</v>
      </c>
    </row>
    <row r="159" customFormat="false" ht="15" hidden="false" customHeight="false" outlineLevel="0" collapsed="false">
      <c r="A159" s="38" t="s">
        <v>105</v>
      </c>
      <c r="B159" s="38" t="s">
        <v>111</v>
      </c>
      <c r="C159" s="105" t="s">
        <v>660</v>
      </c>
      <c r="D159" s="95" t="s">
        <v>18</v>
      </c>
      <c r="E159" s="92" t="s">
        <v>16</v>
      </c>
      <c r="F159" s="92" t="s">
        <v>16</v>
      </c>
      <c r="G159" s="106" t="s">
        <v>24</v>
      </c>
      <c r="H159" s="92" t="s">
        <v>16</v>
      </c>
      <c r="I159" s="92" t="s">
        <v>16</v>
      </c>
      <c r="J159" s="107" t="s">
        <v>22</v>
      </c>
      <c r="K159" s="92" t="s">
        <v>16</v>
      </c>
      <c r="L159" s="92" t="s">
        <v>16</v>
      </c>
      <c r="M159" s="92" t="s">
        <v>16</v>
      </c>
      <c r="N159" s="18" t="n">
        <f aca="false">COUNTIF(D159:M159,"Natif")</f>
        <v>7</v>
      </c>
      <c r="O159" s="18" t="n">
        <f aca="false">COUNTIF(D159:M159,"Natif")+COUNTIF(D159:M159,"Officiel")</f>
        <v>8</v>
      </c>
    </row>
    <row r="160" customFormat="false" ht="15" hidden="false" customHeight="false" outlineLevel="0" collapsed="false">
      <c r="A160" s="38" t="s">
        <v>105</v>
      </c>
      <c r="B160" s="38" t="s">
        <v>111</v>
      </c>
      <c r="C160" s="105" t="s">
        <v>662</v>
      </c>
      <c r="D160" s="107" t="s">
        <v>22</v>
      </c>
      <c r="E160" s="92" t="s">
        <v>16</v>
      </c>
      <c r="F160" s="92" t="s">
        <v>16</v>
      </c>
      <c r="G160" s="107" t="s">
        <v>22</v>
      </c>
      <c r="H160" s="92" t="s">
        <v>16</v>
      </c>
      <c r="I160" s="107" t="s">
        <v>22</v>
      </c>
      <c r="J160" s="107" t="s">
        <v>22</v>
      </c>
      <c r="K160" s="92" t="s">
        <v>16</v>
      </c>
      <c r="L160" s="92" t="s">
        <v>16</v>
      </c>
      <c r="M160" s="107" t="s">
        <v>22</v>
      </c>
      <c r="N160" s="18" t="n">
        <f aca="false">COUNTIF(D160:M160,"Natif")</f>
        <v>5</v>
      </c>
      <c r="O160" s="18" t="n">
        <f aca="false">COUNTIF(D160:M160,"Natif")+COUNTIF(D160:M160,"Officiel")</f>
        <v>5</v>
      </c>
    </row>
    <row r="161" customFormat="false" ht="23.85" hidden="false" customHeight="false" outlineLevel="0" collapsed="false">
      <c r="A161" s="38" t="s">
        <v>105</v>
      </c>
      <c r="B161" s="38" t="s">
        <v>112</v>
      </c>
      <c r="C161" s="105" t="s">
        <v>664</v>
      </c>
      <c r="D161" s="92" t="s">
        <v>16</v>
      </c>
      <c r="E161" s="92" t="s">
        <v>16</v>
      </c>
      <c r="F161" s="92" t="s">
        <v>16</v>
      </c>
      <c r="G161" s="92" t="s">
        <v>16</v>
      </c>
      <c r="H161" s="92" t="s">
        <v>16</v>
      </c>
      <c r="I161" s="92" t="s">
        <v>16</v>
      </c>
      <c r="J161" s="92" t="s">
        <v>16</v>
      </c>
      <c r="K161" s="92" t="s">
        <v>16</v>
      </c>
      <c r="L161" s="92" t="s">
        <v>16</v>
      </c>
      <c r="M161" s="107" t="s">
        <v>22</v>
      </c>
      <c r="N161" s="18" t="n">
        <f aca="false">COUNTIF(D161:M161,"Natif")</f>
        <v>9</v>
      </c>
      <c r="O161" s="18" t="n">
        <f aca="false">COUNTIF(D161:M161,"Natif")+COUNTIF(D161:M161,"Officiel")</f>
        <v>9</v>
      </c>
    </row>
    <row r="162" customFormat="false" ht="15" hidden="false" customHeight="false" outlineLevel="0" collapsed="false">
      <c r="A162" s="38" t="s">
        <v>105</v>
      </c>
      <c r="B162" s="38" t="s">
        <v>112</v>
      </c>
      <c r="C162" s="105" t="s">
        <v>666</v>
      </c>
      <c r="D162" s="92" t="s">
        <v>16</v>
      </c>
      <c r="E162" s="92" t="s">
        <v>16</v>
      </c>
      <c r="F162" s="92" t="s">
        <v>16</v>
      </c>
      <c r="G162" s="92" t="s">
        <v>16</v>
      </c>
      <c r="H162" s="92" t="s">
        <v>16</v>
      </c>
      <c r="I162" s="92" t="s">
        <v>16</v>
      </c>
      <c r="J162" s="92" t="s">
        <v>16</v>
      </c>
      <c r="K162" s="92" t="s">
        <v>16</v>
      </c>
      <c r="L162" s="92" t="s">
        <v>16</v>
      </c>
      <c r="M162" s="107" t="s">
        <v>22</v>
      </c>
      <c r="N162" s="18" t="n">
        <f aca="false">COUNTIF(D162:M162,"Natif")</f>
        <v>9</v>
      </c>
      <c r="O162" s="18" t="n">
        <f aca="false">COUNTIF(D162:M162,"Natif")+COUNTIF(D162:M162,"Officiel")</f>
        <v>9</v>
      </c>
    </row>
    <row r="163" customFormat="false" ht="15" hidden="false" customHeight="false" outlineLevel="0" collapsed="false">
      <c r="A163" s="38" t="s">
        <v>105</v>
      </c>
      <c r="B163" s="38" t="s">
        <v>112</v>
      </c>
      <c r="C163" s="105" t="s">
        <v>667</v>
      </c>
      <c r="D163" s="95" t="s">
        <v>18</v>
      </c>
      <c r="E163" s="92" t="s">
        <v>16</v>
      </c>
      <c r="F163" s="92" t="s">
        <v>16</v>
      </c>
      <c r="G163" s="92" t="s">
        <v>16</v>
      </c>
      <c r="H163" s="92" t="s">
        <v>16</v>
      </c>
      <c r="I163" s="92" t="s">
        <v>16</v>
      </c>
      <c r="J163" s="95" t="s">
        <v>18</v>
      </c>
      <c r="K163" s="92" t="s">
        <v>16</v>
      </c>
      <c r="L163" s="92" t="s">
        <v>16</v>
      </c>
      <c r="M163" s="92" t="s">
        <v>16</v>
      </c>
      <c r="N163" s="18" t="n">
        <f aca="false">COUNTIF(D163:M163,"Natif")</f>
        <v>8</v>
      </c>
      <c r="O163" s="18" t="n">
        <f aca="false">COUNTIF(D163:M163,"Natif")+COUNTIF(D163:M163,"Officiel")</f>
        <v>10</v>
      </c>
    </row>
    <row r="164" customFormat="false" ht="15" hidden="false" customHeight="false" outlineLevel="0" collapsed="false">
      <c r="A164" s="38" t="s">
        <v>105</v>
      </c>
      <c r="B164" s="38" t="s">
        <v>112</v>
      </c>
      <c r="C164" s="105" t="s">
        <v>669</v>
      </c>
      <c r="D164" s="95" t="s">
        <v>18</v>
      </c>
      <c r="E164" s="107" t="s">
        <v>22</v>
      </c>
      <c r="F164" s="89" t="s">
        <v>20</v>
      </c>
      <c r="G164" s="89" t="s">
        <v>20</v>
      </c>
      <c r="H164" s="89" t="s">
        <v>20</v>
      </c>
      <c r="I164" s="107" t="s">
        <v>22</v>
      </c>
      <c r="J164" s="107" t="s">
        <v>22</v>
      </c>
      <c r="K164" s="107" t="s">
        <v>22</v>
      </c>
      <c r="L164" s="89" t="s">
        <v>20</v>
      </c>
      <c r="M164" s="89" t="s">
        <v>20</v>
      </c>
      <c r="N164" s="18" t="n">
        <f aca="false">COUNTIF(D164:M164,"Natif")</f>
        <v>0</v>
      </c>
      <c r="O164" s="18" t="n">
        <f aca="false">COUNTIF(D164:M164,"Natif")+COUNTIF(D164:M164,"Officiel")</f>
        <v>1</v>
      </c>
    </row>
    <row r="165" customFormat="false" ht="15" hidden="false" customHeight="false" outlineLevel="0" collapsed="false">
      <c r="A165" s="38" t="s">
        <v>105</v>
      </c>
      <c r="B165" s="38" t="s">
        <v>112</v>
      </c>
      <c r="C165" s="105" t="s">
        <v>671</v>
      </c>
      <c r="D165" s="107" t="s">
        <v>22</v>
      </c>
      <c r="E165" s="89" t="s">
        <v>20</v>
      </c>
      <c r="F165" s="107" t="s">
        <v>22</v>
      </c>
      <c r="G165" s="107" t="s">
        <v>22</v>
      </c>
      <c r="H165" s="92" t="s">
        <v>16</v>
      </c>
      <c r="I165" s="92" t="s">
        <v>16</v>
      </c>
      <c r="J165" s="92" t="s">
        <v>16</v>
      </c>
      <c r="K165" s="107" t="s">
        <v>22</v>
      </c>
      <c r="L165" s="107" t="s">
        <v>22</v>
      </c>
      <c r="M165" s="92" t="s">
        <v>16</v>
      </c>
      <c r="N165" s="18" t="n">
        <f aca="false">COUNTIF(D165:M165,"Natif")</f>
        <v>4</v>
      </c>
      <c r="O165" s="18" t="n">
        <f aca="false">COUNTIF(D165:M165,"Natif")+COUNTIF(D165:M165,"Officiel")</f>
        <v>4</v>
      </c>
    </row>
    <row r="166" customFormat="false" ht="15" hidden="false" customHeight="false" outlineLevel="0" collapsed="false">
      <c r="A166" s="38" t="s">
        <v>105</v>
      </c>
      <c r="B166" s="38" t="s">
        <v>112</v>
      </c>
      <c r="C166" s="105" t="s">
        <v>673</v>
      </c>
      <c r="D166" s="107" t="s">
        <v>22</v>
      </c>
      <c r="E166" s="107" t="s">
        <v>22</v>
      </c>
      <c r="F166" s="107" t="s">
        <v>22</v>
      </c>
      <c r="G166" s="107" t="s">
        <v>22</v>
      </c>
      <c r="H166" s="106" t="s">
        <v>24</v>
      </c>
      <c r="I166" s="106" t="s">
        <v>24</v>
      </c>
      <c r="J166" s="107" t="s">
        <v>22</v>
      </c>
      <c r="K166" s="107" t="s">
        <v>22</v>
      </c>
      <c r="L166" s="106" t="s">
        <v>24</v>
      </c>
      <c r="M166" s="106" t="s">
        <v>24</v>
      </c>
      <c r="N166" s="18" t="n">
        <f aca="false">COUNTIF(D166:M166,"Natif")</f>
        <v>0</v>
      </c>
      <c r="O166" s="18" t="n">
        <f aca="false">COUNTIF(D166:M166,"Natif")+COUNTIF(D166:M166,"Officiel")</f>
        <v>0</v>
      </c>
    </row>
    <row r="167" customFormat="false" ht="15" hidden="false" customHeight="false" outlineLevel="0" collapsed="false">
      <c r="A167" s="38" t="s">
        <v>105</v>
      </c>
      <c r="B167" s="38" t="s">
        <v>112</v>
      </c>
      <c r="C167" s="105" t="s">
        <v>675</v>
      </c>
      <c r="D167" s="92" t="s">
        <v>16</v>
      </c>
      <c r="E167" s="92" t="s">
        <v>16</v>
      </c>
      <c r="F167" s="92" t="s">
        <v>16</v>
      </c>
      <c r="G167" s="92" t="s">
        <v>16</v>
      </c>
      <c r="H167" s="92" t="s">
        <v>16</v>
      </c>
      <c r="I167" s="92" t="s">
        <v>16</v>
      </c>
      <c r="J167" s="92" t="s">
        <v>16</v>
      </c>
      <c r="K167" s="92" t="s">
        <v>16</v>
      </c>
      <c r="L167" s="107" t="s">
        <v>22</v>
      </c>
      <c r="M167" s="107" t="s">
        <v>22</v>
      </c>
      <c r="N167" s="18" t="n">
        <f aca="false">COUNTIF(D167:M167,"Natif")</f>
        <v>8</v>
      </c>
      <c r="O167" s="18" t="n">
        <f aca="false">COUNTIF(D167:M167,"Natif")+COUNTIF(D167:M167,"Officiel")</f>
        <v>8</v>
      </c>
    </row>
    <row r="168" customFormat="false" ht="15" hidden="false" customHeight="false" outlineLevel="0" collapsed="false">
      <c r="A168" s="38" t="s">
        <v>105</v>
      </c>
      <c r="B168" s="38" t="s">
        <v>113</v>
      </c>
      <c r="C168" s="105" t="s">
        <v>677</v>
      </c>
      <c r="D168" s="95" t="s">
        <v>18</v>
      </c>
      <c r="E168" s="92" t="s">
        <v>16</v>
      </c>
      <c r="F168" s="92" t="s">
        <v>16</v>
      </c>
      <c r="G168" s="95" t="s">
        <v>18</v>
      </c>
      <c r="H168" s="92" t="s">
        <v>16</v>
      </c>
      <c r="I168" s="92" t="s">
        <v>16</v>
      </c>
      <c r="J168" s="92" t="s">
        <v>16</v>
      </c>
      <c r="K168" s="92" t="s">
        <v>16</v>
      </c>
      <c r="L168" s="92" t="s">
        <v>16</v>
      </c>
      <c r="M168" s="92" t="s">
        <v>16</v>
      </c>
      <c r="N168" s="18" t="n">
        <f aca="false">COUNTIF(D168:M168,"Natif")</f>
        <v>8</v>
      </c>
      <c r="O168" s="18" t="n">
        <f aca="false">COUNTIF(D168:M168,"Natif")+COUNTIF(D168:M168,"Officiel")</f>
        <v>10</v>
      </c>
    </row>
    <row r="169" customFormat="false" ht="15" hidden="false" customHeight="false" outlineLevel="0" collapsed="false">
      <c r="A169" s="38" t="s">
        <v>105</v>
      </c>
      <c r="B169" s="38" t="s">
        <v>113</v>
      </c>
      <c r="C169" s="105" t="s">
        <v>679</v>
      </c>
      <c r="D169" s="95" t="s">
        <v>18</v>
      </c>
      <c r="E169" s="89" t="s">
        <v>20</v>
      </c>
      <c r="F169" s="95" t="s">
        <v>18</v>
      </c>
      <c r="G169" s="95" t="s">
        <v>18</v>
      </c>
      <c r="H169" s="92" t="s">
        <v>16</v>
      </c>
      <c r="I169" s="92" t="s">
        <v>16</v>
      </c>
      <c r="J169" s="95" t="s">
        <v>18</v>
      </c>
      <c r="K169" s="107" t="s">
        <v>22</v>
      </c>
      <c r="L169" s="92" t="s">
        <v>16</v>
      </c>
      <c r="M169" s="107" t="s">
        <v>22</v>
      </c>
      <c r="N169" s="18" t="n">
        <f aca="false">COUNTIF(D169:M169,"Natif")</f>
        <v>3</v>
      </c>
      <c r="O169" s="18" t="n">
        <f aca="false">COUNTIF(D169:M169,"Natif")+COUNTIF(D169:M169,"Officiel")</f>
        <v>7</v>
      </c>
    </row>
    <row r="170" customFormat="false" ht="15" hidden="false" customHeight="false" outlineLevel="0" collapsed="false">
      <c r="A170" s="38" t="s">
        <v>105</v>
      </c>
      <c r="B170" s="38" t="s">
        <v>113</v>
      </c>
      <c r="C170" s="105" t="s">
        <v>681</v>
      </c>
      <c r="D170" s="107" t="s">
        <v>22</v>
      </c>
      <c r="E170" s="92" t="s">
        <v>16</v>
      </c>
      <c r="F170" s="92" t="s">
        <v>16</v>
      </c>
      <c r="G170" s="106" t="s">
        <v>24</v>
      </c>
      <c r="H170" s="92" t="s">
        <v>16</v>
      </c>
      <c r="I170" s="92" t="s">
        <v>16</v>
      </c>
      <c r="J170" s="106" t="s">
        <v>24</v>
      </c>
      <c r="K170" s="92" t="s">
        <v>16</v>
      </c>
      <c r="L170" s="92" t="s">
        <v>16</v>
      </c>
      <c r="M170" s="92" t="s">
        <v>16</v>
      </c>
      <c r="N170" s="18" t="n">
        <f aca="false">COUNTIF(D170:M170,"Natif")</f>
        <v>7</v>
      </c>
      <c r="O170" s="18" t="n">
        <f aca="false">COUNTIF(D170:M170,"Natif")+COUNTIF(D170:M170,"Officiel")</f>
        <v>7</v>
      </c>
    </row>
    <row r="171" customFormat="false" ht="15" hidden="false" customHeight="false" outlineLevel="0" collapsed="false">
      <c r="A171" s="38" t="s">
        <v>105</v>
      </c>
      <c r="B171" s="38" t="s">
        <v>113</v>
      </c>
      <c r="C171" s="105" t="s">
        <v>682</v>
      </c>
      <c r="D171" s="107" t="s">
        <v>22</v>
      </c>
      <c r="E171" s="107" t="s">
        <v>22</v>
      </c>
      <c r="F171" s="107" t="s">
        <v>22</v>
      </c>
      <c r="G171" s="106" t="s">
        <v>24</v>
      </c>
      <c r="H171" s="107" t="s">
        <v>22</v>
      </c>
      <c r="I171" s="92" t="s">
        <v>16</v>
      </c>
      <c r="J171" s="106" t="s">
        <v>24</v>
      </c>
      <c r="K171" s="107" t="s">
        <v>22</v>
      </c>
      <c r="L171" s="92" t="s">
        <v>16</v>
      </c>
      <c r="M171" s="92" t="s">
        <v>16</v>
      </c>
      <c r="N171" s="18" t="n">
        <f aca="false">COUNTIF(D171:M171,"Natif")</f>
        <v>3</v>
      </c>
      <c r="O171" s="18" t="n">
        <f aca="false">COUNTIF(D171:M171,"Natif")+COUNTIF(D171:M171,"Officiel")</f>
        <v>3</v>
      </c>
    </row>
    <row r="172" customFormat="false" ht="15" hidden="false" customHeight="false" outlineLevel="0" collapsed="false">
      <c r="A172" s="38" t="s">
        <v>105</v>
      </c>
      <c r="B172" s="38" t="s">
        <v>113</v>
      </c>
      <c r="C172" s="105" t="s">
        <v>684</v>
      </c>
      <c r="D172" s="95" t="s">
        <v>18</v>
      </c>
      <c r="E172" s="92" t="s">
        <v>16</v>
      </c>
      <c r="F172" s="92" t="s">
        <v>16</v>
      </c>
      <c r="G172" s="106" t="s">
        <v>24</v>
      </c>
      <c r="H172" s="92" t="s">
        <v>16</v>
      </c>
      <c r="I172" s="92" t="s">
        <v>16</v>
      </c>
      <c r="J172" s="107" t="s">
        <v>22</v>
      </c>
      <c r="K172" s="107" t="s">
        <v>22</v>
      </c>
      <c r="L172" s="107" t="s">
        <v>22</v>
      </c>
      <c r="M172" s="107" t="s">
        <v>22</v>
      </c>
      <c r="N172" s="18" t="n">
        <f aca="false">COUNTIF(D172:M172,"Natif")</f>
        <v>4</v>
      </c>
      <c r="O172" s="18" t="n">
        <f aca="false">COUNTIF(D172:M172,"Natif")+COUNTIF(D172:M172,"Officiel")</f>
        <v>5</v>
      </c>
    </row>
    <row r="173" customFormat="false" ht="15" hidden="false" customHeight="false" outlineLevel="0" collapsed="false">
      <c r="A173" s="38" t="s">
        <v>105</v>
      </c>
      <c r="B173" s="38" t="s">
        <v>113</v>
      </c>
      <c r="C173" s="105" t="s">
        <v>686</v>
      </c>
      <c r="D173" s="107" t="s">
        <v>22</v>
      </c>
      <c r="E173" s="89" t="s">
        <v>20</v>
      </c>
      <c r="F173" s="92" t="s">
        <v>16</v>
      </c>
      <c r="G173" s="107" t="s">
        <v>22</v>
      </c>
      <c r="H173" s="92" t="s">
        <v>16</v>
      </c>
      <c r="I173" s="95" t="s">
        <v>18</v>
      </c>
      <c r="J173" s="92" t="s">
        <v>16</v>
      </c>
      <c r="K173" s="106" t="s">
        <v>24</v>
      </c>
      <c r="L173" s="89" t="s">
        <v>20</v>
      </c>
      <c r="M173" s="89" t="s">
        <v>20</v>
      </c>
      <c r="N173" s="18" t="n">
        <f aca="false">COUNTIF(D173:M173,"Natif")</f>
        <v>3</v>
      </c>
      <c r="O173" s="18" t="n">
        <f aca="false">COUNTIF(D173:M173,"Natif")+COUNTIF(D173:M173,"Officiel")</f>
        <v>4</v>
      </c>
    </row>
    <row r="174" customFormat="false" ht="15" hidden="false" customHeight="false" outlineLevel="0" collapsed="false">
      <c r="A174" s="38" t="s">
        <v>105</v>
      </c>
      <c r="B174" s="38" t="s">
        <v>113</v>
      </c>
      <c r="C174" s="105" t="s">
        <v>688</v>
      </c>
      <c r="D174" s="107" t="s">
        <v>22</v>
      </c>
      <c r="E174" s="107" t="s">
        <v>22</v>
      </c>
      <c r="F174" s="107" t="s">
        <v>22</v>
      </c>
      <c r="G174" s="92" t="s">
        <v>16</v>
      </c>
      <c r="H174" s="107" t="s">
        <v>22</v>
      </c>
      <c r="I174" s="107" t="s">
        <v>22</v>
      </c>
      <c r="J174" s="107" t="s">
        <v>22</v>
      </c>
      <c r="K174" s="92" t="s">
        <v>16</v>
      </c>
      <c r="L174" s="107" t="s">
        <v>22</v>
      </c>
      <c r="M174" s="107" t="s">
        <v>22</v>
      </c>
      <c r="N174" s="18" t="n">
        <f aca="false">COUNTIF(D174:M174,"Natif")</f>
        <v>2</v>
      </c>
      <c r="O174" s="18" t="n">
        <f aca="false">COUNTIF(D174:M174,"Natif")+COUNTIF(D174:M174,"Officiel")</f>
        <v>2</v>
      </c>
    </row>
    <row r="175" customFormat="false" ht="15" hidden="false" customHeight="false" outlineLevel="0" collapsed="false">
      <c r="A175" s="38" t="s">
        <v>105</v>
      </c>
      <c r="B175" s="38" t="s">
        <v>113</v>
      </c>
      <c r="C175" s="105" t="s">
        <v>690</v>
      </c>
      <c r="D175" s="92" t="s">
        <v>16</v>
      </c>
      <c r="E175" s="92" t="s">
        <v>16</v>
      </c>
      <c r="F175" s="92" t="s">
        <v>16</v>
      </c>
      <c r="G175" s="92" t="s">
        <v>16</v>
      </c>
      <c r="H175" s="92" t="s">
        <v>16</v>
      </c>
      <c r="I175" s="92" t="s">
        <v>16</v>
      </c>
      <c r="J175" s="92" t="s">
        <v>16</v>
      </c>
      <c r="K175" s="92" t="s">
        <v>16</v>
      </c>
      <c r="L175" s="107" t="s">
        <v>22</v>
      </c>
      <c r="M175" s="107" t="s">
        <v>22</v>
      </c>
      <c r="N175" s="18" t="n">
        <f aca="false">COUNTIF(D175:M175,"Natif")</f>
        <v>8</v>
      </c>
      <c r="O175" s="18" t="n">
        <f aca="false">COUNTIF(D175:M175,"Natif")+COUNTIF(D175:M175,"Officiel")</f>
        <v>8</v>
      </c>
    </row>
    <row r="176" customFormat="false" ht="15" hidden="false" customHeight="false" outlineLevel="0" collapsed="false">
      <c r="A176" s="38" t="s">
        <v>105</v>
      </c>
      <c r="B176" s="38" t="s">
        <v>114</v>
      </c>
      <c r="C176" s="105" t="s">
        <v>701</v>
      </c>
      <c r="D176" s="92" t="s">
        <v>16</v>
      </c>
      <c r="E176" s="92" t="s">
        <v>16</v>
      </c>
      <c r="F176" s="107" t="s">
        <v>22</v>
      </c>
      <c r="G176" s="92" t="s">
        <v>16</v>
      </c>
      <c r="H176" s="106" t="s">
        <v>24</v>
      </c>
      <c r="I176" s="92" t="s">
        <v>16</v>
      </c>
      <c r="J176" s="107" t="s">
        <v>22</v>
      </c>
      <c r="K176" s="106" t="s">
        <v>24</v>
      </c>
      <c r="L176" s="92" t="s">
        <v>16</v>
      </c>
      <c r="M176" s="106" t="s">
        <v>24</v>
      </c>
      <c r="N176" s="18" t="n">
        <f aca="false">COUNTIF(D176:M176,"Natif")</f>
        <v>5</v>
      </c>
      <c r="O176" s="18" t="n">
        <f aca="false">COUNTIF(D176:M176,"Natif")+COUNTIF(D176:M176,"Officiel")</f>
        <v>5</v>
      </c>
    </row>
    <row r="177" customFormat="false" ht="15" hidden="false" customHeight="false" outlineLevel="0" collapsed="false">
      <c r="A177" s="38" t="s">
        <v>105</v>
      </c>
      <c r="B177" s="38" t="s">
        <v>114</v>
      </c>
      <c r="C177" s="105" t="s">
        <v>703</v>
      </c>
      <c r="D177" s="95" t="s">
        <v>18</v>
      </c>
      <c r="E177" s="92" t="s">
        <v>16</v>
      </c>
      <c r="F177" s="92" t="s">
        <v>16</v>
      </c>
      <c r="G177" s="92" t="s">
        <v>16</v>
      </c>
      <c r="H177" s="92" t="s">
        <v>16</v>
      </c>
      <c r="I177" s="92" t="s">
        <v>16</v>
      </c>
      <c r="J177" s="92" t="s">
        <v>16</v>
      </c>
      <c r="K177" s="92" t="s">
        <v>16</v>
      </c>
      <c r="L177" s="92" t="s">
        <v>16</v>
      </c>
      <c r="M177" s="92" t="s">
        <v>16</v>
      </c>
      <c r="N177" s="18" t="n">
        <f aca="false">COUNTIF(D177:M177,"Natif")</f>
        <v>9</v>
      </c>
      <c r="O177" s="18" t="n">
        <f aca="false">COUNTIF(D177:M177,"Natif")+COUNTIF(D177:M177,"Officiel")</f>
        <v>10</v>
      </c>
    </row>
    <row r="178" customFormat="false" ht="15" hidden="false" customHeight="false" outlineLevel="0" collapsed="false">
      <c r="A178" s="38" t="s">
        <v>105</v>
      </c>
      <c r="B178" s="38" t="s">
        <v>114</v>
      </c>
      <c r="C178" s="105" t="s">
        <v>705</v>
      </c>
      <c r="D178" s="92" t="s">
        <v>16</v>
      </c>
      <c r="E178" s="95" t="s">
        <v>18</v>
      </c>
      <c r="F178" s="92" t="s">
        <v>16</v>
      </c>
      <c r="G178" s="106" t="s">
        <v>24</v>
      </c>
      <c r="H178" s="106" t="s">
        <v>24</v>
      </c>
      <c r="I178" s="92" t="s">
        <v>16</v>
      </c>
      <c r="J178" s="95" t="s">
        <v>18</v>
      </c>
      <c r="K178" s="106" t="s">
        <v>24</v>
      </c>
      <c r="L178" s="92" t="s">
        <v>16</v>
      </c>
      <c r="M178" s="106" t="s">
        <v>24</v>
      </c>
      <c r="N178" s="18" t="n">
        <f aca="false">COUNTIF(D178:M178,"Natif")</f>
        <v>4</v>
      </c>
      <c r="O178" s="18" t="n">
        <f aca="false">COUNTIF(D178:M178,"Natif")+COUNTIF(D178:M178,"Officiel")</f>
        <v>6</v>
      </c>
    </row>
    <row r="179" customFormat="false" ht="15" hidden="false" customHeight="false" outlineLevel="0" collapsed="false">
      <c r="A179" s="38" t="s">
        <v>105</v>
      </c>
      <c r="B179" s="38" t="s">
        <v>114</v>
      </c>
      <c r="C179" s="105" t="s">
        <v>707</v>
      </c>
      <c r="D179" s="92" t="s">
        <v>16</v>
      </c>
      <c r="E179" s="107" t="s">
        <v>22</v>
      </c>
      <c r="F179" s="106" t="s">
        <v>24</v>
      </c>
      <c r="G179" s="106" t="s">
        <v>24</v>
      </c>
      <c r="H179" s="106" t="s">
        <v>24</v>
      </c>
      <c r="I179" s="106" t="s">
        <v>24</v>
      </c>
      <c r="J179" s="106" t="s">
        <v>24</v>
      </c>
      <c r="K179" s="106" t="s">
        <v>24</v>
      </c>
      <c r="L179" s="106" t="s">
        <v>24</v>
      </c>
      <c r="M179" s="106" t="s">
        <v>24</v>
      </c>
      <c r="N179" s="18" t="n">
        <f aca="false">COUNTIF(D179:M179,"Natif")</f>
        <v>1</v>
      </c>
      <c r="O179" s="18" t="n">
        <f aca="false">COUNTIF(D179:M179,"Natif")+COUNTIF(D179:M179,"Officiel")</f>
        <v>1</v>
      </c>
    </row>
    <row r="180" customFormat="false" ht="15" hidden="false" customHeight="false" outlineLevel="0" collapsed="false">
      <c r="A180" s="38" t="s">
        <v>105</v>
      </c>
      <c r="B180" s="38" t="s">
        <v>114</v>
      </c>
      <c r="C180" s="105" t="s">
        <v>708</v>
      </c>
      <c r="D180" s="107" t="s">
        <v>22</v>
      </c>
      <c r="E180" s="92" t="s">
        <v>16</v>
      </c>
      <c r="F180" s="92" t="s">
        <v>16</v>
      </c>
      <c r="G180" s="89" t="s">
        <v>20</v>
      </c>
      <c r="H180" s="92" t="s">
        <v>16</v>
      </c>
      <c r="I180" s="92" t="s">
        <v>16</v>
      </c>
      <c r="J180" s="95" t="s">
        <v>18</v>
      </c>
      <c r="K180" s="106" t="s">
        <v>24</v>
      </c>
      <c r="L180" s="92" t="s">
        <v>16</v>
      </c>
      <c r="M180" s="92" t="s">
        <v>16</v>
      </c>
      <c r="N180" s="18" t="n">
        <f aca="false">COUNTIF(D180:M180,"Natif")</f>
        <v>6</v>
      </c>
      <c r="O180" s="18" t="n">
        <f aca="false">COUNTIF(D180:M180,"Natif")+COUNTIF(D180:M180,"Officiel")</f>
        <v>7</v>
      </c>
    </row>
    <row r="181" customFormat="false" ht="15" hidden="false" customHeight="false" outlineLevel="0" collapsed="false">
      <c r="A181" s="38" t="s">
        <v>105</v>
      </c>
      <c r="B181" s="38" t="s">
        <v>114</v>
      </c>
      <c r="C181" s="105" t="s">
        <v>710</v>
      </c>
      <c r="D181" s="92" t="s">
        <v>16</v>
      </c>
      <c r="E181" s="107" t="s">
        <v>22</v>
      </c>
      <c r="F181" s="107" t="s">
        <v>22</v>
      </c>
      <c r="G181" s="92" t="s">
        <v>16</v>
      </c>
      <c r="H181" s="107" t="s">
        <v>22</v>
      </c>
      <c r="I181" s="107" t="s">
        <v>22</v>
      </c>
      <c r="J181" s="92" t="s">
        <v>16</v>
      </c>
      <c r="K181" s="107" t="s">
        <v>22</v>
      </c>
      <c r="L181" s="107" t="s">
        <v>22</v>
      </c>
      <c r="M181" s="107" t="s">
        <v>22</v>
      </c>
      <c r="N181" s="18" t="n">
        <f aca="false">COUNTIF(D181:M181,"Natif")</f>
        <v>3</v>
      </c>
      <c r="O181" s="18" t="n">
        <f aca="false">COUNTIF(D181:M181,"Natif")+COUNTIF(D181:M181,"Officiel")</f>
        <v>3</v>
      </c>
    </row>
    <row r="182" customFormat="false" ht="15" hidden="false" customHeight="false" outlineLevel="0" collapsed="false">
      <c r="A182" s="38" t="s">
        <v>105</v>
      </c>
      <c r="B182" s="38" t="s">
        <v>115</v>
      </c>
      <c r="C182" s="105" t="s">
        <v>722</v>
      </c>
      <c r="D182" s="95" t="s">
        <v>18</v>
      </c>
      <c r="E182" s="89" t="s">
        <v>20</v>
      </c>
      <c r="F182" s="89" t="s">
        <v>20</v>
      </c>
      <c r="G182" s="89" t="s">
        <v>20</v>
      </c>
      <c r="H182" s="89" t="s">
        <v>20</v>
      </c>
      <c r="I182" s="89" t="s">
        <v>20</v>
      </c>
      <c r="J182" s="95" t="s">
        <v>18</v>
      </c>
      <c r="K182" s="95" t="s">
        <v>18</v>
      </c>
      <c r="L182" s="106" t="s">
        <v>24</v>
      </c>
      <c r="M182" s="106" t="s">
        <v>24</v>
      </c>
      <c r="N182" s="18" t="n">
        <f aca="false">COUNTIF(D182:M182,"Natif")</f>
        <v>0</v>
      </c>
      <c r="O182" s="18" t="n">
        <f aca="false">COUNTIF(D182:M182,"Natif")+COUNTIF(D182:M182,"Officiel")</f>
        <v>3</v>
      </c>
    </row>
    <row r="183" customFormat="false" ht="15" hidden="false" customHeight="false" outlineLevel="0" collapsed="false">
      <c r="A183" s="38" t="s">
        <v>105</v>
      </c>
      <c r="B183" s="38" t="s">
        <v>115</v>
      </c>
      <c r="C183" s="105" t="s">
        <v>724</v>
      </c>
      <c r="D183" s="95" t="s">
        <v>18</v>
      </c>
      <c r="E183" s="89" t="s">
        <v>20</v>
      </c>
      <c r="F183" s="89" t="s">
        <v>20</v>
      </c>
      <c r="G183" s="89" t="s">
        <v>20</v>
      </c>
      <c r="H183" s="89" t="s">
        <v>20</v>
      </c>
      <c r="I183" s="106" t="s">
        <v>24</v>
      </c>
      <c r="J183" s="95" t="s">
        <v>18</v>
      </c>
      <c r="K183" s="95" t="s">
        <v>18</v>
      </c>
      <c r="L183" s="106" t="s">
        <v>24</v>
      </c>
      <c r="M183" s="106" t="s">
        <v>24</v>
      </c>
      <c r="N183" s="18" t="n">
        <f aca="false">COUNTIF(D183:M183,"Natif")</f>
        <v>0</v>
      </c>
      <c r="O183" s="18" t="n">
        <f aca="false">COUNTIF(D183:M183,"Natif")+COUNTIF(D183:M183,"Officiel")</f>
        <v>3</v>
      </c>
    </row>
    <row r="184" customFormat="false" ht="15" hidden="false" customHeight="false" outlineLevel="0" collapsed="false">
      <c r="A184" s="38" t="s">
        <v>105</v>
      </c>
      <c r="B184" s="38" t="s">
        <v>115</v>
      </c>
      <c r="C184" s="105" t="s">
        <v>726</v>
      </c>
      <c r="D184" s="95" t="s">
        <v>18</v>
      </c>
      <c r="E184" s="89" t="s">
        <v>20</v>
      </c>
      <c r="F184" s="89" t="s">
        <v>20</v>
      </c>
      <c r="G184" s="89" t="s">
        <v>20</v>
      </c>
      <c r="H184" s="89" t="s">
        <v>20</v>
      </c>
      <c r="I184" s="89" t="s">
        <v>20</v>
      </c>
      <c r="J184" s="101" t="s">
        <v>26</v>
      </c>
      <c r="K184" s="106" t="s">
        <v>24</v>
      </c>
      <c r="L184" s="106" t="s">
        <v>24</v>
      </c>
      <c r="M184" s="106" t="s">
        <v>24</v>
      </c>
      <c r="N184" s="18" t="n">
        <f aca="false">COUNTIF(D184:M184,"Natif")</f>
        <v>0</v>
      </c>
      <c r="O184" s="18" t="n">
        <f aca="false">COUNTIF(D184:M184,"Natif")+COUNTIF(D184:M184,"Officiel")</f>
        <v>1</v>
      </c>
    </row>
    <row r="185" customFormat="false" ht="15" hidden="false" customHeight="false" outlineLevel="0" collapsed="false">
      <c r="A185" s="38" t="s">
        <v>105</v>
      </c>
      <c r="B185" s="38" t="s">
        <v>115</v>
      </c>
      <c r="C185" s="105" t="s">
        <v>728</v>
      </c>
      <c r="D185" s="89" t="s">
        <v>20</v>
      </c>
      <c r="E185" s="89" t="s">
        <v>20</v>
      </c>
      <c r="F185" s="89" t="s">
        <v>20</v>
      </c>
      <c r="G185" s="89" t="s">
        <v>20</v>
      </c>
      <c r="H185" s="101" t="s">
        <v>26</v>
      </c>
      <c r="I185" s="89" t="s">
        <v>20</v>
      </c>
      <c r="J185" s="95" t="s">
        <v>18</v>
      </c>
      <c r="K185" s="95" t="s">
        <v>18</v>
      </c>
      <c r="L185" s="106" t="s">
        <v>24</v>
      </c>
      <c r="M185" s="106" t="s">
        <v>24</v>
      </c>
      <c r="N185" s="18" t="n">
        <f aca="false">COUNTIF(D185:M185,"Natif")</f>
        <v>0</v>
      </c>
      <c r="O185" s="18" t="n">
        <f aca="false">COUNTIF(D185:M185,"Natif")+COUNTIF(D185:M185,"Officiel")</f>
        <v>2</v>
      </c>
    </row>
    <row r="186" customFormat="false" ht="15" hidden="false" customHeight="false" outlineLevel="0" collapsed="false">
      <c r="A186" s="38" t="s">
        <v>105</v>
      </c>
      <c r="B186" s="38" t="s">
        <v>115</v>
      </c>
      <c r="C186" s="105" t="s">
        <v>730</v>
      </c>
      <c r="D186" s="95" t="s">
        <v>18</v>
      </c>
      <c r="E186" s="89" t="s">
        <v>20</v>
      </c>
      <c r="F186" s="89" t="s">
        <v>20</v>
      </c>
      <c r="G186" s="89" t="s">
        <v>20</v>
      </c>
      <c r="H186" s="89" t="s">
        <v>20</v>
      </c>
      <c r="I186" s="95" t="s">
        <v>18</v>
      </c>
      <c r="J186" s="95" t="s">
        <v>18</v>
      </c>
      <c r="K186" s="95" t="s">
        <v>18</v>
      </c>
      <c r="L186" s="107" t="s">
        <v>22</v>
      </c>
      <c r="M186" s="106" t="s">
        <v>24</v>
      </c>
      <c r="N186" s="18" t="n">
        <f aca="false">COUNTIF(D186:M186,"Natif")</f>
        <v>0</v>
      </c>
      <c r="O186" s="18" t="n">
        <f aca="false">COUNTIF(D186:M186,"Natif")+COUNTIF(D186:M186,"Officiel")</f>
        <v>4</v>
      </c>
    </row>
    <row r="187" customFormat="false" ht="15" hidden="false" customHeight="false" outlineLevel="0" collapsed="false">
      <c r="A187" s="38" t="s">
        <v>116</v>
      </c>
      <c r="B187" s="38" t="s">
        <v>117</v>
      </c>
      <c r="C187" s="105" t="s">
        <v>739</v>
      </c>
      <c r="D187" s="92" t="s">
        <v>16</v>
      </c>
      <c r="E187" s="107" t="s">
        <v>22</v>
      </c>
      <c r="F187" s="107" t="s">
        <v>22</v>
      </c>
      <c r="G187" s="106" t="s">
        <v>24</v>
      </c>
      <c r="H187" s="89" t="s">
        <v>20</v>
      </c>
      <c r="I187" s="89" t="s">
        <v>20</v>
      </c>
      <c r="J187" s="107" t="s">
        <v>22</v>
      </c>
      <c r="K187" s="106" t="s">
        <v>24</v>
      </c>
      <c r="L187" s="106" t="s">
        <v>24</v>
      </c>
      <c r="M187" s="106" t="s">
        <v>24</v>
      </c>
      <c r="N187" s="18" t="n">
        <f aca="false">COUNTIF(D187:M187,"Natif")</f>
        <v>1</v>
      </c>
      <c r="O187" s="18" t="n">
        <f aca="false">COUNTIF(D187:M187,"Natif")+COUNTIF(D187:M187,"Officiel")</f>
        <v>1</v>
      </c>
    </row>
    <row r="188" customFormat="false" ht="15" hidden="false" customHeight="false" outlineLevel="0" collapsed="false">
      <c r="A188" s="38" t="s">
        <v>116</v>
      </c>
      <c r="B188" s="38" t="s">
        <v>117</v>
      </c>
      <c r="C188" s="105" t="s">
        <v>741</v>
      </c>
      <c r="D188" s="89" t="s">
        <v>20</v>
      </c>
      <c r="E188" s="89" t="s">
        <v>20</v>
      </c>
      <c r="F188" s="89" t="s">
        <v>20</v>
      </c>
      <c r="G188" s="89" t="s">
        <v>20</v>
      </c>
      <c r="H188" s="89" t="s">
        <v>20</v>
      </c>
      <c r="I188" s="89" t="s">
        <v>20</v>
      </c>
      <c r="J188" s="89" t="s">
        <v>20</v>
      </c>
      <c r="K188" s="106" t="s">
        <v>24</v>
      </c>
      <c r="L188" s="106" t="s">
        <v>24</v>
      </c>
      <c r="M188" s="106" t="s">
        <v>24</v>
      </c>
      <c r="N188" s="18" t="n">
        <f aca="false">COUNTIF(D188:M188,"Natif")</f>
        <v>0</v>
      </c>
      <c r="O188" s="18" t="n">
        <f aca="false">COUNTIF(D188:M188,"Natif")+COUNTIF(D188:M188,"Officiel")</f>
        <v>0</v>
      </c>
    </row>
    <row r="189" customFormat="false" ht="15" hidden="false" customHeight="false" outlineLevel="0" collapsed="false">
      <c r="A189" s="38" t="s">
        <v>116</v>
      </c>
      <c r="B189" s="38" t="s">
        <v>117</v>
      </c>
      <c r="C189" s="105" t="s">
        <v>743</v>
      </c>
      <c r="D189" s="92" t="s">
        <v>16</v>
      </c>
      <c r="E189" s="107" t="s">
        <v>22</v>
      </c>
      <c r="F189" s="106" t="s">
        <v>24</v>
      </c>
      <c r="G189" s="106" t="s">
        <v>24</v>
      </c>
      <c r="H189" s="106" t="s">
        <v>24</v>
      </c>
      <c r="I189" s="106" t="s">
        <v>24</v>
      </c>
      <c r="J189" s="106" t="s">
        <v>24</v>
      </c>
      <c r="K189" s="106" t="s">
        <v>24</v>
      </c>
      <c r="L189" s="106" t="s">
        <v>24</v>
      </c>
      <c r="M189" s="107" t="s">
        <v>22</v>
      </c>
      <c r="N189" s="18" t="n">
        <f aca="false">COUNTIF(D189:M189,"Natif")</f>
        <v>1</v>
      </c>
      <c r="O189" s="18" t="n">
        <f aca="false">COUNTIF(D189:M189,"Natif")+COUNTIF(D189:M189,"Officiel")</f>
        <v>1</v>
      </c>
    </row>
    <row r="190" customFormat="false" ht="15" hidden="false" customHeight="false" outlineLevel="0" collapsed="false">
      <c r="A190" s="38" t="s">
        <v>116</v>
      </c>
      <c r="B190" s="38" t="s">
        <v>117</v>
      </c>
      <c r="C190" s="105" t="s">
        <v>745</v>
      </c>
      <c r="D190" s="92" t="s">
        <v>16</v>
      </c>
      <c r="E190" s="107" t="s">
        <v>22</v>
      </c>
      <c r="F190" s="106" t="s">
        <v>24</v>
      </c>
      <c r="G190" s="106" t="s">
        <v>24</v>
      </c>
      <c r="H190" s="106" t="s">
        <v>24</v>
      </c>
      <c r="I190" s="106" t="s">
        <v>24</v>
      </c>
      <c r="J190" s="107" t="s">
        <v>22</v>
      </c>
      <c r="K190" s="106" t="s">
        <v>24</v>
      </c>
      <c r="L190" s="106" t="s">
        <v>24</v>
      </c>
      <c r="M190" s="106" t="s">
        <v>24</v>
      </c>
      <c r="N190" s="18" t="n">
        <f aca="false">COUNTIF(D190:M190,"Natif")</f>
        <v>1</v>
      </c>
      <c r="O190" s="18" t="n">
        <f aca="false">COUNTIF(D190:M190,"Natif")+COUNTIF(D190:M190,"Officiel")</f>
        <v>1</v>
      </c>
    </row>
    <row r="191" customFormat="false" ht="15" hidden="false" customHeight="false" outlineLevel="0" collapsed="false">
      <c r="A191" s="38" t="s">
        <v>116</v>
      </c>
      <c r="B191" s="38" t="s">
        <v>117</v>
      </c>
      <c r="C191" s="105" t="s">
        <v>747</v>
      </c>
      <c r="D191" s="107" t="s">
        <v>22</v>
      </c>
      <c r="E191" s="107" t="s">
        <v>22</v>
      </c>
      <c r="F191" s="107" t="s">
        <v>22</v>
      </c>
      <c r="G191" s="106" t="s">
        <v>24</v>
      </c>
      <c r="H191" s="107" t="s">
        <v>22</v>
      </c>
      <c r="I191" s="107" t="s">
        <v>22</v>
      </c>
      <c r="J191" s="107" t="s">
        <v>22</v>
      </c>
      <c r="K191" s="107" t="s">
        <v>22</v>
      </c>
      <c r="L191" s="106" t="s">
        <v>24</v>
      </c>
      <c r="M191" s="106" t="s">
        <v>24</v>
      </c>
      <c r="N191" s="18" t="n">
        <f aca="false">COUNTIF(D191:M191,"Natif")</f>
        <v>0</v>
      </c>
      <c r="O191" s="18" t="n">
        <f aca="false">COUNTIF(D191:M191,"Natif")+COUNTIF(D191:M191,"Officiel")</f>
        <v>0</v>
      </c>
    </row>
    <row r="192" customFormat="false" ht="15" hidden="false" customHeight="false" outlineLevel="0" collapsed="false">
      <c r="A192" s="38" t="s">
        <v>116</v>
      </c>
      <c r="B192" s="38" t="s">
        <v>118</v>
      </c>
      <c r="C192" s="105" t="s">
        <v>749</v>
      </c>
      <c r="D192" s="92" t="s">
        <v>16</v>
      </c>
      <c r="E192" s="95" t="s">
        <v>18</v>
      </c>
      <c r="F192" s="92" t="s">
        <v>16</v>
      </c>
      <c r="G192" s="107" t="s">
        <v>22</v>
      </c>
      <c r="H192" s="92" t="s">
        <v>16</v>
      </c>
      <c r="I192" s="92" t="s">
        <v>16</v>
      </c>
      <c r="J192" s="95" t="s">
        <v>18</v>
      </c>
      <c r="K192" s="92" t="s">
        <v>16</v>
      </c>
      <c r="L192" s="92" t="s">
        <v>16</v>
      </c>
      <c r="M192" s="92" t="s">
        <v>16</v>
      </c>
      <c r="N192" s="18" t="n">
        <f aca="false">COUNTIF(D192:M192,"Natif")</f>
        <v>7</v>
      </c>
      <c r="O192" s="18" t="n">
        <f aca="false">COUNTIF(D192:M192,"Natif")+COUNTIF(D192:M192,"Officiel")</f>
        <v>9</v>
      </c>
    </row>
    <row r="193" customFormat="false" ht="15" hidden="false" customHeight="false" outlineLevel="0" collapsed="false">
      <c r="A193" s="38" t="s">
        <v>116</v>
      </c>
      <c r="B193" s="38" t="s">
        <v>118</v>
      </c>
      <c r="C193" s="105" t="s">
        <v>751</v>
      </c>
      <c r="D193" s="95" t="s">
        <v>18</v>
      </c>
      <c r="E193" s="89" t="s">
        <v>20</v>
      </c>
      <c r="F193" s="89" t="s">
        <v>20</v>
      </c>
      <c r="G193" s="89" t="s">
        <v>20</v>
      </c>
      <c r="H193" s="89" t="s">
        <v>20</v>
      </c>
      <c r="I193" s="92" t="s">
        <v>16</v>
      </c>
      <c r="J193" s="101" t="s">
        <v>26</v>
      </c>
      <c r="K193" s="106" t="s">
        <v>24</v>
      </c>
      <c r="L193" s="95" t="s">
        <v>18</v>
      </c>
      <c r="M193" s="106" t="s">
        <v>24</v>
      </c>
      <c r="N193" s="18" t="n">
        <f aca="false">COUNTIF(D193:M193,"Natif")</f>
        <v>1</v>
      </c>
      <c r="O193" s="18" t="n">
        <f aca="false">COUNTIF(D193:M193,"Natif")+COUNTIF(D193:M193,"Officiel")</f>
        <v>3</v>
      </c>
    </row>
    <row r="194" customFormat="false" ht="15" hidden="false" customHeight="false" outlineLevel="0" collapsed="false">
      <c r="A194" s="38" t="s">
        <v>116</v>
      </c>
      <c r="B194" s="38" t="s">
        <v>118</v>
      </c>
      <c r="C194" s="105" t="s">
        <v>753</v>
      </c>
      <c r="D194" s="89" t="s">
        <v>20</v>
      </c>
      <c r="E194" s="89" t="s">
        <v>20</v>
      </c>
      <c r="F194" s="89" t="s">
        <v>20</v>
      </c>
      <c r="G194" s="89" t="s">
        <v>20</v>
      </c>
      <c r="H194" s="89" t="s">
        <v>20</v>
      </c>
      <c r="I194" s="95" t="s">
        <v>18</v>
      </c>
      <c r="J194" s="89" t="s">
        <v>20</v>
      </c>
      <c r="K194" s="106" t="s">
        <v>24</v>
      </c>
      <c r="L194" s="92" t="s">
        <v>16</v>
      </c>
      <c r="M194" s="106" t="s">
        <v>24</v>
      </c>
      <c r="N194" s="18" t="n">
        <f aca="false">COUNTIF(D194:M194,"Natif")</f>
        <v>1</v>
      </c>
      <c r="O194" s="18" t="n">
        <f aca="false">COUNTIF(D194:M194,"Natif")+COUNTIF(D194:M194,"Officiel")</f>
        <v>2</v>
      </c>
    </row>
    <row r="195" customFormat="false" ht="15" hidden="false" customHeight="false" outlineLevel="0" collapsed="false">
      <c r="A195" s="38" t="s">
        <v>116</v>
      </c>
      <c r="B195" s="38" t="s">
        <v>118</v>
      </c>
      <c r="C195" s="105" t="s">
        <v>755</v>
      </c>
      <c r="D195" s="89" t="s">
        <v>20</v>
      </c>
      <c r="E195" s="107" t="s">
        <v>22</v>
      </c>
      <c r="F195" s="89" t="s">
        <v>20</v>
      </c>
      <c r="G195" s="89" t="s">
        <v>20</v>
      </c>
      <c r="H195" s="95" t="s">
        <v>18</v>
      </c>
      <c r="I195" s="106" t="s">
        <v>24</v>
      </c>
      <c r="J195" s="95" t="s">
        <v>18</v>
      </c>
      <c r="K195" s="106" t="s">
        <v>24</v>
      </c>
      <c r="L195" s="107" t="s">
        <v>22</v>
      </c>
      <c r="M195" s="106" t="s">
        <v>24</v>
      </c>
      <c r="N195" s="18" t="n">
        <f aca="false">COUNTIF(D195:M195,"Natif")</f>
        <v>0</v>
      </c>
      <c r="O195" s="18" t="n">
        <f aca="false">COUNTIF(D195:M195,"Natif")+COUNTIF(D195:M195,"Officiel")</f>
        <v>2</v>
      </c>
    </row>
    <row r="196" customFormat="false" ht="15" hidden="false" customHeight="false" outlineLevel="0" collapsed="false">
      <c r="A196" s="38" t="s">
        <v>116</v>
      </c>
      <c r="B196" s="38" t="s">
        <v>119</v>
      </c>
      <c r="C196" s="105" t="s">
        <v>756</v>
      </c>
      <c r="D196" s="92" t="s">
        <v>16</v>
      </c>
      <c r="E196" s="92" t="s">
        <v>16</v>
      </c>
      <c r="F196" s="92" t="s">
        <v>16</v>
      </c>
      <c r="G196" s="92" t="s">
        <v>16</v>
      </c>
      <c r="H196" s="92" t="s">
        <v>16</v>
      </c>
      <c r="I196" s="92" t="s">
        <v>16</v>
      </c>
      <c r="J196" s="95" t="s">
        <v>18</v>
      </c>
      <c r="K196" s="92" t="s">
        <v>16</v>
      </c>
      <c r="L196" s="92" t="s">
        <v>16</v>
      </c>
      <c r="M196" s="92" t="s">
        <v>16</v>
      </c>
      <c r="N196" s="18" t="n">
        <f aca="false">COUNTIF(D196:M196,"Natif")</f>
        <v>9</v>
      </c>
      <c r="O196" s="18" t="n">
        <f aca="false">COUNTIF(D196:M196,"Natif")+COUNTIF(D196:M196,"Officiel")</f>
        <v>10</v>
      </c>
    </row>
    <row r="197" customFormat="false" ht="15" hidden="false" customHeight="false" outlineLevel="0" collapsed="false">
      <c r="A197" s="38" t="s">
        <v>116</v>
      </c>
      <c r="B197" s="38" t="s">
        <v>119</v>
      </c>
      <c r="C197" s="105" t="s">
        <v>758</v>
      </c>
      <c r="D197" s="107" t="s">
        <v>22</v>
      </c>
      <c r="E197" s="107" t="s">
        <v>22</v>
      </c>
      <c r="F197" s="89" t="s">
        <v>20</v>
      </c>
      <c r="G197" s="92" t="s">
        <v>16</v>
      </c>
      <c r="H197" s="92" t="s">
        <v>16</v>
      </c>
      <c r="I197" s="92" t="s">
        <v>16</v>
      </c>
      <c r="J197" s="95" t="s">
        <v>18</v>
      </c>
      <c r="K197" s="92" t="s">
        <v>16</v>
      </c>
      <c r="L197" s="92" t="s">
        <v>16</v>
      </c>
      <c r="M197" s="92" t="s">
        <v>16</v>
      </c>
      <c r="N197" s="18" t="n">
        <f aca="false">COUNTIF(D197:M197,"Natif")</f>
        <v>6</v>
      </c>
      <c r="O197" s="18" t="n">
        <f aca="false">COUNTIF(D197:M197,"Natif")+COUNTIF(D197:M197,"Officiel")</f>
        <v>7</v>
      </c>
    </row>
    <row r="198" customFormat="false" ht="15" hidden="false" customHeight="false" outlineLevel="0" collapsed="false">
      <c r="A198" s="38" t="s">
        <v>116</v>
      </c>
      <c r="B198" s="38" t="s">
        <v>119</v>
      </c>
      <c r="C198" s="105" t="s">
        <v>759</v>
      </c>
      <c r="D198" s="107" t="s">
        <v>22</v>
      </c>
      <c r="E198" s="107" t="s">
        <v>22</v>
      </c>
      <c r="F198" s="95" t="s">
        <v>18</v>
      </c>
      <c r="G198" s="92" t="s">
        <v>16</v>
      </c>
      <c r="H198" s="95" t="s">
        <v>18</v>
      </c>
      <c r="I198" s="92" t="s">
        <v>16</v>
      </c>
      <c r="J198" s="95" t="s">
        <v>18</v>
      </c>
      <c r="K198" s="92" t="s">
        <v>16</v>
      </c>
      <c r="L198" s="107" t="s">
        <v>22</v>
      </c>
      <c r="M198" s="92" t="s">
        <v>16</v>
      </c>
      <c r="N198" s="18" t="n">
        <f aca="false">COUNTIF(D198:M198,"Natif")</f>
        <v>4</v>
      </c>
      <c r="O198" s="18" t="n">
        <f aca="false">COUNTIF(D198:M198,"Natif")+COUNTIF(D198:M198,"Officiel")</f>
        <v>7</v>
      </c>
    </row>
    <row r="199" customFormat="false" ht="15" hidden="false" customHeight="false" outlineLevel="0" collapsed="false">
      <c r="A199" s="38" t="s">
        <v>116</v>
      </c>
      <c r="B199" s="38" t="s">
        <v>119</v>
      </c>
      <c r="C199" s="105" t="s">
        <v>761</v>
      </c>
      <c r="D199" s="92" t="s">
        <v>16</v>
      </c>
      <c r="E199" s="92" t="s">
        <v>16</v>
      </c>
      <c r="F199" s="92" t="s">
        <v>16</v>
      </c>
      <c r="G199" s="92" t="s">
        <v>16</v>
      </c>
      <c r="H199" s="92" t="s">
        <v>16</v>
      </c>
      <c r="I199" s="92" t="s">
        <v>16</v>
      </c>
      <c r="J199" s="95" t="s">
        <v>18</v>
      </c>
      <c r="K199" s="92" t="s">
        <v>16</v>
      </c>
      <c r="L199" s="107" t="s">
        <v>22</v>
      </c>
      <c r="M199" s="107" t="s">
        <v>22</v>
      </c>
      <c r="N199" s="18" t="n">
        <f aca="false">COUNTIF(D199:M199,"Natif")</f>
        <v>7</v>
      </c>
      <c r="O199" s="18" t="n">
        <f aca="false">COUNTIF(D199:M199,"Natif")+COUNTIF(D199:M199,"Officiel")</f>
        <v>8</v>
      </c>
    </row>
    <row r="200" customFormat="false" ht="15" hidden="false" customHeight="false" outlineLevel="0" collapsed="false">
      <c r="A200" s="38" t="s">
        <v>116</v>
      </c>
      <c r="B200" s="38" t="s">
        <v>119</v>
      </c>
      <c r="C200" s="105" t="s">
        <v>763</v>
      </c>
      <c r="D200" s="107" t="s">
        <v>22</v>
      </c>
      <c r="E200" s="92" t="s">
        <v>16</v>
      </c>
      <c r="F200" s="107" t="s">
        <v>22</v>
      </c>
      <c r="G200" s="92" t="s">
        <v>16</v>
      </c>
      <c r="H200" s="92" t="s">
        <v>16</v>
      </c>
      <c r="I200" s="92" t="s">
        <v>16</v>
      </c>
      <c r="J200" s="95" t="s">
        <v>18</v>
      </c>
      <c r="K200" s="92" t="s">
        <v>16</v>
      </c>
      <c r="L200" s="107" t="s">
        <v>22</v>
      </c>
      <c r="M200" s="92" t="s">
        <v>16</v>
      </c>
      <c r="N200" s="18" t="n">
        <f aca="false">COUNTIF(D200:M200,"Natif")</f>
        <v>6</v>
      </c>
      <c r="O200" s="18" t="n">
        <f aca="false">COUNTIF(D200:M200,"Natif")+COUNTIF(D200:M200,"Officiel")</f>
        <v>7</v>
      </c>
    </row>
    <row r="201" customFormat="false" ht="15" hidden="false" customHeight="false" outlineLevel="0" collapsed="false">
      <c r="A201" s="38" t="s">
        <v>116</v>
      </c>
      <c r="B201" s="38" t="s">
        <v>119</v>
      </c>
      <c r="C201" s="105" t="s">
        <v>765</v>
      </c>
      <c r="D201" s="92" t="s">
        <v>16</v>
      </c>
      <c r="E201" s="89" t="s">
        <v>20</v>
      </c>
      <c r="F201" s="106" t="s">
        <v>24</v>
      </c>
      <c r="G201" s="107" t="s">
        <v>22</v>
      </c>
      <c r="H201" s="92" t="s">
        <v>16</v>
      </c>
      <c r="I201" s="106" t="s">
        <v>24</v>
      </c>
      <c r="J201" s="101" t="s">
        <v>26</v>
      </c>
      <c r="K201" s="106" t="s">
        <v>24</v>
      </c>
      <c r="L201" s="92" t="s">
        <v>16</v>
      </c>
      <c r="M201" s="107" t="s">
        <v>22</v>
      </c>
      <c r="N201" s="18" t="n">
        <f aca="false">COUNTIF(D201:M201,"Natif")</f>
        <v>3</v>
      </c>
      <c r="O201" s="18" t="n">
        <f aca="false">COUNTIF(D201:M201,"Natif")+COUNTIF(D201:M201,"Officiel")</f>
        <v>3</v>
      </c>
    </row>
    <row r="202" customFormat="false" ht="15" hidden="false" customHeight="false" outlineLevel="0" collapsed="false">
      <c r="A202" s="38" t="s">
        <v>116</v>
      </c>
      <c r="B202" s="38" t="s">
        <v>119</v>
      </c>
      <c r="C202" s="105" t="s">
        <v>767</v>
      </c>
      <c r="D202" s="92" t="s">
        <v>16</v>
      </c>
      <c r="E202" s="92" t="s">
        <v>16</v>
      </c>
      <c r="F202" s="92" t="s">
        <v>16</v>
      </c>
      <c r="G202" s="107" t="s">
        <v>22</v>
      </c>
      <c r="H202" s="92" t="s">
        <v>16</v>
      </c>
      <c r="I202" s="92" t="s">
        <v>16</v>
      </c>
      <c r="J202" s="95" t="s">
        <v>18</v>
      </c>
      <c r="K202" s="92" t="s">
        <v>16</v>
      </c>
      <c r="L202" s="92" t="s">
        <v>16</v>
      </c>
      <c r="M202" s="92" t="s">
        <v>16</v>
      </c>
      <c r="N202" s="18" t="n">
        <f aca="false">COUNTIF(D202:M202,"Natif")</f>
        <v>8</v>
      </c>
      <c r="O202" s="18" t="n">
        <f aca="false">COUNTIF(D202:M202,"Natif")+COUNTIF(D202:M202,"Officiel")</f>
        <v>9</v>
      </c>
    </row>
    <row r="203" customFormat="false" ht="15" hidden="false" customHeight="false" outlineLevel="0" collapsed="false">
      <c r="A203" s="38" t="s">
        <v>116</v>
      </c>
      <c r="B203" s="38" t="s">
        <v>119</v>
      </c>
      <c r="C203" s="105" t="s">
        <v>769</v>
      </c>
      <c r="D203" s="107" t="s">
        <v>22</v>
      </c>
      <c r="E203" s="107" t="s">
        <v>22</v>
      </c>
      <c r="F203" s="95" t="s">
        <v>18</v>
      </c>
      <c r="G203" s="107" t="s">
        <v>22</v>
      </c>
      <c r="H203" s="95" t="s">
        <v>18</v>
      </c>
      <c r="I203" s="92" t="s">
        <v>16</v>
      </c>
      <c r="J203" s="107" t="s">
        <v>22</v>
      </c>
      <c r="K203" s="95" t="s">
        <v>18</v>
      </c>
      <c r="L203" s="106" t="s">
        <v>24</v>
      </c>
      <c r="M203" s="106" t="s">
        <v>24</v>
      </c>
      <c r="N203" s="18" t="n">
        <f aca="false">COUNTIF(D203:M203,"Natif")</f>
        <v>1</v>
      </c>
      <c r="O203" s="18" t="n">
        <f aca="false">COUNTIF(D203:M203,"Natif")+COUNTIF(D203:M203,"Officiel")</f>
        <v>4</v>
      </c>
    </row>
    <row r="204" customFormat="false" ht="15" hidden="false" customHeight="false" outlineLevel="0" collapsed="false">
      <c r="A204" s="38" t="s">
        <v>116</v>
      </c>
      <c r="B204" s="38" t="s">
        <v>119</v>
      </c>
      <c r="C204" s="105" t="s">
        <v>771</v>
      </c>
      <c r="D204" s="95" t="s">
        <v>18</v>
      </c>
      <c r="E204" s="89" t="s">
        <v>20</v>
      </c>
      <c r="F204" s="95" t="s">
        <v>18</v>
      </c>
      <c r="G204" s="89" t="s">
        <v>20</v>
      </c>
      <c r="H204" s="95" t="s">
        <v>18</v>
      </c>
      <c r="I204" s="106" t="s">
        <v>24</v>
      </c>
      <c r="J204" s="106" t="s">
        <v>24</v>
      </c>
      <c r="K204" s="106" t="s">
        <v>24</v>
      </c>
      <c r="L204" s="106" t="s">
        <v>24</v>
      </c>
      <c r="M204" s="95" t="s">
        <v>18</v>
      </c>
      <c r="N204" s="18" t="n">
        <f aca="false">COUNTIF(D204:M204,"Natif")</f>
        <v>0</v>
      </c>
      <c r="O204" s="18" t="n">
        <f aca="false">COUNTIF(D204:M204,"Natif")+COUNTIF(D204:M204,"Officiel")</f>
        <v>4</v>
      </c>
    </row>
    <row r="205" customFormat="false" ht="15" hidden="false" customHeight="false" outlineLevel="0" collapsed="false">
      <c r="A205" s="38" t="s">
        <v>116</v>
      </c>
      <c r="B205" s="38" t="s">
        <v>120</v>
      </c>
      <c r="C205" s="105" t="s">
        <v>33</v>
      </c>
      <c r="D205" s="90" t="s">
        <v>28</v>
      </c>
      <c r="E205" s="90" t="s">
        <v>28</v>
      </c>
      <c r="F205" s="90" t="s">
        <v>28</v>
      </c>
      <c r="G205" s="90" t="s">
        <v>28</v>
      </c>
      <c r="H205" s="90" t="s">
        <v>28</v>
      </c>
      <c r="I205" s="90" t="s">
        <v>28</v>
      </c>
      <c r="J205" s="90" t="s">
        <v>28</v>
      </c>
      <c r="K205" s="90" t="s">
        <v>28</v>
      </c>
      <c r="L205" s="90" t="s">
        <v>28</v>
      </c>
      <c r="M205" s="90" t="s">
        <v>28</v>
      </c>
      <c r="N205" s="18" t="n">
        <f aca="false">COUNTIF(D205:M205,"Natif")</f>
        <v>0</v>
      </c>
      <c r="O205" s="18" t="n">
        <f aca="false">COUNTIF(D205:M205,"Natif")+COUNTIF(D205:M205,"Officiel")</f>
        <v>0</v>
      </c>
    </row>
    <row r="206" customFormat="false" ht="15" hidden="false" customHeight="false" outlineLevel="0" collapsed="false">
      <c r="A206" s="38" t="s">
        <v>116</v>
      </c>
      <c r="B206" s="38" t="s">
        <v>120</v>
      </c>
      <c r="C206" s="105" t="s">
        <v>819</v>
      </c>
      <c r="D206" s="90" t="s">
        <v>28</v>
      </c>
      <c r="E206" s="90" t="s">
        <v>28</v>
      </c>
      <c r="F206" s="90" t="s">
        <v>28</v>
      </c>
      <c r="G206" s="90" t="s">
        <v>28</v>
      </c>
      <c r="H206" s="90" t="s">
        <v>28</v>
      </c>
      <c r="I206" s="90" t="s">
        <v>28</v>
      </c>
      <c r="J206" s="90" t="s">
        <v>28</v>
      </c>
      <c r="K206" s="90" t="s">
        <v>28</v>
      </c>
      <c r="L206" s="90" t="s">
        <v>28</v>
      </c>
      <c r="M206" s="90" t="s">
        <v>28</v>
      </c>
      <c r="N206" s="18" t="n">
        <f aca="false">COUNTIF(D206:M206,"Natif")</f>
        <v>0</v>
      </c>
      <c r="O206" s="18" t="n">
        <f aca="false">COUNTIF(D206:M206,"Natif")+COUNTIF(D206:M206,"Officiel")</f>
        <v>0</v>
      </c>
    </row>
    <row r="207" customFormat="false" ht="15" hidden="false" customHeight="false" outlineLevel="0" collapsed="false">
      <c r="A207" s="38" t="s">
        <v>116</v>
      </c>
      <c r="B207" s="38" t="s">
        <v>120</v>
      </c>
      <c r="C207" s="105" t="s">
        <v>820</v>
      </c>
      <c r="D207" s="90" t="s">
        <v>28</v>
      </c>
      <c r="E207" s="90" t="s">
        <v>28</v>
      </c>
      <c r="F207" s="90" t="s">
        <v>28</v>
      </c>
      <c r="G207" s="90" t="s">
        <v>28</v>
      </c>
      <c r="H207" s="90" t="s">
        <v>28</v>
      </c>
      <c r="I207" s="90" t="s">
        <v>28</v>
      </c>
      <c r="J207" s="90" t="s">
        <v>28</v>
      </c>
      <c r="K207" s="90" t="s">
        <v>28</v>
      </c>
      <c r="L207" s="90" t="s">
        <v>28</v>
      </c>
      <c r="M207" s="90" t="s">
        <v>28</v>
      </c>
      <c r="N207" s="18" t="n">
        <f aca="false">COUNTIF(D207:M207,"Natif")</f>
        <v>0</v>
      </c>
      <c r="O207" s="18" t="n">
        <f aca="false">COUNTIF(D207:M207,"Natif")+COUNTIF(D207:M207,"Officiel")</f>
        <v>0</v>
      </c>
    </row>
    <row r="208" customFormat="false" ht="15" hidden="false" customHeight="false" outlineLevel="0" collapsed="false">
      <c r="A208" s="38" t="s">
        <v>116</v>
      </c>
      <c r="B208" s="38" t="s">
        <v>120</v>
      </c>
      <c r="C208" s="105" t="s">
        <v>821</v>
      </c>
      <c r="D208" s="90" t="s">
        <v>28</v>
      </c>
      <c r="E208" s="90" t="s">
        <v>28</v>
      </c>
      <c r="F208" s="90" t="s">
        <v>28</v>
      </c>
      <c r="G208" s="90" t="s">
        <v>28</v>
      </c>
      <c r="H208" s="90" t="s">
        <v>28</v>
      </c>
      <c r="I208" s="90" t="s">
        <v>28</v>
      </c>
      <c r="J208" s="90" t="s">
        <v>28</v>
      </c>
      <c r="K208" s="90" t="s">
        <v>28</v>
      </c>
      <c r="L208" s="90" t="s">
        <v>28</v>
      </c>
      <c r="M208" s="90" t="s">
        <v>28</v>
      </c>
      <c r="N208" s="18" t="n">
        <f aca="false">COUNTIF(D208:M208,"Natif")</f>
        <v>0</v>
      </c>
      <c r="O208" s="18" t="n">
        <f aca="false">COUNTIF(D208:M208,"Natif")+COUNTIF(D208:M208,"Officiel")</f>
        <v>0</v>
      </c>
    </row>
    <row r="209" customFormat="false" ht="15" hidden="false" customHeight="false" outlineLevel="0" collapsed="false">
      <c r="A209" s="38" t="s">
        <v>116</v>
      </c>
      <c r="B209" s="38" t="s">
        <v>120</v>
      </c>
      <c r="C209" s="105" t="s">
        <v>822</v>
      </c>
      <c r="D209" s="90" t="s">
        <v>28</v>
      </c>
      <c r="E209" s="90" t="s">
        <v>28</v>
      </c>
      <c r="F209" s="90" t="s">
        <v>28</v>
      </c>
      <c r="G209" s="90" t="s">
        <v>28</v>
      </c>
      <c r="H209" s="90" t="s">
        <v>28</v>
      </c>
      <c r="I209" s="90" t="s">
        <v>28</v>
      </c>
      <c r="J209" s="90" t="s">
        <v>28</v>
      </c>
      <c r="K209" s="90" t="s">
        <v>28</v>
      </c>
      <c r="L209" s="90" t="s">
        <v>28</v>
      </c>
      <c r="M209" s="90" t="s">
        <v>28</v>
      </c>
      <c r="N209" s="18" t="n">
        <f aca="false">COUNTIF(D209:M209,"Natif")</f>
        <v>0</v>
      </c>
      <c r="O209" s="18" t="n">
        <f aca="false">COUNTIF(D209:M209,"Natif")+COUNTIF(D209:M209,"Officiel")</f>
        <v>0</v>
      </c>
    </row>
    <row r="210" customFormat="false" ht="15" hidden="false" customHeight="false" outlineLevel="0" collapsed="false">
      <c r="A210" s="38" t="s">
        <v>116</v>
      </c>
      <c r="B210" s="38" t="s">
        <v>120</v>
      </c>
      <c r="C210" s="105" t="s">
        <v>823</v>
      </c>
      <c r="D210" s="90" t="s">
        <v>28</v>
      </c>
      <c r="E210" s="90" t="s">
        <v>28</v>
      </c>
      <c r="F210" s="90" t="s">
        <v>28</v>
      </c>
      <c r="G210" s="90" t="s">
        <v>28</v>
      </c>
      <c r="H210" s="90" t="s">
        <v>28</v>
      </c>
      <c r="I210" s="90" t="s">
        <v>28</v>
      </c>
      <c r="J210" s="90" t="s">
        <v>28</v>
      </c>
      <c r="K210" s="90" t="s">
        <v>28</v>
      </c>
      <c r="L210" s="90" t="s">
        <v>28</v>
      </c>
      <c r="M210" s="90" t="s">
        <v>28</v>
      </c>
      <c r="N210" s="18" t="n">
        <f aca="false">COUNTIF(D210:M210,"Natif")</f>
        <v>0</v>
      </c>
      <c r="O210" s="18" t="n">
        <f aca="false">COUNTIF(D210:M210,"Natif")+COUNTIF(D210:M210,"Officiel")</f>
        <v>0</v>
      </c>
    </row>
    <row r="211" customFormat="false" ht="15" hidden="false" customHeight="false" outlineLevel="0" collapsed="false">
      <c r="A211" s="38" t="s">
        <v>116</v>
      </c>
      <c r="B211" s="38" t="s">
        <v>120</v>
      </c>
      <c r="C211" s="105" t="s">
        <v>824</v>
      </c>
      <c r="D211" s="90" t="s">
        <v>28</v>
      </c>
      <c r="E211" s="90" t="s">
        <v>28</v>
      </c>
      <c r="F211" s="90" t="s">
        <v>28</v>
      </c>
      <c r="G211" s="90" t="s">
        <v>28</v>
      </c>
      <c r="H211" s="90" t="s">
        <v>28</v>
      </c>
      <c r="I211" s="90" t="s">
        <v>28</v>
      </c>
      <c r="J211" s="90" t="s">
        <v>28</v>
      </c>
      <c r="K211" s="90" t="s">
        <v>28</v>
      </c>
      <c r="L211" s="90" t="s">
        <v>28</v>
      </c>
      <c r="M211" s="90" t="s">
        <v>28</v>
      </c>
      <c r="N211" s="18" t="n">
        <f aca="false">COUNTIF(D211:M211,"Natif")</f>
        <v>0</v>
      </c>
      <c r="O211" s="18" t="n">
        <f aca="false">COUNTIF(D211:M211,"Natif")+COUNTIF(D211:M211,"Officiel")</f>
        <v>0</v>
      </c>
    </row>
    <row r="212" customFormat="false" ht="15" hidden="false" customHeight="false" outlineLevel="0" collapsed="false">
      <c r="A212" s="38" t="s">
        <v>116</v>
      </c>
      <c r="B212" s="38" t="s">
        <v>120</v>
      </c>
      <c r="C212" s="105" t="s">
        <v>825</v>
      </c>
      <c r="D212" s="90" t="s">
        <v>28</v>
      </c>
      <c r="E212" s="90" t="s">
        <v>28</v>
      </c>
      <c r="F212" s="90" t="s">
        <v>28</v>
      </c>
      <c r="G212" s="90" t="s">
        <v>28</v>
      </c>
      <c r="H212" s="90" t="s">
        <v>28</v>
      </c>
      <c r="I212" s="90" t="s">
        <v>28</v>
      </c>
      <c r="J212" s="90" t="s">
        <v>28</v>
      </c>
      <c r="K212" s="90" t="s">
        <v>28</v>
      </c>
      <c r="L212" s="90" t="s">
        <v>28</v>
      </c>
      <c r="M212" s="90" t="s">
        <v>28</v>
      </c>
      <c r="N212" s="18" t="n">
        <f aca="false">COUNTIF(D212:M212,"Natif")</f>
        <v>0</v>
      </c>
      <c r="O212" s="18" t="n">
        <f aca="false">COUNTIF(D212:M212,"Natif")+COUNTIF(D212:M212,"Officiel")</f>
        <v>0</v>
      </c>
    </row>
  </sheetData>
  <autoFilter ref="A1:O212"/>
  <conditionalFormatting sqref="D2:M212">
    <cfRule type="cellIs" priority="2" operator="equal" aboveAverage="0" equalAverage="0" bottom="0" percent="0" rank="0" text="" dxfId="19">
      <formula>"Natif"</formula>
    </cfRule>
    <cfRule type="cellIs" priority="3" operator="equal" aboveAverage="0" equalAverage="0" bottom="0" percent="0" rank="0" text="" dxfId="20">
      <formula>"Officiel"</formula>
    </cfRule>
    <cfRule type="cellIs" priority="4" operator="equal" aboveAverage="0" equalAverage="0" bottom="0" percent="0" rank="0" text="" dxfId="21">
      <formula>"Tiers"</formula>
    </cfRule>
    <cfRule type="cellIs" priority="5" operator="equal" aboveAverage="0" equalAverage="0" bottom="0" percent="0" rank="0" text="" dxfId="26">
      <formula>"Partiel"</formula>
    </cfRule>
    <cfRule type="cellIs" priority="6" operator="equal" aboveAverage="0" equalAverage="0" bottom="0" percent="0" rank="0" text="" dxfId="27">
      <formula>"Absent"</formula>
    </cfRule>
    <cfRule type="cellIs" priority="7" operator="equal" aboveAverage="0" equalAverage="0" bottom="0" percent="0" rank="0" text="" dxfId="22">
      <formula>"?"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70"/>
    <col collapsed="false" customWidth="true" hidden="false" outlineLevel="0" max="7" min="7" style="0" width="45"/>
  </cols>
  <sheetData>
    <row r="1" customFormat="false" ht="15" hidden="false" customHeight="false" outlineLevel="0" collapsed="false">
      <c r="A1" s="108" t="s">
        <v>82</v>
      </c>
      <c r="B1" s="108" t="s">
        <v>83</v>
      </c>
      <c r="C1" s="108" t="s">
        <v>129</v>
      </c>
      <c r="D1" s="108" t="s">
        <v>31</v>
      </c>
      <c r="E1" s="108" t="s">
        <v>826</v>
      </c>
      <c r="F1" s="108" t="s">
        <v>827</v>
      </c>
      <c r="G1" s="108" t="s">
        <v>828</v>
      </c>
    </row>
    <row r="2" customFormat="false" ht="23.85" hidden="false" customHeight="false" outlineLevel="0" collapsed="false">
      <c r="A2" s="109" t="s">
        <v>85</v>
      </c>
      <c r="B2" s="109" t="s">
        <v>86</v>
      </c>
      <c r="C2" s="109" t="s">
        <v>135</v>
      </c>
      <c r="D2" s="109" t="s">
        <v>35</v>
      </c>
      <c r="E2" s="110" t="s">
        <v>18</v>
      </c>
      <c r="F2" s="109" t="s">
        <v>829</v>
      </c>
      <c r="G2" s="111" t="s">
        <v>830</v>
      </c>
    </row>
    <row r="3" customFormat="false" ht="23.85" hidden="false" customHeight="false" outlineLevel="0" collapsed="false">
      <c r="A3" s="109" t="s">
        <v>85</v>
      </c>
      <c r="B3" s="109" t="s">
        <v>86</v>
      </c>
      <c r="C3" s="109" t="s">
        <v>135</v>
      </c>
      <c r="D3" s="109" t="s">
        <v>39</v>
      </c>
      <c r="E3" s="112" t="s">
        <v>16</v>
      </c>
      <c r="F3" s="109" t="s">
        <v>831</v>
      </c>
      <c r="G3" s="111" t="s">
        <v>832</v>
      </c>
    </row>
    <row r="4" customFormat="false" ht="23.85" hidden="false" customHeight="false" outlineLevel="0" collapsed="false">
      <c r="A4" s="109" t="s">
        <v>85</v>
      </c>
      <c r="B4" s="109" t="s">
        <v>86</v>
      </c>
      <c r="C4" s="109" t="s">
        <v>135</v>
      </c>
      <c r="D4" s="109" t="s">
        <v>43</v>
      </c>
      <c r="E4" s="112" t="s">
        <v>16</v>
      </c>
      <c r="F4" s="109" t="s">
        <v>833</v>
      </c>
      <c r="G4" s="111" t="s">
        <v>834</v>
      </c>
    </row>
    <row r="5" customFormat="false" ht="23.85" hidden="false" customHeight="false" outlineLevel="0" collapsed="false">
      <c r="A5" s="109" t="s">
        <v>85</v>
      </c>
      <c r="B5" s="109" t="s">
        <v>86</v>
      </c>
      <c r="C5" s="109" t="s">
        <v>135</v>
      </c>
      <c r="D5" s="109" t="s">
        <v>47</v>
      </c>
      <c r="E5" s="113" t="s">
        <v>24</v>
      </c>
      <c r="F5" s="109" t="s">
        <v>835</v>
      </c>
      <c r="G5" s="111" t="s">
        <v>836</v>
      </c>
    </row>
    <row r="6" customFormat="false" ht="23.85" hidden="false" customHeight="false" outlineLevel="0" collapsed="false">
      <c r="A6" s="109" t="s">
        <v>85</v>
      </c>
      <c r="B6" s="109" t="s">
        <v>86</v>
      </c>
      <c r="C6" s="109" t="s">
        <v>135</v>
      </c>
      <c r="D6" s="109" t="s">
        <v>51</v>
      </c>
      <c r="E6" s="112" t="s">
        <v>16</v>
      </c>
      <c r="F6" s="109" t="s">
        <v>837</v>
      </c>
      <c r="G6" s="111" t="s">
        <v>838</v>
      </c>
    </row>
    <row r="7" customFormat="false" ht="23.85" hidden="false" customHeight="false" outlineLevel="0" collapsed="false">
      <c r="A7" s="109" t="s">
        <v>85</v>
      </c>
      <c r="B7" s="109" t="s">
        <v>86</v>
      </c>
      <c r="C7" s="109" t="s">
        <v>135</v>
      </c>
      <c r="D7" s="109" t="s">
        <v>55</v>
      </c>
      <c r="E7" s="114" t="s">
        <v>22</v>
      </c>
      <c r="F7" s="109" t="s">
        <v>839</v>
      </c>
      <c r="G7" s="111" t="s">
        <v>840</v>
      </c>
    </row>
    <row r="8" customFormat="false" ht="23.85" hidden="false" customHeight="false" outlineLevel="0" collapsed="false">
      <c r="A8" s="109" t="s">
        <v>85</v>
      </c>
      <c r="B8" s="109" t="s">
        <v>86</v>
      </c>
      <c r="C8" s="109" t="s">
        <v>135</v>
      </c>
      <c r="D8" s="109" t="s">
        <v>59</v>
      </c>
      <c r="E8" s="114" t="s">
        <v>22</v>
      </c>
      <c r="F8" s="109" t="s">
        <v>841</v>
      </c>
      <c r="G8" s="111" t="s">
        <v>842</v>
      </c>
    </row>
    <row r="9" customFormat="false" ht="23.85" hidden="false" customHeight="false" outlineLevel="0" collapsed="false">
      <c r="A9" s="109" t="s">
        <v>85</v>
      </c>
      <c r="B9" s="109" t="s">
        <v>86</v>
      </c>
      <c r="C9" s="109" t="s">
        <v>135</v>
      </c>
      <c r="D9" s="109" t="s">
        <v>63</v>
      </c>
      <c r="E9" s="113" t="s">
        <v>24</v>
      </c>
      <c r="F9" s="109" t="s">
        <v>843</v>
      </c>
      <c r="G9" s="111" t="s">
        <v>844</v>
      </c>
    </row>
    <row r="10" customFormat="false" ht="23.85" hidden="false" customHeight="false" outlineLevel="0" collapsed="false">
      <c r="A10" s="109" t="s">
        <v>85</v>
      </c>
      <c r="B10" s="109" t="s">
        <v>86</v>
      </c>
      <c r="C10" s="109" t="s">
        <v>135</v>
      </c>
      <c r="D10" s="109" t="s">
        <v>67</v>
      </c>
      <c r="E10" s="113" t="s">
        <v>24</v>
      </c>
      <c r="F10" s="109" t="s">
        <v>845</v>
      </c>
      <c r="G10" s="111" t="s">
        <v>846</v>
      </c>
    </row>
    <row r="11" customFormat="false" ht="23.85" hidden="false" customHeight="false" outlineLevel="0" collapsed="false">
      <c r="A11" s="109" t="s">
        <v>85</v>
      </c>
      <c r="B11" s="109" t="s">
        <v>86</v>
      </c>
      <c r="C11" s="109" t="s">
        <v>135</v>
      </c>
      <c r="D11" s="109" t="s">
        <v>71</v>
      </c>
      <c r="E11" s="113" t="s">
        <v>24</v>
      </c>
      <c r="F11" s="109" t="s">
        <v>847</v>
      </c>
      <c r="G11" s="111" t="s">
        <v>848</v>
      </c>
    </row>
    <row r="12" customFormat="false" ht="23.85" hidden="false" customHeight="false" outlineLevel="0" collapsed="false">
      <c r="A12" s="109" t="s">
        <v>85</v>
      </c>
      <c r="B12" s="109" t="s">
        <v>86</v>
      </c>
      <c r="C12" s="109" t="s">
        <v>138</v>
      </c>
      <c r="D12" s="109" t="s">
        <v>35</v>
      </c>
      <c r="E12" s="112" t="s">
        <v>16</v>
      </c>
      <c r="F12" s="109" t="s">
        <v>849</v>
      </c>
      <c r="G12" s="111" t="s">
        <v>850</v>
      </c>
    </row>
    <row r="13" customFormat="false" ht="23.85" hidden="false" customHeight="false" outlineLevel="0" collapsed="false">
      <c r="A13" s="109" t="s">
        <v>85</v>
      </c>
      <c r="B13" s="109" t="s">
        <v>86</v>
      </c>
      <c r="C13" s="109" t="s">
        <v>138</v>
      </c>
      <c r="D13" s="109" t="s">
        <v>39</v>
      </c>
      <c r="E13" s="112" t="s">
        <v>16</v>
      </c>
      <c r="F13" s="109" t="s">
        <v>851</v>
      </c>
      <c r="G13" s="111" t="s">
        <v>852</v>
      </c>
    </row>
    <row r="14" customFormat="false" ht="23.85" hidden="false" customHeight="false" outlineLevel="0" collapsed="false">
      <c r="A14" s="109" t="s">
        <v>85</v>
      </c>
      <c r="B14" s="109" t="s">
        <v>86</v>
      </c>
      <c r="C14" s="109" t="s">
        <v>138</v>
      </c>
      <c r="D14" s="109" t="s">
        <v>43</v>
      </c>
      <c r="E14" s="112" t="s">
        <v>16</v>
      </c>
      <c r="F14" s="109" t="s">
        <v>853</v>
      </c>
      <c r="G14" s="111" t="s">
        <v>854</v>
      </c>
    </row>
    <row r="15" customFormat="false" ht="23.85" hidden="false" customHeight="false" outlineLevel="0" collapsed="false">
      <c r="A15" s="109" t="s">
        <v>85</v>
      </c>
      <c r="B15" s="109" t="s">
        <v>86</v>
      </c>
      <c r="C15" s="109" t="s">
        <v>138</v>
      </c>
      <c r="D15" s="109" t="s">
        <v>47</v>
      </c>
      <c r="E15" s="112" t="s">
        <v>16</v>
      </c>
      <c r="F15" s="109" t="s">
        <v>855</v>
      </c>
      <c r="G15" s="111" t="s">
        <v>836</v>
      </c>
    </row>
    <row r="16" customFormat="false" ht="23.85" hidden="false" customHeight="false" outlineLevel="0" collapsed="false">
      <c r="A16" s="109" t="s">
        <v>85</v>
      </c>
      <c r="B16" s="109" t="s">
        <v>86</v>
      </c>
      <c r="C16" s="109" t="s">
        <v>138</v>
      </c>
      <c r="D16" s="109" t="s">
        <v>51</v>
      </c>
      <c r="E16" s="112" t="s">
        <v>16</v>
      </c>
      <c r="F16" s="109" t="s">
        <v>856</v>
      </c>
      <c r="G16" s="111" t="s">
        <v>857</v>
      </c>
    </row>
    <row r="17" customFormat="false" ht="23.85" hidden="false" customHeight="false" outlineLevel="0" collapsed="false">
      <c r="A17" s="109" t="s">
        <v>85</v>
      </c>
      <c r="B17" s="109" t="s">
        <v>86</v>
      </c>
      <c r="C17" s="109" t="s">
        <v>138</v>
      </c>
      <c r="D17" s="109" t="s">
        <v>55</v>
      </c>
      <c r="E17" s="112" t="s">
        <v>16</v>
      </c>
      <c r="F17" s="109" t="s">
        <v>858</v>
      </c>
      <c r="G17" s="111" t="s">
        <v>859</v>
      </c>
    </row>
    <row r="18" customFormat="false" ht="23.85" hidden="false" customHeight="false" outlineLevel="0" collapsed="false">
      <c r="A18" s="109" t="s">
        <v>85</v>
      </c>
      <c r="B18" s="109" t="s">
        <v>86</v>
      </c>
      <c r="C18" s="109" t="s">
        <v>138</v>
      </c>
      <c r="D18" s="109" t="s">
        <v>59</v>
      </c>
      <c r="E18" s="112" t="s">
        <v>16</v>
      </c>
      <c r="F18" s="109" t="s">
        <v>860</v>
      </c>
      <c r="G18" s="111" t="s">
        <v>861</v>
      </c>
    </row>
    <row r="19" customFormat="false" ht="23.85" hidden="false" customHeight="false" outlineLevel="0" collapsed="false">
      <c r="A19" s="109" t="s">
        <v>85</v>
      </c>
      <c r="B19" s="109" t="s">
        <v>86</v>
      </c>
      <c r="C19" s="109" t="s">
        <v>138</v>
      </c>
      <c r="D19" s="109" t="s">
        <v>63</v>
      </c>
      <c r="E19" s="112" t="s">
        <v>16</v>
      </c>
      <c r="F19" s="109" t="s">
        <v>862</v>
      </c>
      <c r="G19" s="111" t="s">
        <v>844</v>
      </c>
    </row>
    <row r="20" customFormat="false" ht="23.85" hidden="false" customHeight="false" outlineLevel="0" collapsed="false">
      <c r="A20" s="109" t="s">
        <v>85</v>
      </c>
      <c r="B20" s="109" t="s">
        <v>86</v>
      </c>
      <c r="C20" s="109" t="s">
        <v>138</v>
      </c>
      <c r="D20" s="109" t="s">
        <v>67</v>
      </c>
      <c r="E20" s="114" t="s">
        <v>22</v>
      </c>
      <c r="F20" s="109" t="s">
        <v>863</v>
      </c>
      <c r="G20" s="111" t="s">
        <v>864</v>
      </c>
    </row>
    <row r="21" customFormat="false" ht="23.85" hidden="false" customHeight="false" outlineLevel="0" collapsed="false">
      <c r="A21" s="109" t="s">
        <v>85</v>
      </c>
      <c r="B21" s="109" t="s">
        <v>86</v>
      </c>
      <c r="C21" s="109" t="s">
        <v>138</v>
      </c>
      <c r="D21" s="109" t="s">
        <v>71</v>
      </c>
      <c r="E21" s="114" t="s">
        <v>22</v>
      </c>
      <c r="F21" s="109" t="s">
        <v>865</v>
      </c>
      <c r="G21" s="111" t="s">
        <v>866</v>
      </c>
    </row>
    <row r="22" customFormat="false" ht="23.85" hidden="false" customHeight="false" outlineLevel="0" collapsed="false">
      <c r="A22" s="109" t="s">
        <v>85</v>
      </c>
      <c r="B22" s="109" t="s">
        <v>86</v>
      </c>
      <c r="C22" s="109" t="s">
        <v>140</v>
      </c>
      <c r="D22" s="109" t="s">
        <v>35</v>
      </c>
      <c r="E22" s="110" t="s">
        <v>18</v>
      </c>
      <c r="F22" s="109" t="s">
        <v>867</v>
      </c>
      <c r="G22" s="111" t="s">
        <v>830</v>
      </c>
    </row>
    <row r="23" customFormat="false" ht="23.85" hidden="false" customHeight="false" outlineLevel="0" collapsed="false">
      <c r="A23" s="109" t="s">
        <v>85</v>
      </c>
      <c r="B23" s="109" t="s">
        <v>86</v>
      </c>
      <c r="C23" s="109" t="s">
        <v>140</v>
      </c>
      <c r="D23" s="109" t="s">
        <v>39</v>
      </c>
      <c r="E23" s="112" t="s">
        <v>16</v>
      </c>
      <c r="F23" s="109" t="s">
        <v>868</v>
      </c>
      <c r="G23" s="111" t="s">
        <v>869</v>
      </c>
    </row>
    <row r="24" customFormat="false" ht="23.85" hidden="false" customHeight="false" outlineLevel="0" collapsed="false">
      <c r="A24" s="109" t="s">
        <v>85</v>
      </c>
      <c r="B24" s="109" t="s">
        <v>86</v>
      </c>
      <c r="C24" s="109" t="s">
        <v>140</v>
      </c>
      <c r="D24" s="109" t="s">
        <v>43</v>
      </c>
      <c r="E24" s="112" t="s">
        <v>16</v>
      </c>
      <c r="F24" s="109" t="s">
        <v>870</v>
      </c>
      <c r="G24" s="111" t="s">
        <v>871</v>
      </c>
    </row>
    <row r="25" customFormat="false" ht="23.85" hidden="false" customHeight="false" outlineLevel="0" collapsed="false">
      <c r="A25" s="109" t="s">
        <v>85</v>
      </c>
      <c r="B25" s="109" t="s">
        <v>86</v>
      </c>
      <c r="C25" s="109" t="s">
        <v>140</v>
      </c>
      <c r="D25" s="109" t="s">
        <v>47</v>
      </c>
      <c r="E25" s="112" t="s">
        <v>16</v>
      </c>
      <c r="F25" s="109" t="s">
        <v>872</v>
      </c>
      <c r="G25" s="111" t="s">
        <v>873</v>
      </c>
    </row>
    <row r="26" customFormat="false" ht="23.85" hidden="false" customHeight="false" outlineLevel="0" collapsed="false">
      <c r="A26" s="109" t="s">
        <v>85</v>
      </c>
      <c r="B26" s="109" t="s">
        <v>86</v>
      </c>
      <c r="C26" s="109" t="s">
        <v>140</v>
      </c>
      <c r="D26" s="109" t="s">
        <v>51</v>
      </c>
      <c r="E26" s="112" t="s">
        <v>16</v>
      </c>
      <c r="F26" s="109" t="s">
        <v>874</v>
      </c>
      <c r="G26" s="111" t="s">
        <v>875</v>
      </c>
    </row>
    <row r="27" customFormat="false" ht="23.85" hidden="false" customHeight="false" outlineLevel="0" collapsed="false">
      <c r="A27" s="109" t="s">
        <v>85</v>
      </c>
      <c r="B27" s="109" t="s">
        <v>86</v>
      </c>
      <c r="C27" s="109" t="s">
        <v>140</v>
      </c>
      <c r="D27" s="109" t="s">
        <v>55</v>
      </c>
      <c r="E27" s="112" t="s">
        <v>16</v>
      </c>
      <c r="F27" s="109" t="s">
        <v>876</v>
      </c>
      <c r="G27" s="111" t="s">
        <v>877</v>
      </c>
    </row>
    <row r="28" customFormat="false" ht="23.85" hidden="false" customHeight="false" outlineLevel="0" collapsed="false">
      <c r="A28" s="109" t="s">
        <v>85</v>
      </c>
      <c r="B28" s="109" t="s">
        <v>86</v>
      </c>
      <c r="C28" s="109" t="s">
        <v>140</v>
      </c>
      <c r="D28" s="109" t="s">
        <v>59</v>
      </c>
      <c r="E28" s="112" t="s">
        <v>16</v>
      </c>
      <c r="F28" s="109" t="s">
        <v>878</v>
      </c>
      <c r="G28" s="111" t="s">
        <v>861</v>
      </c>
    </row>
    <row r="29" customFormat="false" ht="23.85" hidden="false" customHeight="false" outlineLevel="0" collapsed="false">
      <c r="A29" s="109" t="s">
        <v>85</v>
      </c>
      <c r="B29" s="109" t="s">
        <v>86</v>
      </c>
      <c r="C29" s="109" t="s">
        <v>140</v>
      </c>
      <c r="D29" s="109" t="s">
        <v>63</v>
      </c>
      <c r="E29" s="112" t="s">
        <v>16</v>
      </c>
      <c r="F29" s="109" t="s">
        <v>879</v>
      </c>
      <c r="G29" s="111" t="s">
        <v>880</v>
      </c>
    </row>
    <row r="30" customFormat="false" ht="23.85" hidden="false" customHeight="false" outlineLevel="0" collapsed="false">
      <c r="A30" s="109" t="s">
        <v>85</v>
      </c>
      <c r="B30" s="109" t="s">
        <v>86</v>
      </c>
      <c r="C30" s="109" t="s">
        <v>140</v>
      </c>
      <c r="D30" s="109" t="s">
        <v>67</v>
      </c>
      <c r="E30" s="114" t="s">
        <v>22</v>
      </c>
      <c r="F30" s="109" t="s">
        <v>881</v>
      </c>
      <c r="G30" s="111" t="s">
        <v>882</v>
      </c>
    </row>
    <row r="31" customFormat="false" ht="23.85" hidden="false" customHeight="false" outlineLevel="0" collapsed="false">
      <c r="A31" s="109" t="s">
        <v>85</v>
      </c>
      <c r="B31" s="109" t="s">
        <v>86</v>
      </c>
      <c r="C31" s="109" t="s">
        <v>140</v>
      </c>
      <c r="D31" s="109" t="s">
        <v>71</v>
      </c>
      <c r="E31" s="113" t="s">
        <v>24</v>
      </c>
      <c r="F31" s="109" t="s">
        <v>883</v>
      </c>
      <c r="G31" s="111" t="s">
        <v>884</v>
      </c>
    </row>
    <row r="32" customFormat="false" ht="23.85" hidden="false" customHeight="false" outlineLevel="0" collapsed="false">
      <c r="A32" s="109" t="s">
        <v>85</v>
      </c>
      <c r="B32" s="109" t="s">
        <v>86</v>
      </c>
      <c r="C32" s="109" t="s">
        <v>142</v>
      </c>
      <c r="D32" s="109" t="s">
        <v>35</v>
      </c>
      <c r="E32" s="110" t="s">
        <v>18</v>
      </c>
      <c r="F32" s="109" t="s">
        <v>885</v>
      </c>
      <c r="G32" s="111" t="s">
        <v>830</v>
      </c>
    </row>
    <row r="33" customFormat="false" ht="23.85" hidden="false" customHeight="false" outlineLevel="0" collapsed="false">
      <c r="A33" s="109" t="s">
        <v>85</v>
      </c>
      <c r="B33" s="109" t="s">
        <v>86</v>
      </c>
      <c r="C33" s="109" t="s">
        <v>142</v>
      </c>
      <c r="D33" s="109" t="s">
        <v>39</v>
      </c>
      <c r="E33" s="115" t="s">
        <v>20</v>
      </c>
      <c r="F33" s="109" t="s">
        <v>886</v>
      </c>
      <c r="G33" s="111" t="s">
        <v>887</v>
      </c>
    </row>
    <row r="34" customFormat="false" ht="23.85" hidden="false" customHeight="false" outlineLevel="0" collapsed="false">
      <c r="A34" s="109" t="s">
        <v>85</v>
      </c>
      <c r="B34" s="109" t="s">
        <v>86</v>
      </c>
      <c r="C34" s="109" t="s">
        <v>142</v>
      </c>
      <c r="D34" s="109" t="s">
        <v>43</v>
      </c>
      <c r="E34" s="112" t="s">
        <v>16</v>
      </c>
      <c r="F34" s="109" t="s">
        <v>888</v>
      </c>
      <c r="G34" s="111" t="s">
        <v>889</v>
      </c>
    </row>
    <row r="35" customFormat="false" ht="23.85" hidden="false" customHeight="false" outlineLevel="0" collapsed="false">
      <c r="A35" s="109" t="s">
        <v>85</v>
      </c>
      <c r="B35" s="109" t="s">
        <v>86</v>
      </c>
      <c r="C35" s="109" t="s">
        <v>142</v>
      </c>
      <c r="D35" s="109" t="s">
        <v>47</v>
      </c>
      <c r="E35" s="112" t="s">
        <v>16</v>
      </c>
      <c r="F35" s="109" t="s">
        <v>890</v>
      </c>
      <c r="G35" s="111" t="s">
        <v>873</v>
      </c>
    </row>
    <row r="36" customFormat="false" ht="15" hidden="false" customHeight="false" outlineLevel="0" collapsed="false">
      <c r="A36" s="109" t="s">
        <v>85</v>
      </c>
      <c r="B36" s="109" t="s">
        <v>86</v>
      </c>
      <c r="C36" s="109" t="s">
        <v>142</v>
      </c>
      <c r="D36" s="109" t="s">
        <v>51</v>
      </c>
      <c r="E36" s="112" t="s">
        <v>16</v>
      </c>
      <c r="F36" s="109" t="s">
        <v>891</v>
      </c>
      <c r="G36" s="111" t="s">
        <v>892</v>
      </c>
    </row>
    <row r="37" customFormat="false" ht="23.85" hidden="false" customHeight="false" outlineLevel="0" collapsed="false">
      <c r="A37" s="109" t="s">
        <v>85</v>
      </c>
      <c r="B37" s="109" t="s">
        <v>86</v>
      </c>
      <c r="C37" s="109" t="s">
        <v>142</v>
      </c>
      <c r="D37" s="109" t="s">
        <v>55</v>
      </c>
      <c r="E37" s="112" t="s">
        <v>16</v>
      </c>
      <c r="F37" s="109" t="s">
        <v>893</v>
      </c>
      <c r="G37" s="111" t="s">
        <v>894</v>
      </c>
    </row>
    <row r="38" customFormat="false" ht="15" hidden="false" customHeight="false" outlineLevel="0" collapsed="false">
      <c r="A38" s="109" t="s">
        <v>85</v>
      </c>
      <c r="B38" s="109" t="s">
        <v>86</v>
      </c>
      <c r="C38" s="109" t="s">
        <v>142</v>
      </c>
      <c r="D38" s="109" t="s">
        <v>59</v>
      </c>
      <c r="E38" s="112" t="s">
        <v>16</v>
      </c>
      <c r="F38" s="109" t="s">
        <v>895</v>
      </c>
      <c r="G38" s="111" t="s">
        <v>861</v>
      </c>
    </row>
    <row r="39" customFormat="false" ht="23.85" hidden="false" customHeight="false" outlineLevel="0" collapsed="false">
      <c r="A39" s="109" t="s">
        <v>85</v>
      </c>
      <c r="B39" s="109" t="s">
        <v>86</v>
      </c>
      <c r="C39" s="109" t="s">
        <v>142</v>
      </c>
      <c r="D39" s="109" t="s">
        <v>63</v>
      </c>
      <c r="E39" s="112" t="s">
        <v>16</v>
      </c>
      <c r="F39" s="109" t="s">
        <v>896</v>
      </c>
      <c r="G39" s="111" t="s">
        <v>897</v>
      </c>
    </row>
    <row r="40" customFormat="false" ht="23.85" hidden="false" customHeight="false" outlineLevel="0" collapsed="false">
      <c r="A40" s="109" t="s">
        <v>85</v>
      </c>
      <c r="B40" s="109" t="s">
        <v>86</v>
      </c>
      <c r="C40" s="109" t="s">
        <v>142</v>
      </c>
      <c r="D40" s="109" t="s">
        <v>67</v>
      </c>
      <c r="E40" s="114" t="s">
        <v>22</v>
      </c>
      <c r="F40" s="109" t="s">
        <v>898</v>
      </c>
      <c r="G40" s="111" t="s">
        <v>882</v>
      </c>
    </row>
    <row r="41" customFormat="false" ht="23.85" hidden="false" customHeight="false" outlineLevel="0" collapsed="false">
      <c r="A41" s="109" t="s">
        <v>85</v>
      </c>
      <c r="B41" s="109" t="s">
        <v>86</v>
      </c>
      <c r="C41" s="109" t="s">
        <v>142</v>
      </c>
      <c r="D41" s="109" t="s">
        <v>71</v>
      </c>
      <c r="E41" s="113" t="s">
        <v>24</v>
      </c>
      <c r="F41" s="109" t="s">
        <v>899</v>
      </c>
      <c r="G41" s="111" t="s">
        <v>884</v>
      </c>
    </row>
    <row r="42" customFormat="false" ht="23.85" hidden="false" customHeight="false" outlineLevel="0" collapsed="false">
      <c r="A42" s="109" t="s">
        <v>85</v>
      </c>
      <c r="B42" s="109" t="s">
        <v>86</v>
      </c>
      <c r="C42" s="109" t="s">
        <v>144</v>
      </c>
      <c r="D42" s="109" t="s">
        <v>35</v>
      </c>
      <c r="E42" s="110" t="s">
        <v>18</v>
      </c>
      <c r="F42" s="109" t="s">
        <v>900</v>
      </c>
      <c r="G42" s="111" t="s">
        <v>830</v>
      </c>
    </row>
    <row r="43" customFormat="false" ht="23.85" hidden="false" customHeight="false" outlineLevel="0" collapsed="false">
      <c r="A43" s="109" t="s">
        <v>85</v>
      </c>
      <c r="B43" s="109" t="s">
        <v>86</v>
      </c>
      <c r="C43" s="109" t="s">
        <v>144</v>
      </c>
      <c r="D43" s="109" t="s">
        <v>39</v>
      </c>
      <c r="E43" s="112" t="s">
        <v>16</v>
      </c>
      <c r="F43" s="109" t="s">
        <v>901</v>
      </c>
      <c r="G43" s="111" t="s">
        <v>902</v>
      </c>
    </row>
    <row r="44" customFormat="false" ht="23.85" hidden="false" customHeight="false" outlineLevel="0" collapsed="false">
      <c r="A44" s="109" t="s">
        <v>85</v>
      </c>
      <c r="B44" s="109" t="s">
        <v>86</v>
      </c>
      <c r="C44" s="109" t="s">
        <v>144</v>
      </c>
      <c r="D44" s="109" t="s">
        <v>43</v>
      </c>
      <c r="E44" s="112" t="s">
        <v>16</v>
      </c>
      <c r="F44" s="109" t="s">
        <v>903</v>
      </c>
      <c r="G44" s="111" t="s">
        <v>904</v>
      </c>
    </row>
    <row r="45" customFormat="false" ht="23.85" hidden="false" customHeight="false" outlineLevel="0" collapsed="false">
      <c r="A45" s="109" t="s">
        <v>85</v>
      </c>
      <c r="B45" s="109" t="s">
        <v>86</v>
      </c>
      <c r="C45" s="109" t="s">
        <v>144</v>
      </c>
      <c r="D45" s="109" t="s">
        <v>47</v>
      </c>
      <c r="E45" s="112" t="s">
        <v>16</v>
      </c>
      <c r="F45" s="109" t="s">
        <v>905</v>
      </c>
      <c r="G45" s="111" t="s">
        <v>906</v>
      </c>
    </row>
    <row r="46" customFormat="false" ht="23.85" hidden="false" customHeight="false" outlineLevel="0" collapsed="false">
      <c r="A46" s="109" t="s">
        <v>85</v>
      </c>
      <c r="B46" s="109" t="s">
        <v>86</v>
      </c>
      <c r="C46" s="109" t="s">
        <v>144</v>
      </c>
      <c r="D46" s="109" t="s">
        <v>51</v>
      </c>
      <c r="E46" s="112" t="s">
        <v>16</v>
      </c>
      <c r="F46" s="109" t="s">
        <v>907</v>
      </c>
      <c r="G46" s="111" t="s">
        <v>908</v>
      </c>
    </row>
    <row r="47" customFormat="false" ht="23.85" hidden="false" customHeight="false" outlineLevel="0" collapsed="false">
      <c r="A47" s="109" t="s">
        <v>85</v>
      </c>
      <c r="B47" s="109" t="s">
        <v>86</v>
      </c>
      <c r="C47" s="109" t="s">
        <v>144</v>
      </c>
      <c r="D47" s="109" t="s">
        <v>55</v>
      </c>
      <c r="E47" s="112" t="s">
        <v>16</v>
      </c>
      <c r="F47" s="109" t="s">
        <v>909</v>
      </c>
      <c r="G47" s="111" t="s">
        <v>910</v>
      </c>
    </row>
    <row r="48" customFormat="false" ht="23.85" hidden="false" customHeight="false" outlineLevel="0" collapsed="false">
      <c r="A48" s="109" t="s">
        <v>85</v>
      </c>
      <c r="B48" s="109" t="s">
        <v>86</v>
      </c>
      <c r="C48" s="109" t="s">
        <v>144</v>
      </c>
      <c r="D48" s="109" t="s">
        <v>59</v>
      </c>
      <c r="E48" s="114" t="s">
        <v>22</v>
      </c>
      <c r="F48" s="109" t="s">
        <v>911</v>
      </c>
      <c r="G48" s="111" t="s">
        <v>842</v>
      </c>
    </row>
    <row r="49" customFormat="false" ht="15" hidden="false" customHeight="false" outlineLevel="0" collapsed="false">
      <c r="A49" s="109" t="s">
        <v>85</v>
      </c>
      <c r="B49" s="109" t="s">
        <v>86</v>
      </c>
      <c r="C49" s="109" t="s">
        <v>144</v>
      </c>
      <c r="D49" s="109" t="s">
        <v>63</v>
      </c>
      <c r="E49" s="112" t="s">
        <v>16</v>
      </c>
      <c r="F49" s="109" t="s">
        <v>912</v>
      </c>
      <c r="G49" s="111" t="s">
        <v>913</v>
      </c>
    </row>
    <row r="50" customFormat="false" ht="23.85" hidden="false" customHeight="false" outlineLevel="0" collapsed="false">
      <c r="A50" s="109" t="s">
        <v>85</v>
      </c>
      <c r="B50" s="109" t="s">
        <v>86</v>
      </c>
      <c r="C50" s="109" t="s">
        <v>144</v>
      </c>
      <c r="D50" s="109" t="s">
        <v>67</v>
      </c>
      <c r="E50" s="114" t="s">
        <v>22</v>
      </c>
      <c r="F50" s="109" t="s">
        <v>914</v>
      </c>
      <c r="G50" s="111" t="s">
        <v>846</v>
      </c>
    </row>
    <row r="51" customFormat="false" ht="23.85" hidden="false" customHeight="false" outlineLevel="0" collapsed="false">
      <c r="A51" s="109" t="s">
        <v>85</v>
      </c>
      <c r="B51" s="109" t="s">
        <v>86</v>
      </c>
      <c r="C51" s="109" t="s">
        <v>144</v>
      </c>
      <c r="D51" s="109" t="s">
        <v>71</v>
      </c>
      <c r="E51" s="114" t="s">
        <v>22</v>
      </c>
      <c r="F51" s="109" t="s">
        <v>915</v>
      </c>
      <c r="G51" s="111" t="s">
        <v>916</v>
      </c>
    </row>
    <row r="52" customFormat="false" ht="23.85" hidden="false" customHeight="false" outlineLevel="0" collapsed="false">
      <c r="A52" s="109" t="s">
        <v>85</v>
      </c>
      <c r="B52" s="109" t="s">
        <v>86</v>
      </c>
      <c r="C52" s="109" t="s">
        <v>146</v>
      </c>
      <c r="D52" s="109" t="s">
        <v>35</v>
      </c>
      <c r="E52" s="110" t="s">
        <v>18</v>
      </c>
      <c r="F52" s="109" t="s">
        <v>917</v>
      </c>
      <c r="G52" s="111" t="s">
        <v>830</v>
      </c>
    </row>
    <row r="53" customFormat="false" ht="23.85" hidden="false" customHeight="false" outlineLevel="0" collapsed="false">
      <c r="A53" s="109" t="s">
        <v>85</v>
      </c>
      <c r="B53" s="109" t="s">
        <v>86</v>
      </c>
      <c r="C53" s="109" t="s">
        <v>146</v>
      </c>
      <c r="D53" s="109" t="s">
        <v>39</v>
      </c>
      <c r="E53" s="114" t="s">
        <v>22</v>
      </c>
      <c r="F53" s="109" t="s">
        <v>918</v>
      </c>
      <c r="G53" s="111" t="s">
        <v>919</v>
      </c>
    </row>
    <row r="54" customFormat="false" ht="23.85" hidden="false" customHeight="false" outlineLevel="0" collapsed="false">
      <c r="A54" s="109" t="s">
        <v>85</v>
      </c>
      <c r="B54" s="109" t="s">
        <v>86</v>
      </c>
      <c r="C54" s="109" t="s">
        <v>146</v>
      </c>
      <c r="D54" s="109" t="s">
        <v>43</v>
      </c>
      <c r="E54" s="114" t="s">
        <v>22</v>
      </c>
      <c r="F54" s="109" t="s">
        <v>920</v>
      </c>
      <c r="G54" s="111" t="s">
        <v>904</v>
      </c>
    </row>
    <row r="55" customFormat="false" ht="23.85" hidden="false" customHeight="false" outlineLevel="0" collapsed="false">
      <c r="A55" s="109" t="s">
        <v>85</v>
      </c>
      <c r="B55" s="109" t="s">
        <v>86</v>
      </c>
      <c r="C55" s="109" t="s">
        <v>146</v>
      </c>
      <c r="D55" s="109" t="s">
        <v>47</v>
      </c>
      <c r="E55" s="114" t="s">
        <v>22</v>
      </c>
      <c r="F55" s="109" t="s">
        <v>921</v>
      </c>
      <c r="G55" s="111" t="s">
        <v>922</v>
      </c>
    </row>
    <row r="56" customFormat="false" ht="23.85" hidden="false" customHeight="false" outlineLevel="0" collapsed="false">
      <c r="A56" s="109" t="s">
        <v>85</v>
      </c>
      <c r="B56" s="109" t="s">
        <v>86</v>
      </c>
      <c r="C56" s="109" t="s">
        <v>146</v>
      </c>
      <c r="D56" s="109" t="s">
        <v>51</v>
      </c>
      <c r="E56" s="115" t="s">
        <v>20</v>
      </c>
      <c r="F56" s="109" t="s">
        <v>923</v>
      </c>
      <c r="G56" s="111" t="s">
        <v>924</v>
      </c>
    </row>
    <row r="57" customFormat="false" ht="23.85" hidden="false" customHeight="false" outlineLevel="0" collapsed="false">
      <c r="A57" s="109" t="s">
        <v>85</v>
      </c>
      <c r="B57" s="109" t="s">
        <v>86</v>
      </c>
      <c r="C57" s="109" t="s">
        <v>146</v>
      </c>
      <c r="D57" s="109" t="s">
        <v>55</v>
      </c>
      <c r="E57" s="112" t="s">
        <v>16</v>
      </c>
      <c r="F57" s="109" t="s">
        <v>925</v>
      </c>
      <c r="G57" s="111" t="s">
        <v>910</v>
      </c>
    </row>
    <row r="58" customFormat="false" ht="15" hidden="false" customHeight="false" outlineLevel="0" collapsed="false">
      <c r="A58" s="109" t="s">
        <v>85</v>
      </c>
      <c r="B58" s="109" t="s">
        <v>86</v>
      </c>
      <c r="C58" s="109" t="s">
        <v>146</v>
      </c>
      <c r="D58" s="109" t="s">
        <v>59</v>
      </c>
      <c r="E58" s="113" t="s">
        <v>24</v>
      </c>
      <c r="F58" s="109" t="s">
        <v>926</v>
      </c>
      <c r="G58" s="111" t="s">
        <v>842</v>
      </c>
    </row>
    <row r="59" customFormat="false" ht="15" hidden="false" customHeight="false" outlineLevel="0" collapsed="false">
      <c r="A59" s="109" t="s">
        <v>85</v>
      </c>
      <c r="B59" s="109" t="s">
        <v>86</v>
      </c>
      <c r="C59" s="109" t="s">
        <v>146</v>
      </c>
      <c r="D59" s="109" t="s">
        <v>63</v>
      </c>
      <c r="E59" s="112" t="s">
        <v>16</v>
      </c>
      <c r="F59" s="109" t="s">
        <v>927</v>
      </c>
      <c r="G59" s="111" t="s">
        <v>928</v>
      </c>
    </row>
    <row r="60" customFormat="false" ht="23.85" hidden="false" customHeight="false" outlineLevel="0" collapsed="false">
      <c r="A60" s="109" t="s">
        <v>85</v>
      </c>
      <c r="B60" s="109" t="s">
        <v>86</v>
      </c>
      <c r="C60" s="109" t="s">
        <v>146</v>
      </c>
      <c r="D60" s="109" t="s">
        <v>67</v>
      </c>
      <c r="E60" s="114" t="s">
        <v>22</v>
      </c>
      <c r="F60" s="109" t="s">
        <v>929</v>
      </c>
      <c r="G60" s="111" t="s">
        <v>930</v>
      </c>
    </row>
    <row r="61" customFormat="false" ht="15" hidden="false" customHeight="false" outlineLevel="0" collapsed="false">
      <c r="A61" s="109" t="s">
        <v>85</v>
      </c>
      <c r="B61" s="109" t="s">
        <v>86</v>
      </c>
      <c r="C61" s="109" t="s">
        <v>146</v>
      </c>
      <c r="D61" s="109" t="s">
        <v>71</v>
      </c>
      <c r="E61" s="114" t="s">
        <v>22</v>
      </c>
      <c r="F61" s="109" t="s">
        <v>931</v>
      </c>
      <c r="G61" s="111" t="s">
        <v>932</v>
      </c>
    </row>
    <row r="62" customFormat="false" ht="23.85" hidden="false" customHeight="false" outlineLevel="0" collapsed="false">
      <c r="A62" s="109" t="s">
        <v>85</v>
      </c>
      <c r="B62" s="109" t="s">
        <v>86</v>
      </c>
      <c r="C62" s="109" t="s">
        <v>149</v>
      </c>
      <c r="D62" s="109" t="s">
        <v>35</v>
      </c>
      <c r="E62" s="112" t="s">
        <v>16</v>
      </c>
      <c r="F62" s="109" t="s">
        <v>933</v>
      </c>
      <c r="G62" s="111" t="s">
        <v>934</v>
      </c>
    </row>
    <row r="63" customFormat="false" ht="23.85" hidden="false" customHeight="false" outlineLevel="0" collapsed="false">
      <c r="A63" s="109" t="s">
        <v>85</v>
      </c>
      <c r="B63" s="109" t="s">
        <v>86</v>
      </c>
      <c r="C63" s="109" t="s">
        <v>149</v>
      </c>
      <c r="D63" s="109" t="s">
        <v>39</v>
      </c>
      <c r="E63" s="112" t="s">
        <v>16</v>
      </c>
      <c r="F63" s="109" t="s">
        <v>935</v>
      </c>
      <c r="G63" s="111" t="s">
        <v>936</v>
      </c>
    </row>
    <row r="64" customFormat="false" ht="23.85" hidden="false" customHeight="false" outlineLevel="0" collapsed="false">
      <c r="A64" s="109" t="s">
        <v>85</v>
      </c>
      <c r="B64" s="109" t="s">
        <v>86</v>
      </c>
      <c r="C64" s="109" t="s">
        <v>149</v>
      </c>
      <c r="D64" s="109" t="s">
        <v>43</v>
      </c>
      <c r="E64" s="112" t="s">
        <v>16</v>
      </c>
      <c r="F64" s="109" t="s">
        <v>937</v>
      </c>
      <c r="G64" s="111" t="s">
        <v>938</v>
      </c>
    </row>
    <row r="65" customFormat="false" ht="23.85" hidden="false" customHeight="false" outlineLevel="0" collapsed="false">
      <c r="A65" s="109" t="s">
        <v>85</v>
      </c>
      <c r="B65" s="109" t="s">
        <v>86</v>
      </c>
      <c r="C65" s="109" t="s">
        <v>149</v>
      </c>
      <c r="D65" s="109" t="s">
        <v>47</v>
      </c>
      <c r="E65" s="114" t="s">
        <v>22</v>
      </c>
      <c r="F65" s="109" t="s">
        <v>939</v>
      </c>
      <c r="G65" s="111" t="s">
        <v>940</v>
      </c>
    </row>
    <row r="66" customFormat="false" ht="23.85" hidden="false" customHeight="false" outlineLevel="0" collapsed="false">
      <c r="A66" s="109" t="s">
        <v>85</v>
      </c>
      <c r="B66" s="109" t="s">
        <v>86</v>
      </c>
      <c r="C66" s="109" t="s">
        <v>149</v>
      </c>
      <c r="D66" s="109" t="s">
        <v>51</v>
      </c>
      <c r="E66" s="112" t="s">
        <v>16</v>
      </c>
      <c r="F66" s="109" t="s">
        <v>941</v>
      </c>
      <c r="G66" s="111" t="s">
        <v>942</v>
      </c>
    </row>
    <row r="67" customFormat="false" ht="23.85" hidden="false" customHeight="false" outlineLevel="0" collapsed="false">
      <c r="A67" s="109" t="s">
        <v>85</v>
      </c>
      <c r="B67" s="109" t="s">
        <v>86</v>
      </c>
      <c r="C67" s="109" t="s">
        <v>149</v>
      </c>
      <c r="D67" s="109" t="s">
        <v>55</v>
      </c>
      <c r="E67" s="114" t="s">
        <v>22</v>
      </c>
      <c r="F67" s="109" t="s">
        <v>943</v>
      </c>
      <c r="G67" s="111" t="s">
        <v>840</v>
      </c>
    </row>
    <row r="68" customFormat="false" ht="23.85" hidden="false" customHeight="false" outlineLevel="0" collapsed="false">
      <c r="A68" s="109" t="s">
        <v>85</v>
      </c>
      <c r="B68" s="109" t="s">
        <v>86</v>
      </c>
      <c r="C68" s="109" t="s">
        <v>149</v>
      </c>
      <c r="D68" s="109" t="s">
        <v>59</v>
      </c>
      <c r="E68" s="112" t="s">
        <v>16</v>
      </c>
      <c r="F68" s="109" t="s">
        <v>944</v>
      </c>
      <c r="G68" s="111" t="s">
        <v>945</v>
      </c>
    </row>
    <row r="69" customFormat="false" ht="23.85" hidden="false" customHeight="false" outlineLevel="0" collapsed="false">
      <c r="A69" s="109" t="s">
        <v>85</v>
      </c>
      <c r="B69" s="109" t="s">
        <v>86</v>
      </c>
      <c r="C69" s="109" t="s">
        <v>149</v>
      </c>
      <c r="D69" s="109" t="s">
        <v>63</v>
      </c>
      <c r="E69" s="114" t="s">
        <v>22</v>
      </c>
      <c r="F69" s="109" t="s">
        <v>946</v>
      </c>
      <c r="G69" s="111" t="s">
        <v>913</v>
      </c>
    </row>
    <row r="70" customFormat="false" ht="23.85" hidden="false" customHeight="false" outlineLevel="0" collapsed="false">
      <c r="A70" s="109" t="s">
        <v>85</v>
      </c>
      <c r="B70" s="109" t="s">
        <v>86</v>
      </c>
      <c r="C70" s="109" t="s">
        <v>149</v>
      </c>
      <c r="D70" s="109" t="s">
        <v>67</v>
      </c>
      <c r="E70" s="114" t="s">
        <v>22</v>
      </c>
      <c r="F70" s="109" t="s">
        <v>947</v>
      </c>
      <c r="G70" s="111" t="s">
        <v>846</v>
      </c>
    </row>
    <row r="71" customFormat="false" ht="23.85" hidden="false" customHeight="false" outlineLevel="0" collapsed="false">
      <c r="A71" s="109" t="s">
        <v>85</v>
      </c>
      <c r="B71" s="109" t="s">
        <v>86</v>
      </c>
      <c r="C71" s="109" t="s">
        <v>149</v>
      </c>
      <c r="D71" s="109" t="s">
        <v>71</v>
      </c>
      <c r="E71" s="112" t="s">
        <v>16</v>
      </c>
      <c r="F71" s="109" t="s">
        <v>948</v>
      </c>
      <c r="G71" s="111" t="s">
        <v>949</v>
      </c>
    </row>
    <row r="72" customFormat="false" ht="23.85" hidden="false" customHeight="false" outlineLevel="0" collapsed="false">
      <c r="A72" s="109" t="s">
        <v>85</v>
      </c>
      <c r="B72" s="109" t="s">
        <v>86</v>
      </c>
      <c r="C72" s="109" t="s">
        <v>151</v>
      </c>
      <c r="D72" s="109" t="s">
        <v>35</v>
      </c>
      <c r="E72" s="112" t="s">
        <v>16</v>
      </c>
      <c r="F72" s="109" t="s">
        <v>950</v>
      </c>
      <c r="G72" s="111" t="s">
        <v>951</v>
      </c>
    </row>
    <row r="73" customFormat="false" ht="23.85" hidden="false" customHeight="false" outlineLevel="0" collapsed="false">
      <c r="A73" s="109" t="s">
        <v>85</v>
      </c>
      <c r="B73" s="109" t="s">
        <v>86</v>
      </c>
      <c r="C73" s="109" t="s">
        <v>151</v>
      </c>
      <c r="D73" s="109" t="s">
        <v>39</v>
      </c>
      <c r="E73" s="114" t="s">
        <v>22</v>
      </c>
      <c r="F73" s="109" t="s">
        <v>952</v>
      </c>
      <c r="G73" s="111" t="s">
        <v>953</v>
      </c>
    </row>
    <row r="74" customFormat="false" ht="23.85" hidden="false" customHeight="false" outlineLevel="0" collapsed="false">
      <c r="A74" s="109" t="s">
        <v>85</v>
      </c>
      <c r="B74" s="109" t="s">
        <v>86</v>
      </c>
      <c r="C74" s="109" t="s">
        <v>151</v>
      </c>
      <c r="D74" s="109" t="s">
        <v>43</v>
      </c>
      <c r="E74" s="112" t="s">
        <v>16</v>
      </c>
      <c r="F74" s="109" t="s">
        <v>954</v>
      </c>
      <c r="G74" s="111" t="s">
        <v>834</v>
      </c>
    </row>
    <row r="75" customFormat="false" ht="23.85" hidden="false" customHeight="false" outlineLevel="0" collapsed="false">
      <c r="A75" s="109" t="s">
        <v>85</v>
      </c>
      <c r="B75" s="109" t="s">
        <v>86</v>
      </c>
      <c r="C75" s="109" t="s">
        <v>151</v>
      </c>
      <c r="D75" s="109" t="s">
        <v>47</v>
      </c>
      <c r="E75" s="112" t="s">
        <v>16</v>
      </c>
      <c r="F75" s="109" t="s">
        <v>955</v>
      </c>
      <c r="G75" s="111" t="s">
        <v>956</v>
      </c>
    </row>
    <row r="76" customFormat="false" ht="23.85" hidden="false" customHeight="false" outlineLevel="0" collapsed="false">
      <c r="A76" s="109" t="s">
        <v>85</v>
      </c>
      <c r="B76" s="109" t="s">
        <v>86</v>
      </c>
      <c r="C76" s="109" t="s">
        <v>151</v>
      </c>
      <c r="D76" s="109" t="s">
        <v>51</v>
      </c>
      <c r="E76" s="112" t="s">
        <v>16</v>
      </c>
      <c r="F76" s="109" t="s">
        <v>957</v>
      </c>
      <c r="G76" s="111" t="s">
        <v>958</v>
      </c>
    </row>
    <row r="77" customFormat="false" ht="23.85" hidden="false" customHeight="false" outlineLevel="0" collapsed="false">
      <c r="A77" s="109" t="s">
        <v>85</v>
      </c>
      <c r="B77" s="109" t="s">
        <v>86</v>
      </c>
      <c r="C77" s="109" t="s">
        <v>151</v>
      </c>
      <c r="D77" s="109" t="s">
        <v>55</v>
      </c>
      <c r="E77" s="112" t="s">
        <v>16</v>
      </c>
      <c r="F77" s="109" t="s">
        <v>959</v>
      </c>
      <c r="G77" s="111" t="s">
        <v>859</v>
      </c>
    </row>
    <row r="78" customFormat="false" ht="23.85" hidden="false" customHeight="false" outlineLevel="0" collapsed="false">
      <c r="A78" s="109" t="s">
        <v>85</v>
      </c>
      <c r="B78" s="109" t="s">
        <v>86</v>
      </c>
      <c r="C78" s="109" t="s">
        <v>151</v>
      </c>
      <c r="D78" s="109" t="s">
        <v>59</v>
      </c>
      <c r="E78" s="112" t="s">
        <v>16</v>
      </c>
      <c r="F78" s="109" t="s">
        <v>960</v>
      </c>
      <c r="G78" s="111" t="s">
        <v>945</v>
      </c>
    </row>
    <row r="79" customFormat="false" ht="23.85" hidden="false" customHeight="false" outlineLevel="0" collapsed="false">
      <c r="A79" s="109" t="s">
        <v>85</v>
      </c>
      <c r="B79" s="109" t="s">
        <v>86</v>
      </c>
      <c r="C79" s="109" t="s">
        <v>151</v>
      </c>
      <c r="D79" s="109" t="s">
        <v>63</v>
      </c>
      <c r="E79" s="110" t="s">
        <v>18</v>
      </c>
      <c r="F79" s="109" t="s">
        <v>961</v>
      </c>
      <c r="G79" s="111" t="s">
        <v>962</v>
      </c>
    </row>
    <row r="80" customFormat="false" ht="23.85" hidden="false" customHeight="false" outlineLevel="0" collapsed="false">
      <c r="A80" s="109" t="s">
        <v>85</v>
      </c>
      <c r="B80" s="109" t="s">
        <v>86</v>
      </c>
      <c r="C80" s="109" t="s">
        <v>151</v>
      </c>
      <c r="D80" s="109" t="s">
        <v>67</v>
      </c>
      <c r="E80" s="112" t="s">
        <v>16</v>
      </c>
      <c r="F80" s="109" t="s">
        <v>963</v>
      </c>
      <c r="G80" s="111" t="s">
        <v>846</v>
      </c>
    </row>
    <row r="81" customFormat="false" ht="23.85" hidden="false" customHeight="false" outlineLevel="0" collapsed="false">
      <c r="A81" s="109" t="s">
        <v>85</v>
      </c>
      <c r="B81" s="109" t="s">
        <v>86</v>
      </c>
      <c r="C81" s="109" t="s">
        <v>151</v>
      </c>
      <c r="D81" s="109" t="s">
        <v>71</v>
      </c>
      <c r="E81" s="112" t="s">
        <v>16</v>
      </c>
      <c r="F81" s="109" t="s">
        <v>964</v>
      </c>
      <c r="G81" s="111" t="s">
        <v>965</v>
      </c>
    </row>
    <row r="82" customFormat="false" ht="23.85" hidden="false" customHeight="false" outlineLevel="0" collapsed="false">
      <c r="A82" s="109" t="s">
        <v>85</v>
      </c>
      <c r="B82" s="109" t="s">
        <v>86</v>
      </c>
      <c r="C82" s="109" t="s">
        <v>153</v>
      </c>
      <c r="D82" s="109" t="s">
        <v>35</v>
      </c>
      <c r="E82" s="110" t="s">
        <v>18</v>
      </c>
      <c r="F82" s="109" t="s">
        <v>966</v>
      </c>
      <c r="G82" s="111" t="s">
        <v>830</v>
      </c>
    </row>
    <row r="83" customFormat="false" ht="23.85" hidden="false" customHeight="false" outlineLevel="0" collapsed="false">
      <c r="A83" s="109" t="s">
        <v>85</v>
      </c>
      <c r="B83" s="109" t="s">
        <v>86</v>
      </c>
      <c r="C83" s="109" t="s">
        <v>153</v>
      </c>
      <c r="D83" s="109" t="s">
        <v>39</v>
      </c>
      <c r="E83" s="114" t="s">
        <v>22</v>
      </c>
      <c r="F83" s="109" t="s">
        <v>967</v>
      </c>
      <c r="G83" s="111" t="s">
        <v>968</v>
      </c>
    </row>
    <row r="84" customFormat="false" ht="23.85" hidden="false" customHeight="false" outlineLevel="0" collapsed="false">
      <c r="A84" s="109" t="s">
        <v>85</v>
      </c>
      <c r="B84" s="109" t="s">
        <v>86</v>
      </c>
      <c r="C84" s="109" t="s">
        <v>153</v>
      </c>
      <c r="D84" s="109" t="s">
        <v>43</v>
      </c>
      <c r="E84" s="112" t="s">
        <v>16</v>
      </c>
      <c r="F84" s="109" t="s">
        <v>969</v>
      </c>
      <c r="G84" s="111" t="s">
        <v>834</v>
      </c>
    </row>
    <row r="85" customFormat="false" ht="23.85" hidden="false" customHeight="false" outlineLevel="0" collapsed="false">
      <c r="A85" s="109" t="s">
        <v>85</v>
      </c>
      <c r="B85" s="109" t="s">
        <v>86</v>
      </c>
      <c r="C85" s="109" t="s">
        <v>153</v>
      </c>
      <c r="D85" s="109" t="s">
        <v>47</v>
      </c>
      <c r="E85" s="112" t="s">
        <v>16</v>
      </c>
      <c r="F85" s="109" t="s">
        <v>970</v>
      </c>
      <c r="G85" s="111" t="s">
        <v>971</v>
      </c>
    </row>
    <row r="86" customFormat="false" ht="23.85" hidden="false" customHeight="false" outlineLevel="0" collapsed="false">
      <c r="A86" s="109" t="s">
        <v>85</v>
      </c>
      <c r="B86" s="109" t="s">
        <v>86</v>
      </c>
      <c r="C86" s="109" t="s">
        <v>153</v>
      </c>
      <c r="D86" s="109" t="s">
        <v>51</v>
      </c>
      <c r="E86" s="112" t="s">
        <v>16</v>
      </c>
      <c r="F86" s="109" t="s">
        <v>972</v>
      </c>
      <c r="G86" s="111" t="s">
        <v>973</v>
      </c>
    </row>
    <row r="87" customFormat="false" ht="23.85" hidden="false" customHeight="false" outlineLevel="0" collapsed="false">
      <c r="A87" s="109" t="s">
        <v>85</v>
      </c>
      <c r="B87" s="109" t="s">
        <v>86</v>
      </c>
      <c r="C87" s="109" t="s">
        <v>153</v>
      </c>
      <c r="D87" s="109" t="s">
        <v>55</v>
      </c>
      <c r="E87" s="112" t="s">
        <v>16</v>
      </c>
      <c r="F87" s="109" t="s">
        <v>974</v>
      </c>
      <c r="G87" s="111" t="s">
        <v>975</v>
      </c>
    </row>
    <row r="88" customFormat="false" ht="23.85" hidden="false" customHeight="false" outlineLevel="0" collapsed="false">
      <c r="A88" s="109" t="s">
        <v>85</v>
      </c>
      <c r="B88" s="109" t="s">
        <v>86</v>
      </c>
      <c r="C88" s="109" t="s">
        <v>153</v>
      </c>
      <c r="D88" s="109" t="s">
        <v>59</v>
      </c>
      <c r="E88" s="112" t="s">
        <v>16</v>
      </c>
      <c r="F88" s="109" t="s">
        <v>976</v>
      </c>
      <c r="G88" s="111" t="s">
        <v>861</v>
      </c>
    </row>
    <row r="89" customFormat="false" ht="23.85" hidden="false" customHeight="false" outlineLevel="0" collapsed="false">
      <c r="A89" s="109" t="s">
        <v>85</v>
      </c>
      <c r="B89" s="109" t="s">
        <v>86</v>
      </c>
      <c r="C89" s="109" t="s">
        <v>153</v>
      </c>
      <c r="D89" s="109" t="s">
        <v>63</v>
      </c>
      <c r="E89" s="112" t="s">
        <v>16</v>
      </c>
      <c r="F89" s="109" t="s">
        <v>977</v>
      </c>
      <c r="G89" s="111" t="s">
        <v>978</v>
      </c>
    </row>
    <row r="90" customFormat="false" ht="23.85" hidden="false" customHeight="false" outlineLevel="0" collapsed="false">
      <c r="A90" s="109" t="s">
        <v>85</v>
      </c>
      <c r="B90" s="109" t="s">
        <v>86</v>
      </c>
      <c r="C90" s="109" t="s">
        <v>153</v>
      </c>
      <c r="D90" s="109" t="s">
        <v>67</v>
      </c>
      <c r="E90" s="113" t="s">
        <v>24</v>
      </c>
      <c r="F90" s="109" t="s">
        <v>979</v>
      </c>
      <c r="G90" s="109"/>
    </row>
    <row r="91" customFormat="false" ht="23.85" hidden="false" customHeight="false" outlineLevel="0" collapsed="false">
      <c r="A91" s="109" t="s">
        <v>85</v>
      </c>
      <c r="B91" s="109" t="s">
        <v>86</v>
      </c>
      <c r="C91" s="109" t="s">
        <v>153</v>
      </c>
      <c r="D91" s="109" t="s">
        <v>71</v>
      </c>
      <c r="E91" s="113" t="s">
        <v>24</v>
      </c>
      <c r="F91" s="109" t="s">
        <v>980</v>
      </c>
      <c r="G91" s="109"/>
    </row>
    <row r="92" customFormat="false" ht="23.85" hidden="false" customHeight="false" outlineLevel="0" collapsed="false">
      <c r="A92" s="109" t="s">
        <v>85</v>
      </c>
      <c r="B92" s="109" t="s">
        <v>86</v>
      </c>
      <c r="C92" s="109" t="s">
        <v>155</v>
      </c>
      <c r="D92" s="109" t="s">
        <v>35</v>
      </c>
      <c r="E92" s="110" t="s">
        <v>18</v>
      </c>
      <c r="F92" s="109" t="s">
        <v>981</v>
      </c>
      <c r="G92" s="111" t="s">
        <v>830</v>
      </c>
    </row>
    <row r="93" customFormat="false" ht="23.85" hidden="false" customHeight="false" outlineLevel="0" collapsed="false">
      <c r="A93" s="109" t="s">
        <v>85</v>
      </c>
      <c r="B93" s="109" t="s">
        <v>86</v>
      </c>
      <c r="C93" s="109" t="s">
        <v>155</v>
      </c>
      <c r="D93" s="109" t="s">
        <v>39</v>
      </c>
      <c r="E93" s="114" t="s">
        <v>22</v>
      </c>
      <c r="F93" s="109" t="s">
        <v>982</v>
      </c>
      <c r="G93" s="111" t="s">
        <v>983</v>
      </c>
    </row>
    <row r="94" customFormat="false" ht="23.85" hidden="false" customHeight="false" outlineLevel="0" collapsed="false">
      <c r="A94" s="109" t="s">
        <v>85</v>
      </c>
      <c r="B94" s="109" t="s">
        <v>86</v>
      </c>
      <c r="C94" s="109" t="s">
        <v>155</v>
      </c>
      <c r="D94" s="109" t="s">
        <v>43</v>
      </c>
      <c r="E94" s="112" t="s">
        <v>16</v>
      </c>
      <c r="F94" s="109" t="s">
        <v>984</v>
      </c>
      <c r="G94" s="111" t="s">
        <v>985</v>
      </c>
    </row>
    <row r="95" customFormat="false" ht="23.85" hidden="false" customHeight="false" outlineLevel="0" collapsed="false">
      <c r="A95" s="109" t="s">
        <v>85</v>
      </c>
      <c r="B95" s="109" t="s">
        <v>86</v>
      </c>
      <c r="C95" s="109" t="s">
        <v>155</v>
      </c>
      <c r="D95" s="109" t="s">
        <v>47</v>
      </c>
      <c r="E95" s="112" t="s">
        <v>16</v>
      </c>
      <c r="F95" s="109" t="s">
        <v>986</v>
      </c>
      <c r="G95" s="111" t="s">
        <v>987</v>
      </c>
    </row>
    <row r="96" customFormat="false" ht="15" hidden="false" customHeight="false" outlineLevel="0" collapsed="false">
      <c r="A96" s="109" t="s">
        <v>85</v>
      </c>
      <c r="B96" s="109" t="s">
        <v>86</v>
      </c>
      <c r="C96" s="109" t="s">
        <v>155</v>
      </c>
      <c r="D96" s="109" t="s">
        <v>51</v>
      </c>
      <c r="E96" s="112" t="s">
        <v>16</v>
      </c>
      <c r="F96" s="109" t="s">
        <v>988</v>
      </c>
      <c r="G96" s="111" t="s">
        <v>989</v>
      </c>
    </row>
    <row r="97" customFormat="false" ht="23.85" hidden="false" customHeight="false" outlineLevel="0" collapsed="false">
      <c r="A97" s="109" t="s">
        <v>85</v>
      </c>
      <c r="B97" s="109" t="s">
        <v>86</v>
      </c>
      <c r="C97" s="109" t="s">
        <v>155</v>
      </c>
      <c r="D97" s="109" t="s">
        <v>55</v>
      </c>
      <c r="E97" s="112" t="s">
        <v>16</v>
      </c>
      <c r="F97" s="109" t="s">
        <v>990</v>
      </c>
      <c r="G97" s="111" t="s">
        <v>859</v>
      </c>
    </row>
    <row r="98" customFormat="false" ht="23.85" hidden="false" customHeight="false" outlineLevel="0" collapsed="false">
      <c r="A98" s="109" t="s">
        <v>85</v>
      </c>
      <c r="B98" s="109" t="s">
        <v>86</v>
      </c>
      <c r="C98" s="109" t="s">
        <v>155</v>
      </c>
      <c r="D98" s="109" t="s">
        <v>59</v>
      </c>
      <c r="E98" s="112" t="s">
        <v>16</v>
      </c>
      <c r="F98" s="109" t="s">
        <v>991</v>
      </c>
      <c r="G98" s="111" t="s">
        <v>992</v>
      </c>
    </row>
    <row r="99" customFormat="false" ht="23.85" hidden="false" customHeight="false" outlineLevel="0" collapsed="false">
      <c r="A99" s="109" t="s">
        <v>85</v>
      </c>
      <c r="B99" s="109" t="s">
        <v>86</v>
      </c>
      <c r="C99" s="109" t="s">
        <v>155</v>
      </c>
      <c r="D99" s="109" t="s">
        <v>63</v>
      </c>
      <c r="E99" s="112" t="s">
        <v>16</v>
      </c>
      <c r="F99" s="109" t="s">
        <v>993</v>
      </c>
      <c r="G99" s="111" t="s">
        <v>994</v>
      </c>
    </row>
    <row r="100" customFormat="false" ht="23.85" hidden="false" customHeight="false" outlineLevel="0" collapsed="false">
      <c r="A100" s="109" t="s">
        <v>85</v>
      </c>
      <c r="B100" s="109" t="s">
        <v>86</v>
      </c>
      <c r="C100" s="109" t="s">
        <v>155</v>
      </c>
      <c r="D100" s="109" t="s">
        <v>67</v>
      </c>
      <c r="E100" s="112" t="s">
        <v>16</v>
      </c>
      <c r="F100" s="109" t="s">
        <v>995</v>
      </c>
      <c r="G100" s="111" t="s">
        <v>996</v>
      </c>
    </row>
    <row r="101" customFormat="false" ht="23.85" hidden="false" customHeight="false" outlineLevel="0" collapsed="false">
      <c r="A101" s="109" t="s">
        <v>85</v>
      </c>
      <c r="B101" s="109" t="s">
        <v>86</v>
      </c>
      <c r="C101" s="109" t="s">
        <v>155</v>
      </c>
      <c r="D101" s="109" t="s">
        <v>71</v>
      </c>
      <c r="E101" s="114" t="s">
        <v>22</v>
      </c>
      <c r="F101" s="109" t="s">
        <v>997</v>
      </c>
      <c r="G101" s="111" t="s">
        <v>998</v>
      </c>
    </row>
    <row r="102" customFormat="false" ht="23.85" hidden="false" customHeight="false" outlineLevel="0" collapsed="false">
      <c r="A102" s="109" t="s">
        <v>85</v>
      </c>
      <c r="B102" s="109" t="s">
        <v>86</v>
      </c>
      <c r="C102" s="109" t="s">
        <v>157</v>
      </c>
      <c r="D102" s="109" t="s">
        <v>35</v>
      </c>
      <c r="E102" s="110" t="s">
        <v>18</v>
      </c>
      <c r="F102" s="109" t="s">
        <v>999</v>
      </c>
      <c r="G102" s="111" t="s">
        <v>830</v>
      </c>
    </row>
    <row r="103" customFormat="false" ht="23.85" hidden="false" customHeight="false" outlineLevel="0" collapsed="false">
      <c r="A103" s="109" t="s">
        <v>85</v>
      </c>
      <c r="B103" s="109" t="s">
        <v>86</v>
      </c>
      <c r="C103" s="109" t="s">
        <v>157</v>
      </c>
      <c r="D103" s="109" t="s">
        <v>39</v>
      </c>
      <c r="E103" s="112" t="s">
        <v>16</v>
      </c>
      <c r="F103" s="109" t="s">
        <v>1000</v>
      </c>
      <c r="G103" s="111" t="s">
        <v>1001</v>
      </c>
    </row>
    <row r="104" customFormat="false" ht="23.85" hidden="false" customHeight="false" outlineLevel="0" collapsed="false">
      <c r="A104" s="109" t="s">
        <v>85</v>
      </c>
      <c r="B104" s="109" t="s">
        <v>86</v>
      </c>
      <c r="C104" s="109" t="s">
        <v>157</v>
      </c>
      <c r="D104" s="109" t="s">
        <v>43</v>
      </c>
      <c r="E104" s="112" t="s">
        <v>16</v>
      </c>
      <c r="F104" s="109" t="s">
        <v>1002</v>
      </c>
      <c r="G104" s="111" t="s">
        <v>1003</v>
      </c>
    </row>
    <row r="105" customFormat="false" ht="23.85" hidden="false" customHeight="false" outlineLevel="0" collapsed="false">
      <c r="A105" s="109" t="s">
        <v>85</v>
      </c>
      <c r="B105" s="109" t="s">
        <v>86</v>
      </c>
      <c r="C105" s="109" t="s">
        <v>157</v>
      </c>
      <c r="D105" s="109" t="s">
        <v>47</v>
      </c>
      <c r="E105" s="112" t="s">
        <v>16</v>
      </c>
      <c r="F105" s="109" t="s">
        <v>1004</v>
      </c>
      <c r="G105" s="111" t="s">
        <v>1005</v>
      </c>
    </row>
    <row r="106" customFormat="false" ht="23.85" hidden="false" customHeight="false" outlineLevel="0" collapsed="false">
      <c r="A106" s="109" t="s">
        <v>85</v>
      </c>
      <c r="B106" s="109" t="s">
        <v>86</v>
      </c>
      <c r="C106" s="109" t="s">
        <v>157</v>
      </c>
      <c r="D106" s="109" t="s">
        <v>51</v>
      </c>
      <c r="E106" s="112" t="s">
        <v>16</v>
      </c>
      <c r="F106" s="109" t="s">
        <v>1006</v>
      </c>
      <c r="G106" s="111" t="s">
        <v>1007</v>
      </c>
    </row>
    <row r="107" customFormat="false" ht="23.85" hidden="false" customHeight="false" outlineLevel="0" collapsed="false">
      <c r="A107" s="109" t="s">
        <v>85</v>
      </c>
      <c r="B107" s="109" t="s">
        <v>86</v>
      </c>
      <c r="C107" s="109" t="s">
        <v>157</v>
      </c>
      <c r="D107" s="109" t="s">
        <v>55</v>
      </c>
      <c r="E107" s="112" t="s">
        <v>16</v>
      </c>
      <c r="F107" s="109" t="s">
        <v>1008</v>
      </c>
      <c r="G107" s="111" t="s">
        <v>1009</v>
      </c>
    </row>
    <row r="108" customFormat="false" ht="23.85" hidden="false" customHeight="false" outlineLevel="0" collapsed="false">
      <c r="A108" s="109" t="s">
        <v>85</v>
      </c>
      <c r="B108" s="109" t="s">
        <v>86</v>
      </c>
      <c r="C108" s="109" t="s">
        <v>157</v>
      </c>
      <c r="D108" s="109" t="s">
        <v>59</v>
      </c>
      <c r="E108" s="112" t="s">
        <v>16</v>
      </c>
      <c r="F108" s="109" t="s">
        <v>1010</v>
      </c>
      <c r="G108" s="111" t="s">
        <v>861</v>
      </c>
    </row>
    <row r="109" customFormat="false" ht="23.85" hidden="false" customHeight="false" outlineLevel="0" collapsed="false">
      <c r="A109" s="109" t="s">
        <v>85</v>
      </c>
      <c r="B109" s="109" t="s">
        <v>86</v>
      </c>
      <c r="C109" s="109" t="s">
        <v>157</v>
      </c>
      <c r="D109" s="109" t="s">
        <v>63</v>
      </c>
      <c r="E109" s="112" t="s">
        <v>16</v>
      </c>
      <c r="F109" s="109" t="s">
        <v>1011</v>
      </c>
      <c r="G109" s="111" t="s">
        <v>1012</v>
      </c>
    </row>
    <row r="110" customFormat="false" ht="23.85" hidden="false" customHeight="false" outlineLevel="0" collapsed="false">
      <c r="A110" s="109" t="s">
        <v>85</v>
      </c>
      <c r="B110" s="109" t="s">
        <v>86</v>
      </c>
      <c r="C110" s="109" t="s">
        <v>157</v>
      </c>
      <c r="D110" s="109" t="s">
        <v>67</v>
      </c>
      <c r="E110" s="112" t="s">
        <v>16</v>
      </c>
      <c r="F110" s="109" t="s">
        <v>1013</v>
      </c>
      <c r="G110" s="111" t="s">
        <v>882</v>
      </c>
    </row>
    <row r="111" customFormat="false" ht="23.85" hidden="false" customHeight="false" outlineLevel="0" collapsed="false">
      <c r="A111" s="109" t="s">
        <v>85</v>
      </c>
      <c r="B111" s="109" t="s">
        <v>86</v>
      </c>
      <c r="C111" s="109" t="s">
        <v>157</v>
      </c>
      <c r="D111" s="109" t="s">
        <v>71</v>
      </c>
      <c r="E111" s="112" t="s">
        <v>16</v>
      </c>
      <c r="F111" s="109" t="s">
        <v>1014</v>
      </c>
      <c r="G111" s="111" t="s">
        <v>884</v>
      </c>
    </row>
    <row r="112" customFormat="false" ht="15" hidden="false" customHeight="false" outlineLevel="0" collapsed="false">
      <c r="A112" s="109" t="s">
        <v>85</v>
      </c>
      <c r="B112" s="109" t="s">
        <v>86</v>
      </c>
      <c r="C112" s="109" t="s">
        <v>159</v>
      </c>
      <c r="D112" s="109" t="s">
        <v>35</v>
      </c>
      <c r="E112" s="110" t="s">
        <v>18</v>
      </c>
      <c r="F112" s="109" t="s">
        <v>1015</v>
      </c>
      <c r="G112" s="111" t="s">
        <v>830</v>
      </c>
    </row>
    <row r="113" customFormat="false" ht="15" hidden="false" customHeight="false" outlineLevel="0" collapsed="false">
      <c r="A113" s="109" t="s">
        <v>85</v>
      </c>
      <c r="B113" s="109" t="s">
        <v>86</v>
      </c>
      <c r="C113" s="109" t="s">
        <v>159</v>
      </c>
      <c r="D113" s="109" t="s">
        <v>39</v>
      </c>
      <c r="E113" s="115" t="s">
        <v>20</v>
      </c>
      <c r="F113" s="109" t="s">
        <v>1016</v>
      </c>
      <c r="G113" s="111" t="s">
        <v>1017</v>
      </c>
    </row>
    <row r="114" customFormat="false" ht="23.85" hidden="false" customHeight="false" outlineLevel="0" collapsed="false">
      <c r="A114" s="109" t="s">
        <v>85</v>
      </c>
      <c r="B114" s="109" t="s">
        <v>86</v>
      </c>
      <c r="C114" s="109" t="s">
        <v>159</v>
      </c>
      <c r="D114" s="109" t="s">
        <v>43</v>
      </c>
      <c r="E114" s="112" t="s">
        <v>16</v>
      </c>
      <c r="F114" s="109" t="s">
        <v>1018</v>
      </c>
      <c r="G114" s="111" t="s">
        <v>1019</v>
      </c>
    </row>
    <row r="115" customFormat="false" ht="23.85" hidden="false" customHeight="false" outlineLevel="0" collapsed="false">
      <c r="A115" s="109" t="s">
        <v>85</v>
      </c>
      <c r="B115" s="109" t="s">
        <v>86</v>
      </c>
      <c r="C115" s="109" t="s">
        <v>159</v>
      </c>
      <c r="D115" s="109" t="s">
        <v>47</v>
      </c>
      <c r="E115" s="114" t="s">
        <v>22</v>
      </c>
      <c r="F115" s="109" t="s">
        <v>1020</v>
      </c>
      <c r="G115" s="111" t="s">
        <v>1005</v>
      </c>
    </row>
    <row r="116" customFormat="false" ht="23.85" hidden="false" customHeight="false" outlineLevel="0" collapsed="false">
      <c r="A116" s="109" t="s">
        <v>85</v>
      </c>
      <c r="B116" s="109" t="s">
        <v>86</v>
      </c>
      <c r="C116" s="109" t="s">
        <v>159</v>
      </c>
      <c r="D116" s="109" t="s">
        <v>51</v>
      </c>
      <c r="E116" s="112" t="s">
        <v>16</v>
      </c>
      <c r="F116" s="109" t="s">
        <v>1021</v>
      </c>
      <c r="G116" s="111" t="s">
        <v>1022</v>
      </c>
    </row>
    <row r="117" customFormat="false" ht="23.85" hidden="false" customHeight="false" outlineLevel="0" collapsed="false">
      <c r="A117" s="109" t="s">
        <v>85</v>
      </c>
      <c r="B117" s="109" t="s">
        <v>86</v>
      </c>
      <c r="C117" s="109" t="s">
        <v>159</v>
      </c>
      <c r="D117" s="109" t="s">
        <v>55</v>
      </c>
      <c r="E117" s="112" t="s">
        <v>16</v>
      </c>
      <c r="F117" s="109" t="s">
        <v>1023</v>
      </c>
      <c r="G117" s="111" t="s">
        <v>877</v>
      </c>
    </row>
    <row r="118" customFormat="false" ht="23.85" hidden="false" customHeight="false" outlineLevel="0" collapsed="false">
      <c r="A118" s="109" t="s">
        <v>85</v>
      </c>
      <c r="B118" s="109" t="s">
        <v>86</v>
      </c>
      <c r="C118" s="109" t="s">
        <v>159</v>
      </c>
      <c r="D118" s="109" t="s">
        <v>59</v>
      </c>
      <c r="E118" s="114" t="s">
        <v>22</v>
      </c>
      <c r="F118" s="109" t="s">
        <v>1024</v>
      </c>
      <c r="G118" s="111" t="s">
        <v>861</v>
      </c>
    </row>
    <row r="119" customFormat="false" ht="23.85" hidden="false" customHeight="false" outlineLevel="0" collapsed="false">
      <c r="A119" s="109" t="s">
        <v>85</v>
      </c>
      <c r="B119" s="109" t="s">
        <v>86</v>
      </c>
      <c r="C119" s="109" t="s">
        <v>159</v>
      </c>
      <c r="D119" s="109" t="s">
        <v>63</v>
      </c>
      <c r="E119" s="112" t="s">
        <v>16</v>
      </c>
      <c r="F119" s="109" t="s">
        <v>1025</v>
      </c>
      <c r="G119" s="111" t="s">
        <v>1026</v>
      </c>
    </row>
    <row r="120" customFormat="false" ht="23.85" hidden="false" customHeight="false" outlineLevel="0" collapsed="false">
      <c r="A120" s="109" t="s">
        <v>85</v>
      </c>
      <c r="B120" s="109" t="s">
        <v>86</v>
      </c>
      <c r="C120" s="109" t="s">
        <v>159</v>
      </c>
      <c r="D120" s="109" t="s">
        <v>67</v>
      </c>
      <c r="E120" s="112" t="s">
        <v>16</v>
      </c>
      <c r="F120" s="109" t="s">
        <v>1027</v>
      </c>
      <c r="G120" s="111" t="s">
        <v>1028</v>
      </c>
    </row>
    <row r="121" customFormat="false" ht="23.85" hidden="false" customHeight="false" outlineLevel="0" collapsed="false">
      <c r="A121" s="109" t="s">
        <v>85</v>
      </c>
      <c r="B121" s="109" t="s">
        <v>86</v>
      </c>
      <c r="C121" s="109" t="s">
        <v>159</v>
      </c>
      <c r="D121" s="109" t="s">
        <v>71</v>
      </c>
      <c r="E121" s="114" t="s">
        <v>22</v>
      </c>
      <c r="F121" s="109" t="s">
        <v>1029</v>
      </c>
      <c r="G121" s="111" t="s">
        <v>884</v>
      </c>
    </row>
    <row r="122" customFormat="false" ht="23.85" hidden="false" customHeight="false" outlineLevel="0" collapsed="false">
      <c r="A122" s="109" t="s">
        <v>85</v>
      </c>
      <c r="B122" s="109" t="s">
        <v>86</v>
      </c>
      <c r="C122" s="109" t="s">
        <v>161</v>
      </c>
      <c r="D122" s="109" t="s">
        <v>35</v>
      </c>
      <c r="E122" s="114" t="s">
        <v>22</v>
      </c>
      <c r="F122" s="109" t="s">
        <v>1030</v>
      </c>
      <c r="G122" s="111" t="s">
        <v>1031</v>
      </c>
    </row>
    <row r="123" customFormat="false" ht="23.85" hidden="false" customHeight="false" outlineLevel="0" collapsed="false">
      <c r="A123" s="109" t="s">
        <v>85</v>
      </c>
      <c r="B123" s="109" t="s">
        <v>86</v>
      </c>
      <c r="C123" s="109" t="s">
        <v>161</v>
      </c>
      <c r="D123" s="109" t="s">
        <v>39</v>
      </c>
      <c r="E123" s="114" t="s">
        <v>22</v>
      </c>
      <c r="F123" s="109" t="s">
        <v>1032</v>
      </c>
      <c r="G123" s="111" t="s">
        <v>1033</v>
      </c>
    </row>
    <row r="124" customFormat="false" ht="23.85" hidden="false" customHeight="false" outlineLevel="0" collapsed="false">
      <c r="A124" s="109" t="s">
        <v>85</v>
      </c>
      <c r="B124" s="109" t="s">
        <v>86</v>
      </c>
      <c r="C124" s="109" t="s">
        <v>161</v>
      </c>
      <c r="D124" s="109" t="s">
        <v>43</v>
      </c>
      <c r="E124" s="112" t="s">
        <v>16</v>
      </c>
      <c r="F124" s="109" t="s">
        <v>1034</v>
      </c>
      <c r="G124" s="111" t="s">
        <v>1035</v>
      </c>
    </row>
    <row r="125" customFormat="false" ht="23.85" hidden="false" customHeight="false" outlineLevel="0" collapsed="false">
      <c r="A125" s="109" t="s">
        <v>85</v>
      </c>
      <c r="B125" s="109" t="s">
        <v>86</v>
      </c>
      <c r="C125" s="109" t="s">
        <v>161</v>
      </c>
      <c r="D125" s="109" t="s">
        <v>47</v>
      </c>
      <c r="E125" s="114" t="s">
        <v>22</v>
      </c>
      <c r="F125" s="109" t="s">
        <v>1036</v>
      </c>
      <c r="G125" s="111" t="s">
        <v>1037</v>
      </c>
    </row>
    <row r="126" customFormat="false" ht="23.85" hidden="false" customHeight="false" outlineLevel="0" collapsed="false">
      <c r="A126" s="109" t="s">
        <v>85</v>
      </c>
      <c r="B126" s="109" t="s">
        <v>86</v>
      </c>
      <c r="C126" s="109" t="s">
        <v>161</v>
      </c>
      <c r="D126" s="109" t="s">
        <v>51</v>
      </c>
      <c r="E126" s="112" t="s">
        <v>16</v>
      </c>
      <c r="F126" s="109" t="s">
        <v>1038</v>
      </c>
      <c r="G126" s="111" t="s">
        <v>1039</v>
      </c>
    </row>
    <row r="127" customFormat="false" ht="23.85" hidden="false" customHeight="false" outlineLevel="0" collapsed="false">
      <c r="A127" s="109" t="s">
        <v>85</v>
      </c>
      <c r="B127" s="109" t="s">
        <v>86</v>
      </c>
      <c r="C127" s="109" t="s">
        <v>161</v>
      </c>
      <c r="D127" s="109" t="s">
        <v>55</v>
      </c>
      <c r="E127" s="114" t="s">
        <v>22</v>
      </c>
      <c r="F127" s="109" t="s">
        <v>1040</v>
      </c>
      <c r="G127" s="111" t="s">
        <v>877</v>
      </c>
    </row>
    <row r="128" customFormat="false" ht="15" hidden="false" customHeight="false" outlineLevel="0" collapsed="false">
      <c r="A128" s="109" t="s">
        <v>85</v>
      </c>
      <c r="B128" s="109" t="s">
        <v>86</v>
      </c>
      <c r="C128" s="109" t="s">
        <v>161</v>
      </c>
      <c r="D128" s="109" t="s">
        <v>59</v>
      </c>
      <c r="E128" s="113" t="s">
        <v>24</v>
      </c>
      <c r="F128" s="109" t="s">
        <v>1041</v>
      </c>
      <c r="G128" s="111" t="s">
        <v>861</v>
      </c>
    </row>
    <row r="129" customFormat="false" ht="23.85" hidden="false" customHeight="false" outlineLevel="0" collapsed="false">
      <c r="A129" s="109" t="s">
        <v>85</v>
      </c>
      <c r="B129" s="109" t="s">
        <v>86</v>
      </c>
      <c r="C129" s="109" t="s">
        <v>161</v>
      </c>
      <c r="D129" s="109" t="s">
        <v>63</v>
      </c>
      <c r="E129" s="112" t="s">
        <v>16</v>
      </c>
      <c r="F129" s="109" t="s">
        <v>1042</v>
      </c>
      <c r="G129" s="111" t="s">
        <v>1043</v>
      </c>
    </row>
    <row r="130" customFormat="false" ht="23.85" hidden="false" customHeight="false" outlineLevel="0" collapsed="false">
      <c r="A130" s="109" t="s">
        <v>85</v>
      </c>
      <c r="B130" s="109" t="s">
        <v>86</v>
      </c>
      <c r="C130" s="109" t="s">
        <v>161</v>
      </c>
      <c r="D130" s="109" t="s">
        <v>67</v>
      </c>
      <c r="E130" s="114" t="s">
        <v>22</v>
      </c>
      <c r="F130" s="109" t="s">
        <v>1044</v>
      </c>
      <c r="G130" s="111" t="s">
        <v>1045</v>
      </c>
    </row>
    <row r="131" customFormat="false" ht="23.85" hidden="false" customHeight="false" outlineLevel="0" collapsed="false">
      <c r="A131" s="109" t="s">
        <v>85</v>
      </c>
      <c r="B131" s="109" t="s">
        <v>86</v>
      </c>
      <c r="C131" s="109" t="s">
        <v>161</v>
      </c>
      <c r="D131" s="109" t="s">
        <v>71</v>
      </c>
      <c r="E131" s="114" t="s">
        <v>22</v>
      </c>
      <c r="F131" s="109" t="s">
        <v>1046</v>
      </c>
      <c r="G131" s="111" t="s">
        <v>916</v>
      </c>
    </row>
    <row r="132" customFormat="false" ht="23.85" hidden="false" customHeight="false" outlineLevel="0" collapsed="false">
      <c r="A132" s="109" t="s">
        <v>85</v>
      </c>
      <c r="B132" s="109" t="s">
        <v>87</v>
      </c>
      <c r="C132" s="109" t="s">
        <v>204</v>
      </c>
      <c r="D132" s="109" t="s">
        <v>35</v>
      </c>
      <c r="E132" s="112" t="s">
        <v>16</v>
      </c>
      <c r="F132" s="109" t="s">
        <v>1047</v>
      </c>
      <c r="G132" s="111" t="s">
        <v>1048</v>
      </c>
    </row>
    <row r="133" customFormat="false" ht="23.85" hidden="false" customHeight="false" outlineLevel="0" collapsed="false">
      <c r="A133" s="109" t="s">
        <v>85</v>
      </c>
      <c r="B133" s="109" t="s">
        <v>87</v>
      </c>
      <c r="C133" s="109" t="s">
        <v>204</v>
      </c>
      <c r="D133" s="109" t="s">
        <v>39</v>
      </c>
      <c r="E133" s="112" t="s">
        <v>16</v>
      </c>
      <c r="F133" s="109" t="s">
        <v>1049</v>
      </c>
      <c r="G133" s="111" t="s">
        <v>1050</v>
      </c>
    </row>
    <row r="134" customFormat="false" ht="23.85" hidden="false" customHeight="false" outlineLevel="0" collapsed="false">
      <c r="A134" s="109" t="s">
        <v>85</v>
      </c>
      <c r="B134" s="109" t="s">
        <v>87</v>
      </c>
      <c r="C134" s="109" t="s">
        <v>204</v>
      </c>
      <c r="D134" s="109" t="s">
        <v>43</v>
      </c>
      <c r="E134" s="110" t="s">
        <v>18</v>
      </c>
      <c r="F134" s="109" t="s">
        <v>1051</v>
      </c>
      <c r="G134" s="111" t="s">
        <v>1052</v>
      </c>
    </row>
    <row r="135" customFormat="false" ht="23.85" hidden="false" customHeight="false" outlineLevel="0" collapsed="false">
      <c r="A135" s="109" t="s">
        <v>85</v>
      </c>
      <c r="B135" s="109" t="s">
        <v>87</v>
      </c>
      <c r="C135" s="109" t="s">
        <v>204</v>
      </c>
      <c r="D135" s="109" t="s">
        <v>47</v>
      </c>
      <c r="E135" s="112" t="s">
        <v>16</v>
      </c>
      <c r="F135" s="109" t="s">
        <v>1053</v>
      </c>
      <c r="G135" s="111" t="s">
        <v>1054</v>
      </c>
    </row>
    <row r="136" customFormat="false" ht="23.85" hidden="false" customHeight="false" outlineLevel="0" collapsed="false">
      <c r="A136" s="109" t="s">
        <v>85</v>
      </c>
      <c r="B136" s="109" t="s">
        <v>87</v>
      </c>
      <c r="C136" s="109" t="s">
        <v>204</v>
      </c>
      <c r="D136" s="109" t="s">
        <v>51</v>
      </c>
      <c r="E136" s="112" t="s">
        <v>16</v>
      </c>
      <c r="F136" s="109" t="s">
        <v>1055</v>
      </c>
      <c r="G136" s="111" t="s">
        <v>1056</v>
      </c>
    </row>
    <row r="137" customFormat="false" ht="23.85" hidden="false" customHeight="false" outlineLevel="0" collapsed="false">
      <c r="A137" s="109" t="s">
        <v>85</v>
      </c>
      <c r="B137" s="109" t="s">
        <v>87</v>
      </c>
      <c r="C137" s="109" t="s">
        <v>204</v>
      </c>
      <c r="D137" s="109" t="s">
        <v>55</v>
      </c>
      <c r="E137" s="112" t="s">
        <v>16</v>
      </c>
      <c r="F137" s="109" t="s">
        <v>1057</v>
      </c>
      <c r="G137" s="111" t="s">
        <v>1058</v>
      </c>
    </row>
    <row r="138" customFormat="false" ht="23.85" hidden="false" customHeight="false" outlineLevel="0" collapsed="false">
      <c r="A138" s="109" t="s">
        <v>85</v>
      </c>
      <c r="B138" s="109" t="s">
        <v>87</v>
      </c>
      <c r="C138" s="109" t="s">
        <v>204</v>
      </c>
      <c r="D138" s="109" t="s">
        <v>59</v>
      </c>
      <c r="E138" s="110" t="s">
        <v>18</v>
      </c>
      <c r="F138" s="109" t="s">
        <v>1059</v>
      </c>
      <c r="G138" s="111" t="s">
        <v>1060</v>
      </c>
    </row>
    <row r="139" customFormat="false" ht="23.85" hidden="false" customHeight="false" outlineLevel="0" collapsed="false">
      <c r="A139" s="109" t="s">
        <v>85</v>
      </c>
      <c r="B139" s="109" t="s">
        <v>87</v>
      </c>
      <c r="C139" s="109" t="s">
        <v>204</v>
      </c>
      <c r="D139" s="109" t="s">
        <v>63</v>
      </c>
      <c r="E139" s="112" t="s">
        <v>16</v>
      </c>
      <c r="F139" s="109" t="s">
        <v>1061</v>
      </c>
      <c r="G139" s="111" t="s">
        <v>1062</v>
      </c>
    </row>
    <row r="140" customFormat="false" ht="23.85" hidden="false" customHeight="false" outlineLevel="0" collapsed="false">
      <c r="A140" s="109" t="s">
        <v>85</v>
      </c>
      <c r="B140" s="109" t="s">
        <v>87</v>
      </c>
      <c r="C140" s="109" t="s">
        <v>204</v>
      </c>
      <c r="D140" s="109" t="s">
        <v>67</v>
      </c>
      <c r="E140" s="112" t="s">
        <v>16</v>
      </c>
      <c r="F140" s="109" t="s">
        <v>1063</v>
      </c>
      <c r="G140" s="111" t="s">
        <v>1064</v>
      </c>
    </row>
    <row r="141" customFormat="false" ht="23.85" hidden="false" customHeight="false" outlineLevel="0" collapsed="false">
      <c r="A141" s="109" t="s">
        <v>85</v>
      </c>
      <c r="B141" s="109" t="s">
        <v>87</v>
      </c>
      <c r="C141" s="109" t="s">
        <v>204</v>
      </c>
      <c r="D141" s="109" t="s">
        <v>71</v>
      </c>
      <c r="E141" s="112" t="s">
        <v>16</v>
      </c>
      <c r="F141" s="109" t="s">
        <v>1065</v>
      </c>
      <c r="G141" s="111" t="s">
        <v>1066</v>
      </c>
    </row>
    <row r="142" customFormat="false" ht="23.85" hidden="false" customHeight="false" outlineLevel="0" collapsed="false">
      <c r="A142" s="109" t="s">
        <v>85</v>
      </c>
      <c r="B142" s="109" t="s">
        <v>87</v>
      </c>
      <c r="C142" s="109" t="s">
        <v>206</v>
      </c>
      <c r="D142" s="109" t="s">
        <v>35</v>
      </c>
      <c r="E142" s="112" t="s">
        <v>16</v>
      </c>
      <c r="F142" s="109" t="s">
        <v>1067</v>
      </c>
      <c r="G142" s="111" t="s">
        <v>1068</v>
      </c>
    </row>
    <row r="143" customFormat="false" ht="23.85" hidden="false" customHeight="false" outlineLevel="0" collapsed="false">
      <c r="A143" s="109" t="s">
        <v>85</v>
      </c>
      <c r="B143" s="109" t="s">
        <v>87</v>
      </c>
      <c r="C143" s="109" t="s">
        <v>206</v>
      </c>
      <c r="D143" s="109" t="s">
        <v>39</v>
      </c>
      <c r="E143" s="112" t="s">
        <v>16</v>
      </c>
      <c r="F143" s="109" t="s">
        <v>1069</v>
      </c>
      <c r="G143" s="111" t="s">
        <v>1070</v>
      </c>
    </row>
    <row r="144" customFormat="false" ht="23.85" hidden="false" customHeight="false" outlineLevel="0" collapsed="false">
      <c r="A144" s="109" t="s">
        <v>85</v>
      </c>
      <c r="B144" s="109" t="s">
        <v>87</v>
      </c>
      <c r="C144" s="109" t="s">
        <v>206</v>
      </c>
      <c r="D144" s="109" t="s">
        <v>43</v>
      </c>
      <c r="E144" s="112" t="s">
        <v>16</v>
      </c>
      <c r="F144" s="109" t="s">
        <v>1071</v>
      </c>
      <c r="G144" s="111" t="s">
        <v>889</v>
      </c>
    </row>
    <row r="145" customFormat="false" ht="23.85" hidden="false" customHeight="false" outlineLevel="0" collapsed="false">
      <c r="A145" s="109" t="s">
        <v>85</v>
      </c>
      <c r="B145" s="109" t="s">
        <v>87</v>
      </c>
      <c r="C145" s="109" t="s">
        <v>206</v>
      </c>
      <c r="D145" s="109" t="s">
        <v>47</v>
      </c>
      <c r="E145" s="112" t="s">
        <v>16</v>
      </c>
      <c r="F145" s="109" t="s">
        <v>1072</v>
      </c>
      <c r="G145" s="111" t="s">
        <v>1073</v>
      </c>
    </row>
    <row r="146" customFormat="false" ht="23.85" hidden="false" customHeight="false" outlineLevel="0" collapsed="false">
      <c r="A146" s="109" t="s">
        <v>85</v>
      </c>
      <c r="B146" s="109" t="s">
        <v>87</v>
      </c>
      <c r="C146" s="109" t="s">
        <v>206</v>
      </c>
      <c r="D146" s="109" t="s">
        <v>51</v>
      </c>
      <c r="E146" s="112" t="s">
        <v>16</v>
      </c>
      <c r="F146" s="109" t="s">
        <v>1074</v>
      </c>
      <c r="G146" s="111" t="s">
        <v>892</v>
      </c>
    </row>
    <row r="147" customFormat="false" ht="23.85" hidden="false" customHeight="false" outlineLevel="0" collapsed="false">
      <c r="A147" s="109" t="s">
        <v>85</v>
      </c>
      <c r="B147" s="109" t="s">
        <v>87</v>
      </c>
      <c r="C147" s="109" t="s">
        <v>206</v>
      </c>
      <c r="D147" s="109" t="s">
        <v>55</v>
      </c>
      <c r="E147" s="114" t="s">
        <v>22</v>
      </c>
      <c r="F147" s="109" t="s">
        <v>1075</v>
      </c>
      <c r="G147" s="111" t="s">
        <v>894</v>
      </c>
    </row>
    <row r="148" customFormat="false" ht="23.85" hidden="false" customHeight="false" outlineLevel="0" collapsed="false">
      <c r="A148" s="109" t="s">
        <v>85</v>
      </c>
      <c r="B148" s="109" t="s">
        <v>87</v>
      </c>
      <c r="C148" s="109" t="s">
        <v>206</v>
      </c>
      <c r="D148" s="109" t="s">
        <v>59</v>
      </c>
      <c r="E148" s="110" t="s">
        <v>18</v>
      </c>
      <c r="F148" s="109" t="s">
        <v>1076</v>
      </c>
      <c r="G148" s="111" t="s">
        <v>1060</v>
      </c>
    </row>
    <row r="149" customFormat="false" ht="23.85" hidden="false" customHeight="false" outlineLevel="0" collapsed="false">
      <c r="A149" s="109" t="s">
        <v>85</v>
      </c>
      <c r="B149" s="109" t="s">
        <v>87</v>
      </c>
      <c r="C149" s="109" t="s">
        <v>206</v>
      </c>
      <c r="D149" s="109" t="s">
        <v>63</v>
      </c>
      <c r="E149" s="112" t="s">
        <v>16</v>
      </c>
      <c r="F149" s="109" t="s">
        <v>1077</v>
      </c>
      <c r="G149" s="111" t="s">
        <v>978</v>
      </c>
    </row>
    <row r="150" customFormat="false" ht="23.85" hidden="false" customHeight="false" outlineLevel="0" collapsed="false">
      <c r="A150" s="109" t="s">
        <v>85</v>
      </c>
      <c r="B150" s="109" t="s">
        <v>87</v>
      </c>
      <c r="C150" s="109" t="s">
        <v>206</v>
      </c>
      <c r="D150" s="109" t="s">
        <v>67</v>
      </c>
      <c r="E150" s="112" t="s">
        <v>16</v>
      </c>
      <c r="F150" s="109" t="s">
        <v>1078</v>
      </c>
      <c r="G150" s="111" t="s">
        <v>1079</v>
      </c>
    </row>
    <row r="151" customFormat="false" ht="15" hidden="false" customHeight="false" outlineLevel="0" collapsed="false">
      <c r="A151" s="109" t="s">
        <v>85</v>
      </c>
      <c r="B151" s="109" t="s">
        <v>87</v>
      </c>
      <c r="C151" s="109" t="s">
        <v>206</v>
      </c>
      <c r="D151" s="109" t="s">
        <v>71</v>
      </c>
      <c r="E151" s="113" t="s">
        <v>24</v>
      </c>
      <c r="F151" s="109" t="s">
        <v>1080</v>
      </c>
      <c r="G151" s="111" t="s">
        <v>1066</v>
      </c>
    </row>
    <row r="152" customFormat="false" ht="23.85" hidden="false" customHeight="false" outlineLevel="0" collapsed="false">
      <c r="A152" s="109" t="s">
        <v>85</v>
      </c>
      <c r="B152" s="109" t="s">
        <v>87</v>
      </c>
      <c r="C152" s="109" t="s">
        <v>208</v>
      </c>
      <c r="D152" s="109" t="s">
        <v>35</v>
      </c>
      <c r="E152" s="112" t="s">
        <v>16</v>
      </c>
      <c r="F152" s="109" t="s">
        <v>1081</v>
      </c>
      <c r="G152" s="111" t="s">
        <v>1082</v>
      </c>
    </row>
    <row r="153" customFormat="false" ht="23.85" hidden="false" customHeight="false" outlineLevel="0" collapsed="false">
      <c r="A153" s="109" t="s">
        <v>85</v>
      </c>
      <c r="B153" s="109" t="s">
        <v>87</v>
      </c>
      <c r="C153" s="109" t="s">
        <v>208</v>
      </c>
      <c r="D153" s="109" t="s">
        <v>39</v>
      </c>
      <c r="E153" s="112" t="s">
        <v>16</v>
      </c>
      <c r="F153" s="109" t="s">
        <v>1083</v>
      </c>
      <c r="G153" s="111" t="s">
        <v>1084</v>
      </c>
    </row>
    <row r="154" customFormat="false" ht="23.85" hidden="false" customHeight="false" outlineLevel="0" collapsed="false">
      <c r="A154" s="109" t="s">
        <v>85</v>
      </c>
      <c r="B154" s="109" t="s">
        <v>87</v>
      </c>
      <c r="C154" s="109" t="s">
        <v>208</v>
      </c>
      <c r="D154" s="109" t="s">
        <v>43</v>
      </c>
      <c r="E154" s="112" t="s">
        <v>16</v>
      </c>
      <c r="F154" s="109" t="s">
        <v>1085</v>
      </c>
      <c r="G154" s="111" t="s">
        <v>889</v>
      </c>
    </row>
    <row r="155" customFormat="false" ht="15" hidden="false" customHeight="false" outlineLevel="0" collapsed="false">
      <c r="A155" s="109" t="s">
        <v>85</v>
      </c>
      <c r="B155" s="109" t="s">
        <v>87</v>
      </c>
      <c r="C155" s="109" t="s">
        <v>208</v>
      </c>
      <c r="D155" s="109" t="s">
        <v>47</v>
      </c>
      <c r="E155" s="112" t="s">
        <v>16</v>
      </c>
      <c r="F155" s="109" t="s">
        <v>1086</v>
      </c>
      <c r="G155" s="111" t="s">
        <v>1087</v>
      </c>
    </row>
    <row r="156" customFormat="false" ht="23.85" hidden="false" customHeight="false" outlineLevel="0" collapsed="false">
      <c r="A156" s="109" t="s">
        <v>85</v>
      </c>
      <c r="B156" s="109" t="s">
        <v>87</v>
      </c>
      <c r="C156" s="109" t="s">
        <v>208</v>
      </c>
      <c r="D156" s="109" t="s">
        <v>51</v>
      </c>
      <c r="E156" s="112" t="s">
        <v>16</v>
      </c>
      <c r="F156" s="109" t="s">
        <v>1088</v>
      </c>
      <c r="G156" s="111" t="s">
        <v>892</v>
      </c>
    </row>
    <row r="157" customFormat="false" ht="23.85" hidden="false" customHeight="false" outlineLevel="0" collapsed="false">
      <c r="A157" s="109" t="s">
        <v>85</v>
      </c>
      <c r="B157" s="109" t="s">
        <v>87</v>
      </c>
      <c r="C157" s="109" t="s">
        <v>208</v>
      </c>
      <c r="D157" s="109" t="s">
        <v>55</v>
      </c>
      <c r="E157" s="112" t="s">
        <v>16</v>
      </c>
      <c r="F157" s="109" t="s">
        <v>1089</v>
      </c>
      <c r="G157" s="111" t="s">
        <v>1090</v>
      </c>
    </row>
    <row r="158" customFormat="false" ht="23.85" hidden="false" customHeight="false" outlineLevel="0" collapsed="false">
      <c r="A158" s="109" t="s">
        <v>85</v>
      </c>
      <c r="B158" s="109" t="s">
        <v>87</v>
      </c>
      <c r="C158" s="109" t="s">
        <v>208</v>
      </c>
      <c r="D158" s="109" t="s">
        <v>59</v>
      </c>
      <c r="E158" s="112" t="s">
        <v>16</v>
      </c>
      <c r="F158" s="109" t="s">
        <v>1091</v>
      </c>
      <c r="G158" s="111" t="s">
        <v>1092</v>
      </c>
    </row>
    <row r="159" customFormat="false" ht="23.85" hidden="false" customHeight="false" outlineLevel="0" collapsed="false">
      <c r="A159" s="109" t="s">
        <v>85</v>
      </c>
      <c r="B159" s="109" t="s">
        <v>87</v>
      </c>
      <c r="C159" s="109" t="s">
        <v>208</v>
      </c>
      <c r="D159" s="109" t="s">
        <v>63</v>
      </c>
      <c r="E159" s="112" t="s">
        <v>16</v>
      </c>
      <c r="F159" s="109" t="s">
        <v>1093</v>
      </c>
      <c r="G159" s="111" t="s">
        <v>978</v>
      </c>
    </row>
    <row r="160" customFormat="false" ht="23.85" hidden="false" customHeight="false" outlineLevel="0" collapsed="false">
      <c r="A160" s="109" t="s">
        <v>85</v>
      </c>
      <c r="B160" s="109" t="s">
        <v>87</v>
      </c>
      <c r="C160" s="109" t="s">
        <v>208</v>
      </c>
      <c r="D160" s="109" t="s">
        <v>67</v>
      </c>
      <c r="E160" s="112" t="s">
        <v>16</v>
      </c>
      <c r="F160" s="109" t="s">
        <v>1094</v>
      </c>
      <c r="G160" s="111" t="s">
        <v>882</v>
      </c>
    </row>
    <row r="161" customFormat="false" ht="23.85" hidden="false" customHeight="false" outlineLevel="0" collapsed="false">
      <c r="A161" s="109" t="s">
        <v>85</v>
      </c>
      <c r="B161" s="109" t="s">
        <v>87</v>
      </c>
      <c r="C161" s="109" t="s">
        <v>208</v>
      </c>
      <c r="D161" s="109" t="s">
        <v>71</v>
      </c>
      <c r="E161" s="114" t="s">
        <v>22</v>
      </c>
      <c r="F161" s="109" t="s">
        <v>1095</v>
      </c>
      <c r="G161" s="111" t="s">
        <v>1096</v>
      </c>
    </row>
    <row r="162" customFormat="false" ht="23.85" hidden="false" customHeight="false" outlineLevel="0" collapsed="false">
      <c r="A162" s="109" t="s">
        <v>85</v>
      </c>
      <c r="B162" s="109" t="s">
        <v>87</v>
      </c>
      <c r="C162" s="109" t="s">
        <v>210</v>
      </c>
      <c r="D162" s="109" t="s">
        <v>35</v>
      </c>
      <c r="E162" s="112" t="s">
        <v>16</v>
      </c>
      <c r="F162" s="109" t="s">
        <v>1097</v>
      </c>
      <c r="G162" s="111" t="s">
        <v>1098</v>
      </c>
    </row>
    <row r="163" customFormat="false" ht="15" hidden="false" customHeight="false" outlineLevel="0" collapsed="false">
      <c r="A163" s="109" t="s">
        <v>85</v>
      </c>
      <c r="B163" s="109" t="s">
        <v>87</v>
      </c>
      <c r="C163" s="109" t="s">
        <v>210</v>
      </c>
      <c r="D163" s="109" t="s">
        <v>39</v>
      </c>
      <c r="E163" s="112" t="s">
        <v>16</v>
      </c>
      <c r="F163" s="109" t="s">
        <v>1099</v>
      </c>
      <c r="G163" s="111" t="s">
        <v>1100</v>
      </c>
    </row>
    <row r="164" customFormat="false" ht="23.85" hidden="false" customHeight="false" outlineLevel="0" collapsed="false">
      <c r="A164" s="109" t="s">
        <v>85</v>
      </c>
      <c r="B164" s="109" t="s">
        <v>87</v>
      </c>
      <c r="C164" s="109" t="s">
        <v>210</v>
      </c>
      <c r="D164" s="109" t="s">
        <v>43</v>
      </c>
      <c r="E164" s="112" t="s">
        <v>16</v>
      </c>
      <c r="F164" s="109" t="s">
        <v>1101</v>
      </c>
      <c r="G164" s="111" t="s">
        <v>889</v>
      </c>
    </row>
    <row r="165" customFormat="false" ht="23.85" hidden="false" customHeight="false" outlineLevel="0" collapsed="false">
      <c r="A165" s="109" t="s">
        <v>85</v>
      </c>
      <c r="B165" s="109" t="s">
        <v>87</v>
      </c>
      <c r="C165" s="109" t="s">
        <v>210</v>
      </c>
      <c r="D165" s="109" t="s">
        <v>47</v>
      </c>
      <c r="E165" s="112" t="s">
        <v>16</v>
      </c>
      <c r="F165" s="109" t="s">
        <v>1102</v>
      </c>
      <c r="G165" s="111" t="s">
        <v>1087</v>
      </c>
    </row>
    <row r="166" customFormat="false" ht="15" hidden="false" customHeight="false" outlineLevel="0" collapsed="false">
      <c r="A166" s="109" t="s">
        <v>85</v>
      </c>
      <c r="B166" s="109" t="s">
        <v>87</v>
      </c>
      <c r="C166" s="109" t="s">
        <v>210</v>
      </c>
      <c r="D166" s="109" t="s">
        <v>51</v>
      </c>
      <c r="E166" s="112" t="s">
        <v>16</v>
      </c>
      <c r="F166" s="109" t="s">
        <v>1103</v>
      </c>
      <c r="G166" s="111" t="s">
        <v>1056</v>
      </c>
    </row>
    <row r="167" customFormat="false" ht="23.85" hidden="false" customHeight="false" outlineLevel="0" collapsed="false">
      <c r="A167" s="109" t="s">
        <v>85</v>
      </c>
      <c r="B167" s="109" t="s">
        <v>87</v>
      </c>
      <c r="C167" s="109" t="s">
        <v>210</v>
      </c>
      <c r="D167" s="109" t="s">
        <v>55</v>
      </c>
      <c r="E167" s="112" t="s">
        <v>16</v>
      </c>
      <c r="F167" s="109" t="s">
        <v>1104</v>
      </c>
      <c r="G167" s="111" t="s">
        <v>894</v>
      </c>
    </row>
    <row r="168" customFormat="false" ht="15" hidden="false" customHeight="false" outlineLevel="0" collapsed="false">
      <c r="A168" s="109" t="s">
        <v>85</v>
      </c>
      <c r="B168" s="109" t="s">
        <v>87</v>
      </c>
      <c r="C168" s="109" t="s">
        <v>210</v>
      </c>
      <c r="D168" s="109" t="s">
        <v>59</v>
      </c>
      <c r="E168" s="114" t="s">
        <v>22</v>
      </c>
      <c r="F168" s="109" t="s">
        <v>1105</v>
      </c>
      <c r="G168" s="111" t="s">
        <v>1092</v>
      </c>
    </row>
    <row r="169" customFormat="false" ht="23.85" hidden="false" customHeight="false" outlineLevel="0" collapsed="false">
      <c r="A169" s="109" t="s">
        <v>85</v>
      </c>
      <c r="B169" s="109" t="s">
        <v>87</v>
      </c>
      <c r="C169" s="109" t="s">
        <v>210</v>
      </c>
      <c r="D169" s="109" t="s">
        <v>63</v>
      </c>
      <c r="E169" s="112" t="s">
        <v>16</v>
      </c>
      <c r="F169" s="109" t="s">
        <v>1106</v>
      </c>
      <c r="G169" s="111" t="s">
        <v>1107</v>
      </c>
    </row>
    <row r="170" customFormat="false" ht="23.85" hidden="false" customHeight="false" outlineLevel="0" collapsed="false">
      <c r="A170" s="109" t="s">
        <v>85</v>
      </c>
      <c r="B170" s="109" t="s">
        <v>87</v>
      </c>
      <c r="C170" s="109" t="s">
        <v>210</v>
      </c>
      <c r="D170" s="109" t="s">
        <v>67</v>
      </c>
      <c r="E170" s="113" t="s">
        <v>24</v>
      </c>
      <c r="F170" s="109" t="s">
        <v>1108</v>
      </c>
      <c r="G170" s="111" t="s">
        <v>1064</v>
      </c>
    </row>
    <row r="171" customFormat="false" ht="15" hidden="false" customHeight="false" outlineLevel="0" collapsed="false">
      <c r="A171" s="109" t="s">
        <v>85</v>
      </c>
      <c r="B171" s="109" t="s">
        <v>87</v>
      </c>
      <c r="C171" s="109" t="s">
        <v>210</v>
      </c>
      <c r="D171" s="109" t="s">
        <v>71</v>
      </c>
      <c r="E171" s="113" t="s">
        <v>24</v>
      </c>
      <c r="F171" s="109" t="s">
        <v>1109</v>
      </c>
      <c r="G171" s="109"/>
    </row>
    <row r="172" customFormat="false" ht="23.85" hidden="false" customHeight="false" outlineLevel="0" collapsed="false">
      <c r="A172" s="109" t="s">
        <v>85</v>
      </c>
      <c r="B172" s="109" t="s">
        <v>87</v>
      </c>
      <c r="C172" s="109" t="s">
        <v>212</v>
      </c>
      <c r="D172" s="109" t="s">
        <v>35</v>
      </c>
      <c r="E172" s="112" t="s">
        <v>16</v>
      </c>
      <c r="F172" s="109" t="s">
        <v>1110</v>
      </c>
      <c r="G172" s="111" t="s">
        <v>1111</v>
      </c>
    </row>
    <row r="173" customFormat="false" ht="23.85" hidden="false" customHeight="false" outlineLevel="0" collapsed="false">
      <c r="A173" s="109" t="s">
        <v>85</v>
      </c>
      <c r="B173" s="109" t="s">
        <v>87</v>
      </c>
      <c r="C173" s="109" t="s">
        <v>212</v>
      </c>
      <c r="D173" s="109" t="s">
        <v>39</v>
      </c>
      <c r="E173" s="112" t="s">
        <v>16</v>
      </c>
      <c r="F173" s="109" t="s">
        <v>1112</v>
      </c>
      <c r="G173" s="111" t="s">
        <v>1113</v>
      </c>
    </row>
    <row r="174" customFormat="false" ht="23.85" hidden="false" customHeight="false" outlineLevel="0" collapsed="false">
      <c r="A174" s="109" t="s">
        <v>85</v>
      </c>
      <c r="B174" s="109" t="s">
        <v>87</v>
      </c>
      <c r="C174" s="109" t="s">
        <v>212</v>
      </c>
      <c r="D174" s="109" t="s">
        <v>43</v>
      </c>
      <c r="E174" s="114" t="s">
        <v>22</v>
      </c>
      <c r="F174" s="109" t="s">
        <v>1114</v>
      </c>
      <c r="G174" s="111" t="s">
        <v>1115</v>
      </c>
    </row>
    <row r="175" customFormat="false" ht="23.85" hidden="false" customHeight="false" outlineLevel="0" collapsed="false">
      <c r="A175" s="109" t="s">
        <v>85</v>
      </c>
      <c r="B175" s="109" t="s">
        <v>87</v>
      </c>
      <c r="C175" s="109" t="s">
        <v>212</v>
      </c>
      <c r="D175" s="109" t="s">
        <v>47</v>
      </c>
      <c r="E175" s="115" t="s">
        <v>20</v>
      </c>
      <c r="F175" s="109" t="s">
        <v>1116</v>
      </c>
      <c r="G175" s="111" t="s">
        <v>1117</v>
      </c>
    </row>
    <row r="176" customFormat="false" ht="23.85" hidden="false" customHeight="false" outlineLevel="0" collapsed="false">
      <c r="A176" s="109" t="s">
        <v>85</v>
      </c>
      <c r="B176" s="109" t="s">
        <v>87</v>
      </c>
      <c r="C176" s="109" t="s">
        <v>212</v>
      </c>
      <c r="D176" s="109" t="s">
        <v>51</v>
      </c>
      <c r="E176" s="114" t="s">
        <v>22</v>
      </c>
      <c r="F176" s="109" t="s">
        <v>1118</v>
      </c>
      <c r="G176" s="111" t="s">
        <v>973</v>
      </c>
    </row>
    <row r="177" customFormat="false" ht="23.85" hidden="false" customHeight="false" outlineLevel="0" collapsed="false">
      <c r="A177" s="109" t="s">
        <v>85</v>
      </c>
      <c r="B177" s="109" t="s">
        <v>87</v>
      </c>
      <c r="C177" s="109" t="s">
        <v>212</v>
      </c>
      <c r="D177" s="109" t="s">
        <v>55</v>
      </c>
      <c r="E177" s="114" t="s">
        <v>22</v>
      </c>
      <c r="F177" s="109" t="s">
        <v>1119</v>
      </c>
      <c r="G177" s="111" t="s">
        <v>1090</v>
      </c>
    </row>
    <row r="178" customFormat="false" ht="23.85" hidden="false" customHeight="false" outlineLevel="0" collapsed="false">
      <c r="A178" s="109" t="s">
        <v>85</v>
      </c>
      <c r="B178" s="109" t="s">
        <v>87</v>
      </c>
      <c r="C178" s="109" t="s">
        <v>212</v>
      </c>
      <c r="D178" s="109" t="s">
        <v>59</v>
      </c>
      <c r="E178" s="110" t="s">
        <v>18</v>
      </c>
      <c r="F178" s="109" t="s">
        <v>1120</v>
      </c>
      <c r="G178" s="111" t="s">
        <v>1121</v>
      </c>
    </row>
    <row r="179" customFormat="false" ht="23.85" hidden="false" customHeight="false" outlineLevel="0" collapsed="false">
      <c r="A179" s="109" t="s">
        <v>85</v>
      </c>
      <c r="B179" s="109" t="s">
        <v>87</v>
      </c>
      <c r="C179" s="109" t="s">
        <v>212</v>
      </c>
      <c r="D179" s="109" t="s">
        <v>63</v>
      </c>
      <c r="E179" s="114" t="s">
        <v>22</v>
      </c>
      <c r="F179" s="109" t="s">
        <v>1122</v>
      </c>
      <c r="G179" s="111" t="s">
        <v>978</v>
      </c>
    </row>
    <row r="180" customFormat="false" ht="23.85" hidden="false" customHeight="false" outlineLevel="0" collapsed="false">
      <c r="A180" s="109" t="s">
        <v>85</v>
      </c>
      <c r="B180" s="109" t="s">
        <v>87</v>
      </c>
      <c r="C180" s="109" t="s">
        <v>212</v>
      </c>
      <c r="D180" s="109" t="s">
        <v>67</v>
      </c>
      <c r="E180" s="113" t="s">
        <v>24</v>
      </c>
      <c r="F180" s="109" t="s">
        <v>1123</v>
      </c>
      <c r="G180" s="111" t="s">
        <v>1064</v>
      </c>
    </row>
    <row r="181" customFormat="false" ht="15" hidden="false" customHeight="false" outlineLevel="0" collapsed="false">
      <c r="A181" s="109" t="s">
        <v>85</v>
      </c>
      <c r="B181" s="109" t="s">
        <v>87</v>
      </c>
      <c r="C181" s="109" t="s">
        <v>212</v>
      </c>
      <c r="D181" s="109" t="s">
        <v>71</v>
      </c>
      <c r="E181" s="113" t="s">
        <v>24</v>
      </c>
      <c r="F181" s="109" t="s">
        <v>1124</v>
      </c>
      <c r="G181" s="109"/>
    </row>
    <row r="182" customFormat="false" ht="23.85" hidden="false" customHeight="false" outlineLevel="0" collapsed="false">
      <c r="A182" s="109" t="s">
        <v>85</v>
      </c>
      <c r="B182" s="109" t="s">
        <v>87</v>
      </c>
      <c r="C182" s="109" t="s">
        <v>214</v>
      </c>
      <c r="D182" s="109" t="s">
        <v>35</v>
      </c>
      <c r="E182" s="114" t="s">
        <v>22</v>
      </c>
      <c r="F182" s="109" t="s">
        <v>1125</v>
      </c>
      <c r="G182" s="111" t="s">
        <v>1126</v>
      </c>
    </row>
    <row r="183" customFormat="false" ht="23.85" hidden="false" customHeight="false" outlineLevel="0" collapsed="false">
      <c r="A183" s="109" t="s">
        <v>85</v>
      </c>
      <c r="B183" s="109" t="s">
        <v>87</v>
      </c>
      <c r="C183" s="109" t="s">
        <v>214</v>
      </c>
      <c r="D183" s="109" t="s">
        <v>39</v>
      </c>
      <c r="E183" s="115" t="s">
        <v>20</v>
      </c>
      <c r="F183" s="109" t="s">
        <v>1127</v>
      </c>
      <c r="G183" s="111" t="s">
        <v>1128</v>
      </c>
    </row>
    <row r="184" customFormat="false" ht="23.85" hidden="false" customHeight="false" outlineLevel="0" collapsed="false">
      <c r="A184" s="109" t="s">
        <v>85</v>
      </c>
      <c r="B184" s="109" t="s">
        <v>87</v>
      </c>
      <c r="C184" s="109" t="s">
        <v>214</v>
      </c>
      <c r="D184" s="109" t="s">
        <v>43</v>
      </c>
      <c r="E184" s="114" t="s">
        <v>22</v>
      </c>
      <c r="F184" s="109" t="s">
        <v>1129</v>
      </c>
      <c r="G184" s="111" t="s">
        <v>1130</v>
      </c>
    </row>
    <row r="185" customFormat="false" ht="23.85" hidden="false" customHeight="false" outlineLevel="0" collapsed="false">
      <c r="A185" s="109" t="s">
        <v>85</v>
      </c>
      <c r="B185" s="109" t="s">
        <v>87</v>
      </c>
      <c r="C185" s="109" t="s">
        <v>214</v>
      </c>
      <c r="D185" s="109" t="s">
        <v>47</v>
      </c>
      <c r="E185" s="112" t="s">
        <v>16</v>
      </c>
      <c r="F185" s="109" t="s">
        <v>1131</v>
      </c>
      <c r="G185" s="111" t="s">
        <v>1132</v>
      </c>
    </row>
    <row r="186" customFormat="false" ht="23.85" hidden="false" customHeight="false" outlineLevel="0" collapsed="false">
      <c r="A186" s="109" t="s">
        <v>85</v>
      </c>
      <c r="B186" s="109" t="s">
        <v>87</v>
      </c>
      <c r="C186" s="109" t="s">
        <v>214</v>
      </c>
      <c r="D186" s="109" t="s">
        <v>51</v>
      </c>
      <c r="E186" s="112" t="s">
        <v>16</v>
      </c>
      <c r="F186" s="109" t="s">
        <v>1133</v>
      </c>
      <c r="G186" s="111" t="s">
        <v>1134</v>
      </c>
    </row>
    <row r="187" customFormat="false" ht="15" hidden="false" customHeight="false" outlineLevel="0" collapsed="false">
      <c r="A187" s="109" t="s">
        <v>85</v>
      </c>
      <c r="B187" s="109" t="s">
        <v>87</v>
      </c>
      <c r="C187" s="109" t="s">
        <v>214</v>
      </c>
      <c r="D187" s="109" t="s">
        <v>55</v>
      </c>
      <c r="E187" s="112" t="s">
        <v>16</v>
      </c>
      <c r="F187" s="109" t="s">
        <v>1135</v>
      </c>
      <c r="G187" s="111" t="s">
        <v>1136</v>
      </c>
    </row>
    <row r="188" customFormat="false" ht="23.85" hidden="false" customHeight="false" outlineLevel="0" collapsed="false">
      <c r="A188" s="109" t="s">
        <v>85</v>
      </c>
      <c r="B188" s="109" t="s">
        <v>87</v>
      </c>
      <c r="C188" s="109" t="s">
        <v>214</v>
      </c>
      <c r="D188" s="109" t="s">
        <v>59</v>
      </c>
      <c r="E188" s="112" t="s">
        <v>16</v>
      </c>
      <c r="F188" s="109" t="s">
        <v>1137</v>
      </c>
      <c r="G188" s="111" t="s">
        <v>1138</v>
      </c>
    </row>
    <row r="189" customFormat="false" ht="23.85" hidden="false" customHeight="false" outlineLevel="0" collapsed="false">
      <c r="A189" s="109" t="s">
        <v>85</v>
      </c>
      <c r="B189" s="109" t="s">
        <v>87</v>
      </c>
      <c r="C189" s="109" t="s">
        <v>214</v>
      </c>
      <c r="D189" s="109" t="s">
        <v>63</v>
      </c>
      <c r="E189" s="112" t="s">
        <v>16</v>
      </c>
      <c r="F189" s="109" t="s">
        <v>1139</v>
      </c>
      <c r="G189" s="111" t="s">
        <v>1140</v>
      </c>
    </row>
    <row r="190" customFormat="false" ht="23.85" hidden="false" customHeight="false" outlineLevel="0" collapsed="false">
      <c r="A190" s="109" t="s">
        <v>85</v>
      </c>
      <c r="B190" s="109" t="s">
        <v>87</v>
      </c>
      <c r="C190" s="109" t="s">
        <v>214</v>
      </c>
      <c r="D190" s="109" t="s">
        <v>67</v>
      </c>
      <c r="E190" s="113" t="s">
        <v>24</v>
      </c>
      <c r="F190" s="109" t="s">
        <v>1141</v>
      </c>
      <c r="G190" s="109"/>
    </row>
    <row r="191" customFormat="false" ht="15" hidden="false" customHeight="false" outlineLevel="0" collapsed="false">
      <c r="A191" s="109" t="s">
        <v>85</v>
      </c>
      <c r="B191" s="109" t="s">
        <v>87</v>
      </c>
      <c r="C191" s="109" t="s">
        <v>214</v>
      </c>
      <c r="D191" s="109" t="s">
        <v>71</v>
      </c>
      <c r="E191" s="112" t="s">
        <v>16</v>
      </c>
      <c r="F191" s="109" t="s">
        <v>1142</v>
      </c>
      <c r="G191" s="111" t="s">
        <v>1066</v>
      </c>
    </row>
    <row r="192" customFormat="false" ht="23.85" hidden="false" customHeight="false" outlineLevel="0" collapsed="false">
      <c r="A192" s="109" t="s">
        <v>85</v>
      </c>
      <c r="B192" s="109" t="s">
        <v>87</v>
      </c>
      <c r="C192" s="109" t="s">
        <v>216</v>
      </c>
      <c r="D192" s="109" t="s">
        <v>35</v>
      </c>
      <c r="E192" s="114" t="s">
        <v>22</v>
      </c>
      <c r="F192" s="109" t="s">
        <v>1143</v>
      </c>
      <c r="G192" s="111" t="s">
        <v>1144</v>
      </c>
    </row>
    <row r="193" customFormat="false" ht="23.85" hidden="false" customHeight="false" outlineLevel="0" collapsed="false">
      <c r="A193" s="109" t="s">
        <v>85</v>
      </c>
      <c r="B193" s="109" t="s">
        <v>87</v>
      </c>
      <c r="C193" s="109" t="s">
        <v>216</v>
      </c>
      <c r="D193" s="109" t="s">
        <v>39</v>
      </c>
      <c r="E193" s="110" t="s">
        <v>18</v>
      </c>
      <c r="F193" s="109" t="s">
        <v>1145</v>
      </c>
      <c r="G193" s="111" t="s">
        <v>1146</v>
      </c>
    </row>
    <row r="194" customFormat="false" ht="23.85" hidden="false" customHeight="false" outlineLevel="0" collapsed="false">
      <c r="A194" s="109" t="s">
        <v>85</v>
      </c>
      <c r="B194" s="109" t="s">
        <v>87</v>
      </c>
      <c r="C194" s="109" t="s">
        <v>216</v>
      </c>
      <c r="D194" s="109" t="s">
        <v>43</v>
      </c>
      <c r="E194" s="113" t="s">
        <v>24</v>
      </c>
      <c r="F194" s="109" t="s">
        <v>1147</v>
      </c>
      <c r="G194" s="109"/>
    </row>
    <row r="195" customFormat="false" ht="23.85" hidden="false" customHeight="false" outlineLevel="0" collapsed="false">
      <c r="A195" s="109" t="s">
        <v>85</v>
      </c>
      <c r="B195" s="109" t="s">
        <v>87</v>
      </c>
      <c r="C195" s="109" t="s">
        <v>216</v>
      </c>
      <c r="D195" s="109" t="s">
        <v>47</v>
      </c>
      <c r="E195" s="115" t="s">
        <v>20</v>
      </c>
      <c r="F195" s="109" t="s">
        <v>1148</v>
      </c>
      <c r="G195" s="111" t="s">
        <v>1149</v>
      </c>
    </row>
    <row r="196" customFormat="false" ht="23.85" hidden="false" customHeight="false" outlineLevel="0" collapsed="false">
      <c r="A196" s="109" t="s">
        <v>85</v>
      </c>
      <c r="B196" s="109" t="s">
        <v>87</v>
      </c>
      <c r="C196" s="109" t="s">
        <v>216</v>
      </c>
      <c r="D196" s="109" t="s">
        <v>51</v>
      </c>
      <c r="E196" s="114" t="s">
        <v>22</v>
      </c>
      <c r="F196" s="109" t="s">
        <v>1150</v>
      </c>
      <c r="G196" s="111" t="s">
        <v>1151</v>
      </c>
    </row>
    <row r="197" customFormat="false" ht="23.85" hidden="false" customHeight="false" outlineLevel="0" collapsed="false">
      <c r="A197" s="109" t="s">
        <v>85</v>
      </c>
      <c r="B197" s="109" t="s">
        <v>87</v>
      </c>
      <c r="C197" s="109" t="s">
        <v>216</v>
      </c>
      <c r="D197" s="109" t="s">
        <v>55</v>
      </c>
      <c r="E197" s="110" t="s">
        <v>18</v>
      </c>
      <c r="F197" s="109" t="s">
        <v>1152</v>
      </c>
      <c r="G197" s="111" t="s">
        <v>1153</v>
      </c>
    </row>
    <row r="198" customFormat="false" ht="15" hidden="false" customHeight="false" outlineLevel="0" collapsed="false">
      <c r="A198" s="109" t="s">
        <v>85</v>
      </c>
      <c r="B198" s="109" t="s">
        <v>87</v>
      </c>
      <c r="C198" s="109" t="s">
        <v>216</v>
      </c>
      <c r="D198" s="109" t="s">
        <v>59</v>
      </c>
      <c r="E198" s="113" t="s">
        <v>24</v>
      </c>
      <c r="F198" s="109" t="s">
        <v>1154</v>
      </c>
      <c r="G198" s="111" t="s">
        <v>1155</v>
      </c>
    </row>
    <row r="199" customFormat="false" ht="23.85" hidden="false" customHeight="false" outlineLevel="0" collapsed="false">
      <c r="A199" s="109" t="s">
        <v>85</v>
      </c>
      <c r="B199" s="109" t="s">
        <v>87</v>
      </c>
      <c r="C199" s="109" t="s">
        <v>216</v>
      </c>
      <c r="D199" s="109" t="s">
        <v>63</v>
      </c>
      <c r="E199" s="110" t="s">
        <v>18</v>
      </c>
      <c r="F199" s="109" t="s">
        <v>1156</v>
      </c>
      <c r="G199" s="111" t="s">
        <v>1157</v>
      </c>
    </row>
    <row r="200" customFormat="false" ht="15" hidden="false" customHeight="false" outlineLevel="0" collapsed="false">
      <c r="A200" s="109" t="s">
        <v>85</v>
      </c>
      <c r="B200" s="109" t="s">
        <v>87</v>
      </c>
      <c r="C200" s="109" t="s">
        <v>216</v>
      </c>
      <c r="D200" s="109" t="s">
        <v>67</v>
      </c>
      <c r="E200" s="113" t="s">
        <v>24</v>
      </c>
      <c r="F200" s="109" t="s">
        <v>1158</v>
      </c>
      <c r="G200" s="109"/>
    </row>
    <row r="201" customFormat="false" ht="15" hidden="false" customHeight="false" outlineLevel="0" collapsed="false">
      <c r="A201" s="109" t="s">
        <v>85</v>
      </c>
      <c r="B201" s="109" t="s">
        <v>87</v>
      </c>
      <c r="C201" s="109" t="s">
        <v>216</v>
      </c>
      <c r="D201" s="109" t="s">
        <v>71</v>
      </c>
      <c r="E201" s="113" t="s">
        <v>24</v>
      </c>
      <c r="F201" s="109" t="s">
        <v>1159</v>
      </c>
      <c r="G201" s="109"/>
    </row>
    <row r="202" customFormat="false" ht="23.85" hidden="false" customHeight="false" outlineLevel="0" collapsed="false">
      <c r="A202" s="109" t="s">
        <v>85</v>
      </c>
      <c r="B202" s="109" t="s">
        <v>87</v>
      </c>
      <c r="C202" s="109" t="s">
        <v>218</v>
      </c>
      <c r="D202" s="109" t="s">
        <v>35</v>
      </c>
      <c r="E202" s="112" t="s">
        <v>16</v>
      </c>
      <c r="F202" s="109" t="s">
        <v>1160</v>
      </c>
      <c r="G202" s="111" t="s">
        <v>1161</v>
      </c>
    </row>
    <row r="203" customFormat="false" ht="15" hidden="false" customHeight="false" outlineLevel="0" collapsed="false">
      <c r="A203" s="109" t="s">
        <v>85</v>
      </c>
      <c r="B203" s="109" t="s">
        <v>87</v>
      </c>
      <c r="C203" s="109" t="s">
        <v>218</v>
      </c>
      <c r="D203" s="109" t="s">
        <v>39</v>
      </c>
      <c r="E203" s="112" t="s">
        <v>16</v>
      </c>
      <c r="F203" s="109" t="s">
        <v>1162</v>
      </c>
      <c r="G203" s="111" t="s">
        <v>1163</v>
      </c>
    </row>
    <row r="204" customFormat="false" ht="23.85" hidden="false" customHeight="false" outlineLevel="0" collapsed="false">
      <c r="A204" s="109" t="s">
        <v>85</v>
      </c>
      <c r="B204" s="109" t="s">
        <v>87</v>
      </c>
      <c r="C204" s="109" t="s">
        <v>218</v>
      </c>
      <c r="D204" s="109" t="s">
        <v>43</v>
      </c>
      <c r="E204" s="112" t="s">
        <v>16</v>
      </c>
      <c r="F204" s="109" t="s">
        <v>1164</v>
      </c>
      <c r="G204" s="111" t="s">
        <v>1003</v>
      </c>
    </row>
    <row r="205" customFormat="false" ht="23.85" hidden="false" customHeight="false" outlineLevel="0" collapsed="false">
      <c r="A205" s="109" t="s">
        <v>85</v>
      </c>
      <c r="B205" s="109" t="s">
        <v>87</v>
      </c>
      <c r="C205" s="109" t="s">
        <v>218</v>
      </c>
      <c r="D205" s="109" t="s">
        <v>47</v>
      </c>
      <c r="E205" s="112" t="s">
        <v>16</v>
      </c>
      <c r="F205" s="109" t="s">
        <v>1165</v>
      </c>
      <c r="G205" s="111" t="s">
        <v>1166</v>
      </c>
    </row>
    <row r="206" customFormat="false" ht="23.85" hidden="false" customHeight="false" outlineLevel="0" collapsed="false">
      <c r="A206" s="109" t="s">
        <v>85</v>
      </c>
      <c r="B206" s="109" t="s">
        <v>87</v>
      </c>
      <c r="C206" s="109" t="s">
        <v>218</v>
      </c>
      <c r="D206" s="109" t="s">
        <v>51</v>
      </c>
      <c r="E206" s="112" t="s">
        <v>16</v>
      </c>
      <c r="F206" s="109" t="s">
        <v>1167</v>
      </c>
      <c r="G206" s="111" t="s">
        <v>1168</v>
      </c>
    </row>
    <row r="207" customFormat="false" ht="23.85" hidden="false" customHeight="false" outlineLevel="0" collapsed="false">
      <c r="A207" s="109" t="s">
        <v>85</v>
      </c>
      <c r="B207" s="109" t="s">
        <v>87</v>
      </c>
      <c r="C207" s="109" t="s">
        <v>218</v>
      </c>
      <c r="D207" s="109" t="s">
        <v>55</v>
      </c>
      <c r="E207" s="112" t="s">
        <v>16</v>
      </c>
      <c r="F207" s="109" t="s">
        <v>1169</v>
      </c>
      <c r="G207" s="111" t="s">
        <v>1170</v>
      </c>
    </row>
    <row r="208" customFormat="false" ht="23.85" hidden="false" customHeight="false" outlineLevel="0" collapsed="false">
      <c r="A208" s="109" t="s">
        <v>85</v>
      </c>
      <c r="B208" s="109" t="s">
        <v>87</v>
      </c>
      <c r="C208" s="109" t="s">
        <v>218</v>
      </c>
      <c r="D208" s="109" t="s">
        <v>59</v>
      </c>
      <c r="E208" s="110" t="s">
        <v>18</v>
      </c>
      <c r="F208" s="109" t="s">
        <v>1171</v>
      </c>
      <c r="G208" s="111" t="s">
        <v>1172</v>
      </c>
    </row>
    <row r="209" customFormat="false" ht="23.85" hidden="false" customHeight="false" outlineLevel="0" collapsed="false">
      <c r="A209" s="109" t="s">
        <v>85</v>
      </c>
      <c r="B209" s="109" t="s">
        <v>87</v>
      </c>
      <c r="C209" s="109" t="s">
        <v>218</v>
      </c>
      <c r="D209" s="109" t="s">
        <v>63</v>
      </c>
      <c r="E209" s="112" t="s">
        <v>16</v>
      </c>
      <c r="F209" s="109" t="s">
        <v>1173</v>
      </c>
      <c r="G209" s="111" t="s">
        <v>1174</v>
      </c>
    </row>
    <row r="210" customFormat="false" ht="23.85" hidden="false" customHeight="false" outlineLevel="0" collapsed="false">
      <c r="A210" s="109" t="s">
        <v>85</v>
      </c>
      <c r="B210" s="109" t="s">
        <v>87</v>
      </c>
      <c r="C210" s="109" t="s">
        <v>218</v>
      </c>
      <c r="D210" s="109" t="s">
        <v>67</v>
      </c>
      <c r="E210" s="112" t="s">
        <v>16</v>
      </c>
      <c r="F210" s="109" t="s">
        <v>1175</v>
      </c>
      <c r="G210" s="111" t="s">
        <v>1176</v>
      </c>
    </row>
    <row r="211" customFormat="false" ht="15" hidden="false" customHeight="false" outlineLevel="0" collapsed="false">
      <c r="A211" s="109" t="s">
        <v>85</v>
      </c>
      <c r="B211" s="109" t="s">
        <v>87</v>
      </c>
      <c r="C211" s="109" t="s">
        <v>218</v>
      </c>
      <c r="D211" s="109" t="s">
        <v>71</v>
      </c>
      <c r="E211" s="114" t="s">
        <v>22</v>
      </c>
      <c r="F211" s="109" t="s">
        <v>1177</v>
      </c>
      <c r="G211" s="111" t="s">
        <v>884</v>
      </c>
    </row>
    <row r="212" customFormat="false" ht="23.85" hidden="false" customHeight="false" outlineLevel="0" collapsed="false">
      <c r="A212" s="109" t="s">
        <v>85</v>
      </c>
      <c r="B212" s="109" t="s">
        <v>87</v>
      </c>
      <c r="C212" s="109" t="s">
        <v>220</v>
      </c>
      <c r="D212" s="109" t="s">
        <v>35</v>
      </c>
      <c r="E212" s="112" t="s">
        <v>16</v>
      </c>
      <c r="F212" s="109" t="s">
        <v>1178</v>
      </c>
      <c r="G212" s="111" t="s">
        <v>1179</v>
      </c>
    </row>
    <row r="213" customFormat="false" ht="23.85" hidden="false" customHeight="false" outlineLevel="0" collapsed="false">
      <c r="A213" s="109" t="s">
        <v>85</v>
      </c>
      <c r="B213" s="109" t="s">
        <v>87</v>
      </c>
      <c r="C213" s="109" t="s">
        <v>220</v>
      </c>
      <c r="D213" s="109" t="s">
        <v>39</v>
      </c>
      <c r="E213" s="110" t="s">
        <v>18</v>
      </c>
      <c r="F213" s="109" t="s">
        <v>1180</v>
      </c>
      <c r="G213" s="111" t="s">
        <v>1181</v>
      </c>
    </row>
    <row r="214" customFormat="false" ht="23.85" hidden="false" customHeight="false" outlineLevel="0" collapsed="false">
      <c r="A214" s="109" t="s">
        <v>85</v>
      </c>
      <c r="B214" s="109" t="s">
        <v>87</v>
      </c>
      <c r="C214" s="109" t="s">
        <v>220</v>
      </c>
      <c r="D214" s="109" t="s">
        <v>43</v>
      </c>
      <c r="E214" s="112" t="s">
        <v>16</v>
      </c>
      <c r="F214" s="109" t="s">
        <v>1182</v>
      </c>
      <c r="G214" s="111" t="s">
        <v>1183</v>
      </c>
    </row>
    <row r="215" customFormat="false" ht="23.85" hidden="false" customHeight="false" outlineLevel="0" collapsed="false">
      <c r="A215" s="109" t="s">
        <v>85</v>
      </c>
      <c r="B215" s="109" t="s">
        <v>87</v>
      </c>
      <c r="C215" s="109" t="s">
        <v>220</v>
      </c>
      <c r="D215" s="109" t="s">
        <v>47</v>
      </c>
      <c r="E215" s="114" t="s">
        <v>22</v>
      </c>
      <c r="F215" s="109" t="s">
        <v>1184</v>
      </c>
      <c r="G215" s="111" t="s">
        <v>1149</v>
      </c>
    </row>
    <row r="216" customFormat="false" ht="23.85" hidden="false" customHeight="false" outlineLevel="0" collapsed="false">
      <c r="A216" s="109" t="s">
        <v>85</v>
      </c>
      <c r="B216" s="109" t="s">
        <v>87</v>
      </c>
      <c r="C216" s="109" t="s">
        <v>220</v>
      </c>
      <c r="D216" s="109" t="s">
        <v>51</v>
      </c>
      <c r="E216" s="112" t="s">
        <v>16</v>
      </c>
      <c r="F216" s="109" t="s">
        <v>1185</v>
      </c>
      <c r="G216" s="111" t="s">
        <v>1168</v>
      </c>
    </row>
    <row r="217" customFormat="false" ht="15" hidden="false" customHeight="false" outlineLevel="0" collapsed="false">
      <c r="A217" s="109" t="s">
        <v>85</v>
      </c>
      <c r="B217" s="109" t="s">
        <v>87</v>
      </c>
      <c r="C217" s="109" t="s">
        <v>220</v>
      </c>
      <c r="D217" s="109" t="s">
        <v>55</v>
      </c>
      <c r="E217" s="113" t="s">
        <v>24</v>
      </c>
      <c r="F217" s="109" t="s">
        <v>1186</v>
      </c>
      <c r="G217" s="109"/>
    </row>
    <row r="218" customFormat="false" ht="15" hidden="false" customHeight="false" outlineLevel="0" collapsed="false">
      <c r="A218" s="109" t="s">
        <v>85</v>
      </c>
      <c r="B218" s="109" t="s">
        <v>87</v>
      </c>
      <c r="C218" s="109" t="s">
        <v>220</v>
      </c>
      <c r="D218" s="109" t="s">
        <v>59</v>
      </c>
      <c r="E218" s="116" t="s">
        <v>26</v>
      </c>
      <c r="F218" s="109" t="s">
        <v>1187</v>
      </c>
      <c r="G218" s="109"/>
    </row>
    <row r="219" customFormat="false" ht="23.85" hidden="false" customHeight="false" outlineLevel="0" collapsed="false">
      <c r="A219" s="109" t="s">
        <v>85</v>
      </c>
      <c r="B219" s="109" t="s">
        <v>87</v>
      </c>
      <c r="C219" s="109" t="s">
        <v>220</v>
      </c>
      <c r="D219" s="109" t="s">
        <v>63</v>
      </c>
      <c r="E219" s="112" t="s">
        <v>16</v>
      </c>
      <c r="F219" s="109" t="s">
        <v>1188</v>
      </c>
      <c r="G219" s="111" t="s">
        <v>1189</v>
      </c>
    </row>
    <row r="220" customFormat="false" ht="15" hidden="false" customHeight="false" outlineLevel="0" collapsed="false">
      <c r="A220" s="109" t="s">
        <v>85</v>
      </c>
      <c r="B220" s="109" t="s">
        <v>87</v>
      </c>
      <c r="C220" s="109" t="s">
        <v>220</v>
      </c>
      <c r="D220" s="109" t="s">
        <v>67</v>
      </c>
      <c r="E220" s="113" t="s">
        <v>24</v>
      </c>
      <c r="F220" s="109" t="s">
        <v>1190</v>
      </c>
      <c r="G220" s="111" t="s">
        <v>1176</v>
      </c>
    </row>
    <row r="221" customFormat="false" ht="15" hidden="false" customHeight="false" outlineLevel="0" collapsed="false">
      <c r="A221" s="109" t="s">
        <v>85</v>
      </c>
      <c r="B221" s="109" t="s">
        <v>87</v>
      </c>
      <c r="C221" s="109" t="s">
        <v>220</v>
      </c>
      <c r="D221" s="109" t="s">
        <v>71</v>
      </c>
      <c r="E221" s="113" t="s">
        <v>24</v>
      </c>
      <c r="F221" s="109" t="s">
        <v>1191</v>
      </c>
      <c r="G221" s="109"/>
    </row>
    <row r="222" customFormat="false" ht="23.85" hidden="false" customHeight="false" outlineLevel="0" collapsed="false">
      <c r="A222" s="109" t="s">
        <v>85</v>
      </c>
      <c r="B222" s="109" t="s">
        <v>87</v>
      </c>
      <c r="C222" s="109" t="s">
        <v>222</v>
      </c>
      <c r="D222" s="109" t="s">
        <v>35</v>
      </c>
      <c r="E222" s="112" t="s">
        <v>16</v>
      </c>
      <c r="F222" s="109" t="s">
        <v>1192</v>
      </c>
      <c r="G222" s="111" t="s">
        <v>1126</v>
      </c>
    </row>
    <row r="223" customFormat="false" ht="23.85" hidden="false" customHeight="false" outlineLevel="0" collapsed="false">
      <c r="A223" s="109" t="s">
        <v>85</v>
      </c>
      <c r="B223" s="109" t="s">
        <v>87</v>
      </c>
      <c r="C223" s="109" t="s">
        <v>222</v>
      </c>
      <c r="D223" s="109" t="s">
        <v>39</v>
      </c>
      <c r="E223" s="114" t="s">
        <v>22</v>
      </c>
      <c r="F223" s="109" t="s">
        <v>1193</v>
      </c>
      <c r="G223" s="111" t="s">
        <v>1194</v>
      </c>
    </row>
    <row r="224" customFormat="false" ht="23.85" hidden="false" customHeight="false" outlineLevel="0" collapsed="false">
      <c r="A224" s="109" t="s">
        <v>85</v>
      </c>
      <c r="B224" s="109" t="s">
        <v>87</v>
      </c>
      <c r="C224" s="109" t="s">
        <v>222</v>
      </c>
      <c r="D224" s="109" t="s">
        <v>43</v>
      </c>
      <c r="E224" s="114" t="s">
        <v>22</v>
      </c>
      <c r="F224" s="109" t="s">
        <v>1195</v>
      </c>
      <c r="G224" s="111" t="s">
        <v>1196</v>
      </c>
    </row>
    <row r="225" customFormat="false" ht="15" hidden="false" customHeight="false" outlineLevel="0" collapsed="false">
      <c r="A225" s="109" t="s">
        <v>85</v>
      </c>
      <c r="B225" s="109" t="s">
        <v>87</v>
      </c>
      <c r="C225" s="109" t="s">
        <v>222</v>
      </c>
      <c r="D225" s="109" t="s">
        <v>47</v>
      </c>
      <c r="E225" s="114" t="s">
        <v>22</v>
      </c>
      <c r="F225" s="109" t="s">
        <v>1197</v>
      </c>
      <c r="G225" s="111" t="s">
        <v>956</v>
      </c>
    </row>
    <row r="226" customFormat="false" ht="23.85" hidden="false" customHeight="false" outlineLevel="0" collapsed="false">
      <c r="A226" s="109" t="s">
        <v>85</v>
      </c>
      <c r="B226" s="109" t="s">
        <v>87</v>
      </c>
      <c r="C226" s="109" t="s">
        <v>222</v>
      </c>
      <c r="D226" s="109" t="s">
        <v>51</v>
      </c>
      <c r="E226" s="114" t="s">
        <v>22</v>
      </c>
      <c r="F226" s="109" t="s">
        <v>1198</v>
      </c>
      <c r="G226" s="111" t="s">
        <v>1199</v>
      </c>
    </row>
    <row r="227" customFormat="false" ht="23.85" hidden="false" customHeight="false" outlineLevel="0" collapsed="false">
      <c r="A227" s="109" t="s">
        <v>85</v>
      </c>
      <c r="B227" s="109" t="s">
        <v>87</v>
      </c>
      <c r="C227" s="109" t="s">
        <v>222</v>
      </c>
      <c r="D227" s="109" t="s">
        <v>55</v>
      </c>
      <c r="E227" s="114" t="s">
        <v>22</v>
      </c>
      <c r="F227" s="109" t="s">
        <v>1200</v>
      </c>
      <c r="G227" s="111" t="s">
        <v>1201</v>
      </c>
    </row>
    <row r="228" customFormat="false" ht="23.85" hidden="false" customHeight="false" outlineLevel="0" collapsed="false">
      <c r="A228" s="109" t="s">
        <v>85</v>
      </c>
      <c r="B228" s="109" t="s">
        <v>87</v>
      </c>
      <c r="C228" s="109" t="s">
        <v>222</v>
      </c>
      <c r="D228" s="109" t="s">
        <v>59</v>
      </c>
      <c r="E228" s="114" t="s">
        <v>22</v>
      </c>
      <c r="F228" s="109" t="s">
        <v>1202</v>
      </c>
      <c r="G228" s="111" t="s">
        <v>1172</v>
      </c>
    </row>
    <row r="229" customFormat="false" ht="23.85" hidden="false" customHeight="false" outlineLevel="0" collapsed="false">
      <c r="A229" s="109" t="s">
        <v>85</v>
      </c>
      <c r="B229" s="109" t="s">
        <v>87</v>
      </c>
      <c r="C229" s="109" t="s">
        <v>222</v>
      </c>
      <c r="D229" s="109" t="s">
        <v>63</v>
      </c>
      <c r="E229" s="112" t="s">
        <v>16</v>
      </c>
      <c r="F229" s="109" t="s">
        <v>1203</v>
      </c>
      <c r="G229" s="111" t="s">
        <v>1204</v>
      </c>
    </row>
    <row r="230" customFormat="false" ht="23.85" hidden="false" customHeight="false" outlineLevel="0" collapsed="false">
      <c r="A230" s="109" t="s">
        <v>85</v>
      </c>
      <c r="B230" s="109" t="s">
        <v>87</v>
      </c>
      <c r="C230" s="109" t="s">
        <v>222</v>
      </c>
      <c r="D230" s="109" t="s">
        <v>67</v>
      </c>
      <c r="E230" s="112" t="s">
        <v>16</v>
      </c>
      <c r="F230" s="109" t="s">
        <v>1205</v>
      </c>
      <c r="G230" s="111" t="s">
        <v>1064</v>
      </c>
    </row>
    <row r="231" customFormat="false" ht="23.85" hidden="false" customHeight="false" outlineLevel="0" collapsed="false">
      <c r="A231" s="109" t="s">
        <v>85</v>
      </c>
      <c r="B231" s="109" t="s">
        <v>87</v>
      </c>
      <c r="C231" s="109" t="s">
        <v>222</v>
      </c>
      <c r="D231" s="109" t="s">
        <v>71</v>
      </c>
      <c r="E231" s="112" t="s">
        <v>16</v>
      </c>
      <c r="F231" s="109" t="s">
        <v>1206</v>
      </c>
      <c r="G231" s="111" t="s">
        <v>1207</v>
      </c>
    </row>
    <row r="232" customFormat="false" ht="23.85" hidden="false" customHeight="false" outlineLevel="0" collapsed="false">
      <c r="A232" s="109" t="s">
        <v>85</v>
      </c>
      <c r="B232" s="109" t="s">
        <v>87</v>
      </c>
      <c r="C232" s="109" t="s">
        <v>224</v>
      </c>
      <c r="D232" s="109" t="s">
        <v>35</v>
      </c>
      <c r="E232" s="112" t="s">
        <v>16</v>
      </c>
      <c r="F232" s="109" t="s">
        <v>1208</v>
      </c>
      <c r="G232" s="111" t="s">
        <v>1209</v>
      </c>
    </row>
    <row r="233" customFormat="false" ht="23.85" hidden="false" customHeight="false" outlineLevel="0" collapsed="false">
      <c r="A233" s="109" t="s">
        <v>85</v>
      </c>
      <c r="B233" s="109" t="s">
        <v>87</v>
      </c>
      <c r="C233" s="109" t="s">
        <v>224</v>
      </c>
      <c r="D233" s="109" t="s">
        <v>39</v>
      </c>
      <c r="E233" s="110" t="s">
        <v>18</v>
      </c>
      <c r="F233" s="109" t="s">
        <v>1210</v>
      </c>
      <c r="G233" s="111" t="s">
        <v>1146</v>
      </c>
    </row>
    <row r="234" customFormat="false" ht="23.85" hidden="false" customHeight="false" outlineLevel="0" collapsed="false">
      <c r="A234" s="109" t="s">
        <v>85</v>
      </c>
      <c r="B234" s="109" t="s">
        <v>87</v>
      </c>
      <c r="C234" s="109" t="s">
        <v>224</v>
      </c>
      <c r="D234" s="109" t="s">
        <v>43</v>
      </c>
      <c r="E234" s="112" t="s">
        <v>16</v>
      </c>
      <c r="F234" s="109" t="s">
        <v>1211</v>
      </c>
      <c r="G234" s="111" t="s">
        <v>1003</v>
      </c>
    </row>
    <row r="235" customFormat="false" ht="23.85" hidden="false" customHeight="false" outlineLevel="0" collapsed="false">
      <c r="A235" s="109" t="s">
        <v>85</v>
      </c>
      <c r="B235" s="109" t="s">
        <v>87</v>
      </c>
      <c r="C235" s="109" t="s">
        <v>224</v>
      </c>
      <c r="D235" s="109" t="s">
        <v>47</v>
      </c>
      <c r="E235" s="112" t="s">
        <v>16</v>
      </c>
      <c r="F235" s="109" t="s">
        <v>1212</v>
      </c>
      <c r="G235" s="111" t="s">
        <v>1213</v>
      </c>
    </row>
    <row r="236" customFormat="false" ht="23.85" hidden="false" customHeight="false" outlineLevel="0" collapsed="false">
      <c r="A236" s="109" t="s">
        <v>85</v>
      </c>
      <c r="B236" s="109" t="s">
        <v>87</v>
      </c>
      <c r="C236" s="109" t="s">
        <v>224</v>
      </c>
      <c r="D236" s="109" t="s">
        <v>51</v>
      </c>
      <c r="E236" s="113" t="s">
        <v>24</v>
      </c>
      <c r="F236" s="109" t="s">
        <v>1214</v>
      </c>
      <c r="G236" s="111" t="s">
        <v>1215</v>
      </c>
    </row>
    <row r="237" customFormat="false" ht="23.85" hidden="false" customHeight="false" outlineLevel="0" collapsed="false">
      <c r="A237" s="109" t="s">
        <v>85</v>
      </c>
      <c r="B237" s="109" t="s">
        <v>87</v>
      </c>
      <c r="C237" s="109" t="s">
        <v>224</v>
      </c>
      <c r="D237" s="109" t="s">
        <v>55</v>
      </c>
      <c r="E237" s="113" t="s">
        <v>24</v>
      </c>
      <c r="F237" s="109" t="s">
        <v>1216</v>
      </c>
      <c r="G237" s="111" t="s">
        <v>859</v>
      </c>
    </row>
    <row r="238" customFormat="false" ht="23.85" hidden="false" customHeight="false" outlineLevel="0" collapsed="false">
      <c r="A238" s="109" t="s">
        <v>85</v>
      </c>
      <c r="B238" s="109" t="s">
        <v>87</v>
      </c>
      <c r="C238" s="109" t="s">
        <v>224</v>
      </c>
      <c r="D238" s="109" t="s">
        <v>59</v>
      </c>
      <c r="E238" s="110" t="s">
        <v>18</v>
      </c>
      <c r="F238" s="109" t="s">
        <v>1217</v>
      </c>
      <c r="G238" s="111" t="s">
        <v>1172</v>
      </c>
    </row>
    <row r="239" customFormat="false" ht="15" hidden="false" customHeight="false" outlineLevel="0" collapsed="false">
      <c r="A239" s="109" t="s">
        <v>85</v>
      </c>
      <c r="B239" s="109" t="s">
        <v>87</v>
      </c>
      <c r="C239" s="109" t="s">
        <v>224</v>
      </c>
      <c r="D239" s="109" t="s">
        <v>63</v>
      </c>
      <c r="E239" s="112" t="s">
        <v>16</v>
      </c>
      <c r="F239" s="109" t="s">
        <v>1218</v>
      </c>
      <c r="G239" s="111" t="s">
        <v>1219</v>
      </c>
    </row>
    <row r="240" customFormat="false" ht="15" hidden="false" customHeight="false" outlineLevel="0" collapsed="false">
      <c r="A240" s="109" t="s">
        <v>85</v>
      </c>
      <c r="B240" s="109" t="s">
        <v>87</v>
      </c>
      <c r="C240" s="109" t="s">
        <v>224</v>
      </c>
      <c r="D240" s="109" t="s">
        <v>67</v>
      </c>
      <c r="E240" s="113" t="s">
        <v>24</v>
      </c>
      <c r="F240" s="109" t="s">
        <v>1220</v>
      </c>
      <c r="G240" s="111" t="s">
        <v>1176</v>
      </c>
    </row>
    <row r="241" customFormat="false" ht="23.85" hidden="false" customHeight="false" outlineLevel="0" collapsed="false">
      <c r="A241" s="109" t="s">
        <v>85</v>
      </c>
      <c r="B241" s="109" t="s">
        <v>87</v>
      </c>
      <c r="C241" s="109" t="s">
        <v>224</v>
      </c>
      <c r="D241" s="109" t="s">
        <v>71</v>
      </c>
      <c r="E241" s="113" t="s">
        <v>24</v>
      </c>
      <c r="F241" s="109" t="s">
        <v>1221</v>
      </c>
      <c r="G241" s="111" t="s">
        <v>1222</v>
      </c>
    </row>
    <row r="242" customFormat="false" ht="15" hidden="false" customHeight="false" outlineLevel="0" collapsed="false">
      <c r="A242" s="109" t="s">
        <v>85</v>
      </c>
      <c r="B242" s="109" t="s">
        <v>88</v>
      </c>
      <c r="C242" s="109" t="s">
        <v>261</v>
      </c>
      <c r="D242" s="109" t="s">
        <v>35</v>
      </c>
      <c r="E242" s="112" t="s">
        <v>16</v>
      </c>
      <c r="F242" s="109" t="s">
        <v>1223</v>
      </c>
      <c r="G242" s="111" t="s">
        <v>1224</v>
      </c>
    </row>
    <row r="243" customFormat="false" ht="23.85" hidden="false" customHeight="false" outlineLevel="0" collapsed="false">
      <c r="A243" s="109" t="s">
        <v>85</v>
      </c>
      <c r="B243" s="109" t="s">
        <v>88</v>
      </c>
      <c r="C243" s="109" t="s">
        <v>261</v>
      </c>
      <c r="D243" s="109" t="s">
        <v>39</v>
      </c>
      <c r="E243" s="112" t="s">
        <v>16</v>
      </c>
      <c r="F243" s="109" t="s">
        <v>1225</v>
      </c>
      <c r="G243" s="111" t="s">
        <v>1226</v>
      </c>
    </row>
    <row r="244" customFormat="false" ht="23.85" hidden="false" customHeight="false" outlineLevel="0" collapsed="false">
      <c r="A244" s="109" t="s">
        <v>85</v>
      </c>
      <c r="B244" s="109" t="s">
        <v>88</v>
      </c>
      <c r="C244" s="109" t="s">
        <v>261</v>
      </c>
      <c r="D244" s="109" t="s">
        <v>43</v>
      </c>
      <c r="E244" s="112" t="s">
        <v>16</v>
      </c>
      <c r="F244" s="109" t="s">
        <v>1227</v>
      </c>
      <c r="G244" s="111" t="s">
        <v>1228</v>
      </c>
    </row>
    <row r="245" customFormat="false" ht="23.85" hidden="false" customHeight="false" outlineLevel="0" collapsed="false">
      <c r="A245" s="109" t="s">
        <v>85</v>
      </c>
      <c r="B245" s="109" t="s">
        <v>88</v>
      </c>
      <c r="C245" s="109" t="s">
        <v>261</v>
      </c>
      <c r="D245" s="109" t="s">
        <v>47</v>
      </c>
      <c r="E245" s="114" t="s">
        <v>22</v>
      </c>
      <c r="F245" s="109" t="s">
        <v>1229</v>
      </c>
      <c r="G245" s="111" t="s">
        <v>1230</v>
      </c>
    </row>
    <row r="246" customFormat="false" ht="15" hidden="false" customHeight="false" outlineLevel="0" collapsed="false">
      <c r="A246" s="109" t="s">
        <v>85</v>
      </c>
      <c r="B246" s="109" t="s">
        <v>88</v>
      </c>
      <c r="C246" s="109" t="s">
        <v>261</v>
      </c>
      <c r="D246" s="109" t="s">
        <v>51</v>
      </c>
      <c r="E246" s="112" t="s">
        <v>16</v>
      </c>
      <c r="F246" s="109" t="s">
        <v>1231</v>
      </c>
      <c r="G246" s="111" t="s">
        <v>1232</v>
      </c>
    </row>
    <row r="247" customFormat="false" ht="23.85" hidden="false" customHeight="false" outlineLevel="0" collapsed="false">
      <c r="A247" s="109" t="s">
        <v>85</v>
      </c>
      <c r="B247" s="109" t="s">
        <v>88</v>
      </c>
      <c r="C247" s="109" t="s">
        <v>261</v>
      </c>
      <c r="D247" s="109" t="s">
        <v>55</v>
      </c>
      <c r="E247" s="112" t="s">
        <v>16</v>
      </c>
      <c r="F247" s="109" t="s">
        <v>1233</v>
      </c>
      <c r="G247" s="111" t="s">
        <v>1234</v>
      </c>
    </row>
    <row r="248" customFormat="false" ht="23.85" hidden="false" customHeight="false" outlineLevel="0" collapsed="false">
      <c r="A248" s="109" t="s">
        <v>85</v>
      </c>
      <c r="B248" s="109" t="s">
        <v>88</v>
      </c>
      <c r="C248" s="109" t="s">
        <v>261</v>
      </c>
      <c r="D248" s="109" t="s">
        <v>59</v>
      </c>
      <c r="E248" s="110" t="s">
        <v>18</v>
      </c>
      <c r="F248" s="109" t="s">
        <v>1235</v>
      </c>
      <c r="G248" s="111" t="s">
        <v>1172</v>
      </c>
    </row>
    <row r="249" customFormat="false" ht="23.85" hidden="false" customHeight="false" outlineLevel="0" collapsed="false">
      <c r="A249" s="109" t="s">
        <v>85</v>
      </c>
      <c r="B249" s="109" t="s">
        <v>88</v>
      </c>
      <c r="C249" s="109" t="s">
        <v>261</v>
      </c>
      <c r="D249" s="109" t="s">
        <v>63</v>
      </c>
      <c r="E249" s="112" t="s">
        <v>16</v>
      </c>
      <c r="F249" s="109" t="s">
        <v>1236</v>
      </c>
      <c r="G249" s="111" t="s">
        <v>1237</v>
      </c>
    </row>
    <row r="250" customFormat="false" ht="23.85" hidden="false" customHeight="false" outlineLevel="0" collapsed="false">
      <c r="A250" s="109" t="s">
        <v>85</v>
      </c>
      <c r="B250" s="109" t="s">
        <v>88</v>
      </c>
      <c r="C250" s="109" t="s">
        <v>261</v>
      </c>
      <c r="D250" s="109" t="s">
        <v>67</v>
      </c>
      <c r="E250" s="112" t="s">
        <v>16</v>
      </c>
      <c r="F250" s="109" t="s">
        <v>1238</v>
      </c>
      <c r="G250" s="111" t="s">
        <v>1239</v>
      </c>
    </row>
    <row r="251" customFormat="false" ht="23.85" hidden="false" customHeight="false" outlineLevel="0" collapsed="false">
      <c r="A251" s="109" t="s">
        <v>85</v>
      </c>
      <c r="B251" s="109" t="s">
        <v>88</v>
      </c>
      <c r="C251" s="109" t="s">
        <v>261</v>
      </c>
      <c r="D251" s="109" t="s">
        <v>71</v>
      </c>
      <c r="E251" s="113" t="s">
        <v>24</v>
      </c>
      <c r="F251" s="109" t="s">
        <v>1240</v>
      </c>
      <c r="G251" s="111" t="s">
        <v>884</v>
      </c>
    </row>
    <row r="252" customFormat="false" ht="23.85" hidden="false" customHeight="false" outlineLevel="0" collapsed="false">
      <c r="A252" s="109" t="s">
        <v>85</v>
      </c>
      <c r="B252" s="109" t="s">
        <v>88</v>
      </c>
      <c r="C252" s="109" t="s">
        <v>263</v>
      </c>
      <c r="D252" s="109" t="s">
        <v>35</v>
      </c>
      <c r="E252" s="115" t="s">
        <v>20</v>
      </c>
      <c r="F252" s="109" t="s">
        <v>1241</v>
      </c>
      <c r="G252" s="111" t="s">
        <v>1242</v>
      </c>
    </row>
    <row r="253" customFormat="false" ht="23.85" hidden="false" customHeight="false" outlineLevel="0" collapsed="false">
      <c r="A253" s="109" t="s">
        <v>85</v>
      </c>
      <c r="B253" s="109" t="s">
        <v>88</v>
      </c>
      <c r="C253" s="109" t="s">
        <v>263</v>
      </c>
      <c r="D253" s="109" t="s">
        <v>39</v>
      </c>
      <c r="E253" s="115" t="s">
        <v>20</v>
      </c>
      <c r="F253" s="109" t="s">
        <v>1243</v>
      </c>
      <c r="G253" s="111" t="s">
        <v>1244</v>
      </c>
    </row>
    <row r="254" customFormat="false" ht="23.85" hidden="false" customHeight="false" outlineLevel="0" collapsed="false">
      <c r="A254" s="109" t="s">
        <v>85</v>
      </c>
      <c r="B254" s="109" t="s">
        <v>88</v>
      </c>
      <c r="C254" s="109" t="s">
        <v>263</v>
      </c>
      <c r="D254" s="109" t="s">
        <v>43</v>
      </c>
      <c r="E254" s="112" t="s">
        <v>16</v>
      </c>
      <c r="F254" s="109" t="s">
        <v>1245</v>
      </c>
      <c r="G254" s="111" t="s">
        <v>1228</v>
      </c>
    </row>
    <row r="255" customFormat="false" ht="23.85" hidden="false" customHeight="false" outlineLevel="0" collapsed="false">
      <c r="A255" s="109" t="s">
        <v>85</v>
      </c>
      <c r="B255" s="109" t="s">
        <v>88</v>
      </c>
      <c r="C255" s="109" t="s">
        <v>263</v>
      </c>
      <c r="D255" s="109" t="s">
        <v>47</v>
      </c>
      <c r="E255" s="115" t="s">
        <v>20</v>
      </c>
      <c r="F255" s="109" t="s">
        <v>1246</v>
      </c>
      <c r="G255" s="111" t="s">
        <v>1247</v>
      </c>
    </row>
    <row r="256" customFormat="false" ht="15" hidden="false" customHeight="false" outlineLevel="0" collapsed="false">
      <c r="A256" s="109" t="s">
        <v>85</v>
      </c>
      <c r="B256" s="109" t="s">
        <v>88</v>
      </c>
      <c r="C256" s="109" t="s">
        <v>263</v>
      </c>
      <c r="D256" s="109" t="s">
        <v>51</v>
      </c>
      <c r="E256" s="112" t="s">
        <v>16</v>
      </c>
      <c r="F256" s="109" t="s">
        <v>1248</v>
      </c>
      <c r="G256" s="111" t="s">
        <v>1232</v>
      </c>
    </row>
    <row r="257" customFormat="false" ht="15" hidden="false" customHeight="false" outlineLevel="0" collapsed="false">
      <c r="A257" s="109" t="s">
        <v>85</v>
      </c>
      <c r="B257" s="109" t="s">
        <v>88</v>
      </c>
      <c r="C257" s="109" t="s">
        <v>263</v>
      </c>
      <c r="D257" s="109" t="s">
        <v>55</v>
      </c>
      <c r="E257" s="112" t="s">
        <v>16</v>
      </c>
      <c r="F257" s="109" t="s">
        <v>1249</v>
      </c>
      <c r="G257" s="111" t="s">
        <v>1234</v>
      </c>
    </row>
    <row r="258" customFormat="false" ht="15" hidden="false" customHeight="false" outlineLevel="0" collapsed="false">
      <c r="A258" s="109" t="s">
        <v>85</v>
      </c>
      <c r="B258" s="109" t="s">
        <v>88</v>
      </c>
      <c r="C258" s="109" t="s">
        <v>263</v>
      </c>
      <c r="D258" s="109" t="s">
        <v>59</v>
      </c>
      <c r="E258" s="110" t="s">
        <v>18</v>
      </c>
      <c r="F258" s="109" t="s">
        <v>1250</v>
      </c>
      <c r="G258" s="111" t="s">
        <v>1251</v>
      </c>
    </row>
    <row r="259" customFormat="false" ht="15" hidden="false" customHeight="false" outlineLevel="0" collapsed="false">
      <c r="A259" s="109" t="s">
        <v>85</v>
      </c>
      <c r="B259" s="109" t="s">
        <v>88</v>
      </c>
      <c r="C259" s="109" t="s">
        <v>263</v>
      </c>
      <c r="D259" s="109" t="s">
        <v>63</v>
      </c>
      <c r="E259" s="112" t="s">
        <v>16</v>
      </c>
      <c r="F259" s="109" t="s">
        <v>1252</v>
      </c>
      <c r="G259" s="111" t="s">
        <v>1253</v>
      </c>
    </row>
    <row r="260" customFormat="false" ht="15" hidden="false" customHeight="false" outlineLevel="0" collapsed="false">
      <c r="A260" s="109" t="s">
        <v>85</v>
      </c>
      <c r="B260" s="109" t="s">
        <v>88</v>
      </c>
      <c r="C260" s="109" t="s">
        <v>263</v>
      </c>
      <c r="D260" s="109" t="s">
        <v>67</v>
      </c>
      <c r="E260" s="114" t="s">
        <v>22</v>
      </c>
      <c r="F260" s="109" t="s">
        <v>1254</v>
      </c>
      <c r="G260" s="111" t="s">
        <v>1239</v>
      </c>
    </row>
    <row r="261" customFormat="false" ht="15" hidden="false" customHeight="false" outlineLevel="0" collapsed="false">
      <c r="A261" s="109" t="s">
        <v>85</v>
      </c>
      <c r="B261" s="109" t="s">
        <v>88</v>
      </c>
      <c r="C261" s="109" t="s">
        <v>263</v>
      </c>
      <c r="D261" s="109" t="s">
        <v>71</v>
      </c>
      <c r="E261" s="114" t="s">
        <v>22</v>
      </c>
      <c r="F261" s="109" t="s">
        <v>1255</v>
      </c>
      <c r="G261" s="111" t="s">
        <v>1256</v>
      </c>
    </row>
    <row r="262" customFormat="false" ht="23.85" hidden="false" customHeight="false" outlineLevel="0" collapsed="false">
      <c r="A262" s="109" t="s">
        <v>85</v>
      </c>
      <c r="B262" s="109" t="s">
        <v>88</v>
      </c>
      <c r="C262" s="109" t="s">
        <v>265</v>
      </c>
      <c r="D262" s="109" t="s">
        <v>35</v>
      </c>
      <c r="E262" s="114" t="s">
        <v>22</v>
      </c>
      <c r="F262" s="109" t="s">
        <v>1257</v>
      </c>
      <c r="G262" s="111" t="s">
        <v>1179</v>
      </c>
    </row>
    <row r="263" customFormat="false" ht="23.85" hidden="false" customHeight="false" outlineLevel="0" collapsed="false">
      <c r="A263" s="109" t="s">
        <v>85</v>
      </c>
      <c r="B263" s="109" t="s">
        <v>88</v>
      </c>
      <c r="C263" s="109" t="s">
        <v>265</v>
      </c>
      <c r="D263" s="109" t="s">
        <v>39</v>
      </c>
      <c r="E263" s="115" t="s">
        <v>20</v>
      </c>
      <c r="F263" s="109" t="s">
        <v>1258</v>
      </c>
      <c r="G263" s="111" t="s">
        <v>1259</v>
      </c>
    </row>
    <row r="264" customFormat="false" ht="23.85" hidden="false" customHeight="false" outlineLevel="0" collapsed="false">
      <c r="A264" s="109" t="s">
        <v>85</v>
      </c>
      <c r="B264" s="109" t="s">
        <v>88</v>
      </c>
      <c r="C264" s="109" t="s">
        <v>265</v>
      </c>
      <c r="D264" s="109" t="s">
        <v>43</v>
      </c>
      <c r="E264" s="112" t="s">
        <v>16</v>
      </c>
      <c r="F264" s="109" t="s">
        <v>1260</v>
      </c>
      <c r="G264" s="111" t="s">
        <v>1228</v>
      </c>
    </row>
    <row r="265" customFormat="false" ht="23.85" hidden="false" customHeight="false" outlineLevel="0" collapsed="false">
      <c r="A265" s="109" t="s">
        <v>85</v>
      </c>
      <c r="B265" s="109" t="s">
        <v>88</v>
      </c>
      <c r="C265" s="109" t="s">
        <v>265</v>
      </c>
      <c r="D265" s="109" t="s">
        <v>47</v>
      </c>
      <c r="E265" s="112" t="s">
        <v>16</v>
      </c>
      <c r="F265" s="109" t="s">
        <v>1261</v>
      </c>
      <c r="G265" s="111" t="s">
        <v>956</v>
      </c>
    </row>
    <row r="266" customFormat="false" ht="23.85" hidden="false" customHeight="false" outlineLevel="0" collapsed="false">
      <c r="A266" s="109" t="s">
        <v>85</v>
      </c>
      <c r="B266" s="109" t="s">
        <v>88</v>
      </c>
      <c r="C266" s="109" t="s">
        <v>265</v>
      </c>
      <c r="D266" s="109" t="s">
        <v>51</v>
      </c>
      <c r="E266" s="112" t="s">
        <v>16</v>
      </c>
      <c r="F266" s="109" t="s">
        <v>1262</v>
      </c>
      <c r="G266" s="111" t="s">
        <v>1232</v>
      </c>
    </row>
    <row r="267" customFormat="false" ht="15" hidden="false" customHeight="false" outlineLevel="0" collapsed="false">
      <c r="A267" s="109" t="s">
        <v>85</v>
      </c>
      <c r="B267" s="109" t="s">
        <v>88</v>
      </c>
      <c r="C267" s="109" t="s">
        <v>265</v>
      </c>
      <c r="D267" s="109" t="s">
        <v>55</v>
      </c>
      <c r="E267" s="114" t="s">
        <v>22</v>
      </c>
      <c r="F267" s="109" t="s">
        <v>1263</v>
      </c>
      <c r="G267" s="111" t="s">
        <v>1264</v>
      </c>
    </row>
    <row r="268" customFormat="false" ht="23.85" hidden="false" customHeight="false" outlineLevel="0" collapsed="false">
      <c r="A268" s="109" t="s">
        <v>85</v>
      </c>
      <c r="B268" s="109" t="s">
        <v>88</v>
      </c>
      <c r="C268" s="109" t="s">
        <v>265</v>
      </c>
      <c r="D268" s="109" t="s">
        <v>59</v>
      </c>
      <c r="E268" s="114" t="s">
        <v>22</v>
      </c>
      <c r="F268" s="109" t="s">
        <v>1265</v>
      </c>
      <c r="G268" s="111" t="s">
        <v>1266</v>
      </c>
    </row>
    <row r="269" customFormat="false" ht="15" hidden="false" customHeight="false" outlineLevel="0" collapsed="false">
      <c r="A269" s="109" t="s">
        <v>85</v>
      </c>
      <c r="B269" s="109" t="s">
        <v>88</v>
      </c>
      <c r="C269" s="109" t="s">
        <v>265</v>
      </c>
      <c r="D269" s="109" t="s">
        <v>63</v>
      </c>
      <c r="E269" s="112" t="s">
        <v>16</v>
      </c>
      <c r="F269" s="109" t="s">
        <v>1267</v>
      </c>
      <c r="G269" s="111" t="s">
        <v>1268</v>
      </c>
    </row>
    <row r="270" customFormat="false" ht="23.85" hidden="false" customHeight="false" outlineLevel="0" collapsed="false">
      <c r="A270" s="109" t="s">
        <v>85</v>
      </c>
      <c r="B270" s="109" t="s">
        <v>88</v>
      </c>
      <c r="C270" s="109" t="s">
        <v>265</v>
      </c>
      <c r="D270" s="109" t="s">
        <v>67</v>
      </c>
      <c r="E270" s="114" t="s">
        <v>22</v>
      </c>
      <c r="F270" s="109" t="s">
        <v>1269</v>
      </c>
      <c r="G270" s="111" t="s">
        <v>1270</v>
      </c>
    </row>
    <row r="271" customFormat="false" ht="23.85" hidden="false" customHeight="false" outlineLevel="0" collapsed="false">
      <c r="A271" s="109" t="s">
        <v>85</v>
      </c>
      <c r="B271" s="109" t="s">
        <v>88</v>
      </c>
      <c r="C271" s="109" t="s">
        <v>265</v>
      </c>
      <c r="D271" s="109" t="s">
        <v>71</v>
      </c>
      <c r="E271" s="114" t="s">
        <v>22</v>
      </c>
      <c r="F271" s="109" t="s">
        <v>1271</v>
      </c>
      <c r="G271" s="111" t="s">
        <v>1272</v>
      </c>
    </row>
    <row r="272" customFormat="false" ht="23.85" hidden="false" customHeight="false" outlineLevel="0" collapsed="false">
      <c r="A272" s="109" t="s">
        <v>85</v>
      </c>
      <c r="B272" s="109" t="s">
        <v>88</v>
      </c>
      <c r="C272" s="109" t="s">
        <v>267</v>
      </c>
      <c r="D272" s="109" t="s">
        <v>35</v>
      </c>
      <c r="E272" s="114" t="s">
        <v>22</v>
      </c>
      <c r="F272" s="109" t="s">
        <v>1273</v>
      </c>
      <c r="G272" s="111" t="s">
        <v>1274</v>
      </c>
    </row>
    <row r="273" customFormat="false" ht="23.85" hidden="false" customHeight="false" outlineLevel="0" collapsed="false">
      <c r="A273" s="109" t="s">
        <v>85</v>
      </c>
      <c r="B273" s="109" t="s">
        <v>88</v>
      </c>
      <c r="C273" s="109" t="s">
        <v>267</v>
      </c>
      <c r="D273" s="109" t="s">
        <v>39</v>
      </c>
      <c r="E273" s="112" t="s">
        <v>16</v>
      </c>
      <c r="F273" s="109" t="s">
        <v>1275</v>
      </c>
      <c r="G273" s="111" t="s">
        <v>1276</v>
      </c>
    </row>
    <row r="274" customFormat="false" ht="23.85" hidden="false" customHeight="false" outlineLevel="0" collapsed="false">
      <c r="A274" s="109" t="s">
        <v>85</v>
      </c>
      <c r="B274" s="109" t="s">
        <v>88</v>
      </c>
      <c r="C274" s="109" t="s">
        <v>267</v>
      </c>
      <c r="D274" s="109" t="s">
        <v>43</v>
      </c>
      <c r="E274" s="112" t="s">
        <v>16</v>
      </c>
      <c r="F274" s="109" t="s">
        <v>1277</v>
      </c>
      <c r="G274" s="111" t="s">
        <v>1278</v>
      </c>
    </row>
    <row r="275" customFormat="false" ht="23.85" hidden="false" customHeight="false" outlineLevel="0" collapsed="false">
      <c r="A275" s="109" t="s">
        <v>85</v>
      </c>
      <c r="B275" s="109" t="s">
        <v>88</v>
      </c>
      <c r="C275" s="109" t="s">
        <v>267</v>
      </c>
      <c r="D275" s="109" t="s">
        <v>47</v>
      </c>
      <c r="E275" s="112" t="s">
        <v>16</v>
      </c>
      <c r="F275" s="109" t="s">
        <v>1279</v>
      </c>
      <c r="G275" s="111" t="s">
        <v>1280</v>
      </c>
    </row>
    <row r="276" customFormat="false" ht="23.85" hidden="false" customHeight="false" outlineLevel="0" collapsed="false">
      <c r="A276" s="109" t="s">
        <v>85</v>
      </c>
      <c r="B276" s="109" t="s">
        <v>88</v>
      </c>
      <c r="C276" s="109" t="s">
        <v>267</v>
      </c>
      <c r="D276" s="109" t="s">
        <v>51</v>
      </c>
      <c r="E276" s="112" t="s">
        <v>16</v>
      </c>
      <c r="F276" s="109" t="s">
        <v>1281</v>
      </c>
      <c r="G276" s="111" t="s">
        <v>1282</v>
      </c>
    </row>
    <row r="277" customFormat="false" ht="23.85" hidden="false" customHeight="false" outlineLevel="0" collapsed="false">
      <c r="A277" s="109" t="s">
        <v>85</v>
      </c>
      <c r="B277" s="109" t="s">
        <v>88</v>
      </c>
      <c r="C277" s="109" t="s">
        <v>267</v>
      </c>
      <c r="D277" s="109" t="s">
        <v>55</v>
      </c>
      <c r="E277" s="112" t="s">
        <v>16</v>
      </c>
      <c r="F277" s="109" t="s">
        <v>1283</v>
      </c>
      <c r="G277" s="111" t="s">
        <v>1284</v>
      </c>
    </row>
    <row r="278" customFormat="false" ht="23.85" hidden="false" customHeight="false" outlineLevel="0" collapsed="false">
      <c r="A278" s="109" t="s">
        <v>85</v>
      </c>
      <c r="B278" s="109" t="s">
        <v>88</v>
      </c>
      <c r="C278" s="109" t="s">
        <v>267</v>
      </c>
      <c r="D278" s="109" t="s">
        <v>59</v>
      </c>
      <c r="E278" s="112" t="s">
        <v>16</v>
      </c>
      <c r="F278" s="109" t="s">
        <v>1285</v>
      </c>
      <c r="G278" s="111" t="s">
        <v>1266</v>
      </c>
    </row>
    <row r="279" customFormat="false" ht="23.85" hidden="false" customHeight="false" outlineLevel="0" collapsed="false">
      <c r="A279" s="109" t="s">
        <v>85</v>
      </c>
      <c r="B279" s="109" t="s">
        <v>88</v>
      </c>
      <c r="C279" s="109" t="s">
        <v>267</v>
      </c>
      <c r="D279" s="109" t="s">
        <v>63</v>
      </c>
      <c r="E279" s="114" t="s">
        <v>22</v>
      </c>
      <c r="F279" s="109" t="s">
        <v>1286</v>
      </c>
      <c r="G279" s="111" t="s">
        <v>1287</v>
      </c>
    </row>
    <row r="280" customFormat="false" ht="23.85" hidden="false" customHeight="false" outlineLevel="0" collapsed="false">
      <c r="A280" s="109" t="s">
        <v>85</v>
      </c>
      <c r="B280" s="109" t="s">
        <v>88</v>
      </c>
      <c r="C280" s="109" t="s">
        <v>267</v>
      </c>
      <c r="D280" s="109" t="s">
        <v>67</v>
      </c>
      <c r="E280" s="114" t="s">
        <v>22</v>
      </c>
      <c r="F280" s="109" t="s">
        <v>1288</v>
      </c>
      <c r="G280" s="111" t="s">
        <v>1239</v>
      </c>
    </row>
    <row r="281" customFormat="false" ht="23.85" hidden="false" customHeight="false" outlineLevel="0" collapsed="false">
      <c r="A281" s="109" t="s">
        <v>85</v>
      </c>
      <c r="B281" s="109" t="s">
        <v>88</v>
      </c>
      <c r="C281" s="109" t="s">
        <v>267</v>
      </c>
      <c r="D281" s="109" t="s">
        <v>71</v>
      </c>
      <c r="E281" s="114" t="s">
        <v>22</v>
      </c>
      <c r="F281" s="109" t="s">
        <v>1289</v>
      </c>
      <c r="G281" s="111" t="s">
        <v>1290</v>
      </c>
    </row>
    <row r="282" customFormat="false" ht="23.85" hidden="false" customHeight="false" outlineLevel="0" collapsed="false">
      <c r="A282" s="109" t="s">
        <v>85</v>
      </c>
      <c r="B282" s="109" t="s">
        <v>88</v>
      </c>
      <c r="C282" s="109" t="s">
        <v>269</v>
      </c>
      <c r="D282" s="109" t="s">
        <v>35</v>
      </c>
      <c r="E282" s="110" t="s">
        <v>18</v>
      </c>
      <c r="F282" s="109" t="s">
        <v>1291</v>
      </c>
      <c r="G282" s="111" t="s">
        <v>1292</v>
      </c>
    </row>
    <row r="283" customFormat="false" ht="23.85" hidden="false" customHeight="false" outlineLevel="0" collapsed="false">
      <c r="A283" s="109" t="s">
        <v>85</v>
      </c>
      <c r="B283" s="109" t="s">
        <v>88</v>
      </c>
      <c r="C283" s="109" t="s">
        <v>269</v>
      </c>
      <c r="D283" s="109" t="s">
        <v>39</v>
      </c>
      <c r="E283" s="112" t="s">
        <v>16</v>
      </c>
      <c r="F283" s="109" t="s">
        <v>1293</v>
      </c>
      <c r="G283" s="111" t="s">
        <v>1294</v>
      </c>
    </row>
    <row r="284" customFormat="false" ht="23.85" hidden="false" customHeight="false" outlineLevel="0" collapsed="false">
      <c r="A284" s="109" t="s">
        <v>85</v>
      </c>
      <c r="B284" s="109" t="s">
        <v>88</v>
      </c>
      <c r="C284" s="109" t="s">
        <v>269</v>
      </c>
      <c r="D284" s="109" t="s">
        <v>43</v>
      </c>
      <c r="E284" s="112" t="s">
        <v>16</v>
      </c>
      <c r="F284" s="109" t="s">
        <v>1295</v>
      </c>
      <c r="G284" s="111" t="s">
        <v>1278</v>
      </c>
    </row>
    <row r="285" customFormat="false" ht="23.85" hidden="false" customHeight="false" outlineLevel="0" collapsed="false">
      <c r="A285" s="109" t="s">
        <v>85</v>
      </c>
      <c r="B285" s="109" t="s">
        <v>88</v>
      </c>
      <c r="C285" s="109" t="s">
        <v>269</v>
      </c>
      <c r="D285" s="109" t="s">
        <v>47</v>
      </c>
      <c r="E285" s="112" t="s">
        <v>16</v>
      </c>
      <c r="F285" s="109" t="s">
        <v>1296</v>
      </c>
      <c r="G285" s="111" t="s">
        <v>1280</v>
      </c>
    </row>
    <row r="286" customFormat="false" ht="15" hidden="false" customHeight="false" outlineLevel="0" collapsed="false">
      <c r="A286" s="109" t="s">
        <v>85</v>
      </c>
      <c r="B286" s="109" t="s">
        <v>88</v>
      </c>
      <c r="C286" s="109" t="s">
        <v>269</v>
      </c>
      <c r="D286" s="109" t="s">
        <v>51</v>
      </c>
      <c r="E286" s="112" t="s">
        <v>16</v>
      </c>
      <c r="F286" s="109" t="s">
        <v>1297</v>
      </c>
      <c r="G286" s="111" t="s">
        <v>1298</v>
      </c>
    </row>
    <row r="287" customFormat="false" ht="23.85" hidden="false" customHeight="false" outlineLevel="0" collapsed="false">
      <c r="A287" s="109" t="s">
        <v>85</v>
      </c>
      <c r="B287" s="109" t="s">
        <v>88</v>
      </c>
      <c r="C287" s="109" t="s">
        <v>269</v>
      </c>
      <c r="D287" s="109" t="s">
        <v>55</v>
      </c>
      <c r="E287" s="114" t="s">
        <v>22</v>
      </c>
      <c r="F287" s="109" t="s">
        <v>1299</v>
      </c>
      <c r="G287" s="111" t="s">
        <v>1284</v>
      </c>
    </row>
    <row r="288" customFormat="false" ht="23.85" hidden="false" customHeight="false" outlineLevel="0" collapsed="false">
      <c r="A288" s="109" t="s">
        <v>85</v>
      </c>
      <c r="B288" s="109" t="s">
        <v>88</v>
      </c>
      <c r="C288" s="109" t="s">
        <v>269</v>
      </c>
      <c r="D288" s="109" t="s">
        <v>59</v>
      </c>
      <c r="E288" s="112" t="s">
        <v>16</v>
      </c>
      <c r="F288" s="109" t="s">
        <v>1300</v>
      </c>
      <c r="G288" s="111" t="s">
        <v>1301</v>
      </c>
    </row>
    <row r="289" customFormat="false" ht="15" hidden="false" customHeight="false" outlineLevel="0" collapsed="false">
      <c r="A289" s="109" t="s">
        <v>85</v>
      </c>
      <c r="B289" s="109" t="s">
        <v>88</v>
      </c>
      <c r="C289" s="109" t="s">
        <v>269</v>
      </c>
      <c r="D289" s="109" t="s">
        <v>63</v>
      </c>
      <c r="E289" s="112" t="s">
        <v>16</v>
      </c>
      <c r="F289" s="109" t="s">
        <v>1302</v>
      </c>
      <c r="G289" s="111" t="s">
        <v>1237</v>
      </c>
    </row>
    <row r="290" customFormat="false" ht="15" hidden="false" customHeight="false" outlineLevel="0" collapsed="false">
      <c r="A290" s="109" t="s">
        <v>85</v>
      </c>
      <c r="B290" s="109" t="s">
        <v>88</v>
      </c>
      <c r="C290" s="109" t="s">
        <v>269</v>
      </c>
      <c r="D290" s="109" t="s">
        <v>67</v>
      </c>
      <c r="E290" s="114" t="s">
        <v>22</v>
      </c>
      <c r="F290" s="109" t="s">
        <v>1303</v>
      </c>
      <c r="G290" s="111" t="s">
        <v>1239</v>
      </c>
    </row>
    <row r="291" customFormat="false" ht="15" hidden="false" customHeight="false" outlineLevel="0" collapsed="false">
      <c r="A291" s="109" t="s">
        <v>85</v>
      </c>
      <c r="B291" s="109" t="s">
        <v>88</v>
      </c>
      <c r="C291" s="109" t="s">
        <v>269</v>
      </c>
      <c r="D291" s="109" t="s">
        <v>71</v>
      </c>
      <c r="E291" s="114" t="s">
        <v>22</v>
      </c>
      <c r="F291" s="109" t="s">
        <v>1304</v>
      </c>
      <c r="G291" s="111" t="s">
        <v>1290</v>
      </c>
    </row>
    <row r="292" customFormat="false" ht="23.85" hidden="false" customHeight="false" outlineLevel="0" collapsed="false">
      <c r="A292" s="109" t="s">
        <v>85</v>
      </c>
      <c r="B292" s="109" t="s">
        <v>88</v>
      </c>
      <c r="C292" s="109" t="s">
        <v>271</v>
      </c>
      <c r="D292" s="109" t="s">
        <v>35</v>
      </c>
      <c r="E292" s="112" t="s">
        <v>16</v>
      </c>
      <c r="F292" s="109" t="s">
        <v>1305</v>
      </c>
      <c r="G292" s="111" t="s">
        <v>1082</v>
      </c>
    </row>
    <row r="293" customFormat="false" ht="15" hidden="false" customHeight="false" outlineLevel="0" collapsed="false">
      <c r="A293" s="109" t="s">
        <v>85</v>
      </c>
      <c r="B293" s="109" t="s">
        <v>88</v>
      </c>
      <c r="C293" s="109" t="s">
        <v>271</v>
      </c>
      <c r="D293" s="109" t="s">
        <v>39</v>
      </c>
      <c r="E293" s="112" t="s">
        <v>16</v>
      </c>
      <c r="F293" s="109" t="s">
        <v>1306</v>
      </c>
      <c r="G293" s="111" t="s">
        <v>1307</v>
      </c>
    </row>
    <row r="294" customFormat="false" ht="23.85" hidden="false" customHeight="false" outlineLevel="0" collapsed="false">
      <c r="A294" s="109" t="s">
        <v>85</v>
      </c>
      <c r="B294" s="109" t="s">
        <v>88</v>
      </c>
      <c r="C294" s="109" t="s">
        <v>271</v>
      </c>
      <c r="D294" s="109" t="s">
        <v>43</v>
      </c>
      <c r="E294" s="112" t="s">
        <v>16</v>
      </c>
      <c r="F294" s="109" t="s">
        <v>1308</v>
      </c>
      <c r="G294" s="111" t="s">
        <v>1228</v>
      </c>
    </row>
    <row r="295" customFormat="false" ht="23.85" hidden="false" customHeight="false" outlineLevel="0" collapsed="false">
      <c r="A295" s="109" t="s">
        <v>85</v>
      </c>
      <c r="B295" s="109" t="s">
        <v>88</v>
      </c>
      <c r="C295" s="109" t="s">
        <v>271</v>
      </c>
      <c r="D295" s="109" t="s">
        <v>47</v>
      </c>
      <c r="E295" s="112" t="s">
        <v>16</v>
      </c>
      <c r="F295" s="109" t="s">
        <v>1309</v>
      </c>
      <c r="G295" s="111" t="s">
        <v>1310</v>
      </c>
    </row>
    <row r="296" customFormat="false" ht="15" hidden="false" customHeight="false" outlineLevel="0" collapsed="false">
      <c r="A296" s="109" t="s">
        <v>85</v>
      </c>
      <c r="B296" s="109" t="s">
        <v>88</v>
      </c>
      <c r="C296" s="109" t="s">
        <v>271</v>
      </c>
      <c r="D296" s="109" t="s">
        <v>51</v>
      </c>
      <c r="E296" s="112" t="s">
        <v>16</v>
      </c>
      <c r="F296" s="109" t="s">
        <v>1311</v>
      </c>
      <c r="G296" s="111" t="s">
        <v>1232</v>
      </c>
    </row>
    <row r="297" customFormat="false" ht="23.85" hidden="false" customHeight="false" outlineLevel="0" collapsed="false">
      <c r="A297" s="109" t="s">
        <v>85</v>
      </c>
      <c r="B297" s="109" t="s">
        <v>88</v>
      </c>
      <c r="C297" s="109" t="s">
        <v>271</v>
      </c>
      <c r="D297" s="109" t="s">
        <v>55</v>
      </c>
      <c r="E297" s="114" t="s">
        <v>22</v>
      </c>
      <c r="F297" s="109" t="s">
        <v>1312</v>
      </c>
      <c r="G297" s="111" t="s">
        <v>1313</v>
      </c>
    </row>
    <row r="298" customFormat="false" ht="23.85" hidden="false" customHeight="false" outlineLevel="0" collapsed="false">
      <c r="A298" s="109" t="s">
        <v>85</v>
      </c>
      <c r="B298" s="109" t="s">
        <v>88</v>
      </c>
      <c r="C298" s="109" t="s">
        <v>271</v>
      </c>
      <c r="D298" s="109" t="s">
        <v>59</v>
      </c>
      <c r="E298" s="112" t="s">
        <v>16</v>
      </c>
      <c r="F298" s="109" t="s">
        <v>1314</v>
      </c>
      <c r="G298" s="111" t="s">
        <v>1266</v>
      </c>
    </row>
    <row r="299" customFormat="false" ht="23.85" hidden="false" customHeight="false" outlineLevel="0" collapsed="false">
      <c r="A299" s="109" t="s">
        <v>85</v>
      </c>
      <c r="B299" s="109" t="s">
        <v>88</v>
      </c>
      <c r="C299" s="109" t="s">
        <v>271</v>
      </c>
      <c r="D299" s="109" t="s">
        <v>63</v>
      </c>
      <c r="E299" s="112" t="s">
        <v>16</v>
      </c>
      <c r="F299" s="109" t="s">
        <v>1315</v>
      </c>
      <c r="G299" s="111" t="s">
        <v>1237</v>
      </c>
    </row>
    <row r="300" customFormat="false" ht="15" hidden="false" customHeight="false" outlineLevel="0" collapsed="false">
      <c r="A300" s="109" t="s">
        <v>85</v>
      </c>
      <c r="B300" s="109" t="s">
        <v>88</v>
      </c>
      <c r="C300" s="109" t="s">
        <v>271</v>
      </c>
      <c r="D300" s="109" t="s">
        <v>67</v>
      </c>
      <c r="E300" s="114" t="s">
        <v>22</v>
      </c>
      <c r="F300" s="109" t="s">
        <v>1316</v>
      </c>
      <c r="G300" s="111" t="s">
        <v>1239</v>
      </c>
    </row>
    <row r="301" customFormat="false" ht="15" hidden="false" customHeight="false" outlineLevel="0" collapsed="false">
      <c r="A301" s="109" t="s">
        <v>85</v>
      </c>
      <c r="B301" s="109" t="s">
        <v>88</v>
      </c>
      <c r="C301" s="109" t="s">
        <v>271</v>
      </c>
      <c r="D301" s="109" t="s">
        <v>71</v>
      </c>
      <c r="E301" s="113" t="s">
        <v>24</v>
      </c>
      <c r="F301" s="109" t="s">
        <v>1317</v>
      </c>
      <c r="G301" s="111" t="s">
        <v>884</v>
      </c>
    </row>
    <row r="302" customFormat="false" ht="23.85" hidden="false" customHeight="false" outlineLevel="0" collapsed="false">
      <c r="A302" s="109" t="s">
        <v>85</v>
      </c>
      <c r="B302" s="109" t="s">
        <v>88</v>
      </c>
      <c r="C302" s="109" t="s">
        <v>273</v>
      </c>
      <c r="D302" s="109" t="s">
        <v>35</v>
      </c>
      <c r="E302" s="115" t="s">
        <v>20</v>
      </c>
      <c r="F302" s="109" t="s">
        <v>1318</v>
      </c>
      <c r="G302" s="111" t="s">
        <v>1319</v>
      </c>
    </row>
    <row r="303" customFormat="false" ht="15" hidden="false" customHeight="false" outlineLevel="0" collapsed="false">
      <c r="A303" s="109" t="s">
        <v>85</v>
      </c>
      <c r="B303" s="109" t="s">
        <v>88</v>
      </c>
      <c r="C303" s="109" t="s">
        <v>273</v>
      </c>
      <c r="D303" s="109" t="s">
        <v>39</v>
      </c>
      <c r="E303" s="115" t="s">
        <v>20</v>
      </c>
      <c r="F303" s="109" t="s">
        <v>1320</v>
      </c>
      <c r="G303" s="111" t="s">
        <v>1321</v>
      </c>
    </row>
    <row r="304" customFormat="false" ht="23.85" hidden="false" customHeight="false" outlineLevel="0" collapsed="false">
      <c r="A304" s="109" t="s">
        <v>85</v>
      </c>
      <c r="B304" s="109" t="s">
        <v>88</v>
      </c>
      <c r="C304" s="109" t="s">
        <v>273</v>
      </c>
      <c r="D304" s="109" t="s">
        <v>43</v>
      </c>
      <c r="E304" s="110" t="s">
        <v>18</v>
      </c>
      <c r="F304" s="109" t="s">
        <v>1322</v>
      </c>
      <c r="G304" s="111" t="s">
        <v>1323</v>
      </c>
    </row>
    <row r="305" customFormat="false" ht="23.85" hidden="false" customHeight="false" outlineLevel="0" collapsed="false">
      <c r="A305" s="109" t="s">
        <v>85</v>
      </c>
      <c r="B305" s="109" t="s">
        <v>88</v>
      </c>
      <c r="C305" s="109" t="s">
        <v>273</v>
      </c>
      <c r="D305" s="109" t="s">
        <v>47</v>
      </c>
      <c r="E305" s="115" t="s">
        <v>20</v>
      </c>
      <c r="F305" s="109" t="s">
        <v>1324</v>
      </c>
      <c r="G305" s="111" t="s">
        <v>1247</v>
      </c>
    </row>
    <row r="306" customFormat="false" ht="23.85" hidden="false" customHeight="false" outlineLevel="0" collapsed="false">
      <c r="A306" s="109" t="s">
        <v>85</v>
      </c>
      <c r="B306" s="109" t="s">
        <v>88</v>
      </c>
      <c r="C306" s="109" t="s">
        <v>273</v>
      </c>
      <c r="D306" s="109" t="s">
        <v>51</v>
      </c>
      <c r="E306" s="112" t="s">
        <v>16</v>
      </c>
      <c r="F306" s="109" t="s">
        <v>1325</v>
      </c>
      <c r="G306" s="111" t="s">
        <v>1232</v>
      </c>
    </row>
    <row r="307" customFormat="false" ht="23.85" hidden="false" customHeight="false" outlineLevel="0" collapsed="false">
      <c r="A307" s="109" t="s">
        <v>85</v>
      </c>
      <c r="B307" s="109" t="s">
        <v>88</v>
      </c>
      <c r="C307" s="109" t="s">
        <v>273</v>
      </c>
      <c r="D307" s="109" t="s">
        <v>55</v>
      </c>
      <c r="E307" s="112" t="s">
        <v>16</v>
      </c>
      <c r="F307" s="109" t="s">
        <v>1326</v>
      </c>
      <c r="G307" s="111" t="s">
        <v>1327</v>
      </c>
    </row>
    <row r="308" customFormat="false" ht="15" hidden="false" customHeight="false" outlineLevel="0" collapsed="false">
      <c r="A308" s="109" t="s">
        <v>85</v>
      </c>
      <c r="B308" s="109" t="s">
        <v>88</v>
      </c>
      <c r="C308" s="109" t="s">
        <v>273</v>
      </c>
      <c r="D308" s="109" t="s">
        <v>59</v>
      </c>
      <c r="E308" s="113" t="s">
        <v>24</v>
      </c>
      <c r="F308" s="109" t="s">
        <v>1328</v>
      </c>
      <c r="G308" s="109"/>
    </row>
    <row r="309" customFormat="false" ht="15" hidden="false" customHeight="false" outlineLevel="0" collapsed="false">
      <c r="A309" s="109" t="s">
        <v>85</v>
      </c>
      <c r="B309" s="109" t="s">
        <v>88</v>
      </c>
      <c r="C309" s="109" t="s">
        <v>273</v>
      </c>
      <c r="D309" s="109" t="s">
        <v>63</v>
      </c>
      <c r="E309" s="110" t="s">
        <v>18</v>
      </c>
      <c r="F309" s="109" t="s">
        <v>1329</v>
      </c>
      <c r="G309" s="111" t="s">
        <v>1330</v>
      </c>
    </row>
    <row r="310" customFormat="false" ht="23.85" hidden="false" customHeight="false" outlineLevel="0" collapsed="false">
      <c r="A310" s="109" t="s">
        <v>85</v>
      </c>
      <c r="B310" s="109" t="s">
        <v>88</v>
      </c>
      <c r="C310" s="109" t="s">
        <v>273</v>
      </c>
      <c r="D310" s="109" t="s">
        <v>67</v>
      </c>
      <c r="E310" s="112" t="s">
        <v>16</v>
      </c>
      <c r="F310" s="109" t="s">
        <v>1331</v>
      </c>
      <c r="G310" s="111" t="s">
        <v>1239</v>
      </c>
    </row>
    <row r="311" customFormat="false" ht="23.85" hidden="false" customHeight="false" outlineLevel="0" collapsed="false">
      <c r="A311" s="109" t="s">
        <v>85</v>
      </c>
      <c r="B311" s="109" t="s">
        <v>88</v>
      </c>
      <c r="C311" s="109" t="s">
        <v>273</v>
      </c>
      <c r="D311" s="109" t="s">
        <v>71</v>
      </c>
      <c r="E311" s="112" t="s">
        <v>16</v>
      </c>
      <c r="F311" s="109" t="s">
        <v>1332</v>
      </c>
      <c r="G311" s="111" t="s">
        <v>949</v>
      </c>
    </row>
    <row r="312" customFormat="false" ht="23.85" hidden="false" customHeight="false" outlineLevel="0" collapsed="false">
      <c r="A312" s="109" t="s">
        <v>85</v>
      </c>
      <c r="B312" s="109" t="s">
        <v>88</v>
      </c>
      <c r="C312" s="109" t="s">
        <v>275</v>
      </c>
      <c r="D312" s="109" t="s">
        <v>35</v>
      </c>
      <c r="E312" s="112" t="s">
        <v>16</v>
      </c>
      <c r="F312" s="109" t="s">
        <v>1333</v>
      </c>
      <c r="G312" s="111" t="s">
        <v>1179</v>
      </c>
    </row>
    <row r="313" customFormat="false" ht="23.85" hidden="false" customHeight="false" outlineLevel="0" collapsed="false">
      <c r="A313" s="109" t="s">
        <v>85</v>
      </c>
      <c r="B313" s="109" t="s">
        <v>88</v>
      </c>
      <c r="C313" s="109" t="s">
        <v>275</v>
      </c>
      <c r="D313" s="109" t="s">
        <v>39</v>
      </c>
      <c r="E313" s="112" t="s">
        <v>16</v>
      </c>
      <c r="F313" s="109" t="s">
        <v>1334</v>
      </c>
      <c r="G313" s="111" t="s">
        <v>1307</v>
      </c>
    </row>
    <row r="314" customFormat="false" ht="23.85" hidden="false" customHeight="false" outlineLevel="0" collapsed="false">
      <c r="A314" s="109" t="s">
        <v>85</v>
      </c>
      <c r="B314" s="109" t="s">
        <v>88</v>
      </c>
      <c r="C314" s="109" t="s">
        <v>275</v>
      </c>
      <c r="D314" s="109" t="s">
        <v>43</v>
      </c>
      <c r="E314" s="112" t="s">
        <v>16</v>
      </c>
      <c r="F314" s="109" t="s">
        <v>1335</v>
      </c>
      <c r="G314" s="111" t="s">
        <v>1228</v>
      </c>
    </row>
    <row r="315" customFormat="false" ht="23.85" hidden="false" customHeight="false" outlineLevel="0" collapsed="false">
      <c r="A315" s="109" t="s">
        <v>85</v>
      </c>
      <c r="B315" s="109" t="s">
        <v>88</v>
      </c>
      <c r="C315" s="109" t="s">
        <v>275</v>
      </c>
      <c r="D315" s="109" t="s">
        <v>47</v>
      </c>
      <c r="E315" s="112" t="s">
        <v>16</v>
      </c>
      <c r="F315" s="109" t="s">
        <v>1336</v>
      </c>
      <c r="G315" s="111" t="s">
        <v>1213</v>
      </c>
    </row>
    <row r="316" customFormat="false" ht="23.85" hidden="false" customHeight="false" outlineLevel="0" collapsed="false">
      <c r="A316" s="109" t="s">
        <v>85</v>
      </c>
      <c r="B316" s="109" t="s">
        <v>88</v>
      </c>
      <c r="C316" s="109" t="s">
        <v>275</v>
      </c>
      <c r="D316" s="109" t="s">
        <v>51</v>
      </c>
      <c r="E316" s="112" t="s">
        <v>16</v>
      </c>
      <c r="F316" s="109" t="s">
        <v>1337</v>
      </c>
      <c r="G316" s="111" t="s">
        <v>1232</v>
      </c>
    </row>
    <row r="317" customFormat="false" ht="23.85" hidden="false" customHeight="false" outlineLevel="0" collapsed="false">
      <c r="A317" s="109" t="s">
        <v>85</v>
      </c>
      <c r="B317" s="109" t="s">
        <v>88</v>
      </c>
      <c r="C317" s="109" t="s">
        <v>275</v>
      </c>
      <c r="D317" s="109" t="s">
        <v>55</v>
      </c>
      <c r="E317" s="112" t="s">
        <v>16</v>
      </c>
      <c r="F317" s="109" t="s">
        <v>1338</v>
      </c>
      <c r="G317" s="111" t="s">
        <v>1234</v>
      </c>
    </row>
    <row r="318" customFormat="false" ht="23.85" hidden="false" customHeight="false" outlineLevel="0" collapsed="false">
      <c r="A318" s="109" t="s">
        <v>85</v>
      </c>
      <c r="B318" s="109" t="s">
        <v>88</v>
      </c>
      <c r="C318" s="109" t="s">
        <v>275</v>
      </c>
      <c r="D318" s="109" t="s">
        <v>59</v>
      </c>
      <c r="E318" s="112" t="s">
        <v>16</v>
      </c>
      <c r="F318" s="109" t="s">
        <v>1339</v>
      </c>
      <c r="G318" s="111" t="s">
        <v>1266</v>
      </c>
    </row>
    <row r="319" customFormat="false" ht="15" hidden="false" customHeight="false" outlineLevel="0" collapsed="false">
      <c r="A319" s="109" t="s">
        <v>85</v>
      </c>
      <c r="B319" s="109" t="s">
        <v>88</v>
      </c>
      <c r="C319" s="109" t="s">
        <v>275</v>
      </c>
      <c r="D319" s="109" t="s">
        <v>63</v>
      </c>
      <c r="E319" s="112" t="s">
        <v>16</v>
      </c>
      <c r="F319" s="109" t="s">
        <v>1340</v>
      </c>
      <c r="G319" s="111" t="s">
        <v>1341</v>
      </c>
    </row>
    <row r="320" customFormat="false" ht="23.85" hidden="false" customHeight="false" outlineLevel="0" collapsed="false">
      <c r="A320" s="109" t="s">
        <v>85</v>
      </c>
      <c r="B320" s="109" t="s">
        <v>88</v>
      </c>
      <c r="C320" s="109" t="s">
        <v>275</v>
      </c>
      <c r="D320" s="109" t="s">
        <v>67</v>
      </c>
      <c r="E320" s="112" t="s">
        <v>16</v>
      </c>
      <c r="F320" s="109" t="s">
        <v>1342</v>
      </c>
      <c r="G320" s="111" t="s">
        <v>1239</v>
      </c>
    </row>
    <row r="321" customFormat="false" ht="15" hidden="false" customHeight="false" outlineLevel="0" collapsed="false">
      <c r="A321" s="109" t="s">
        <v>85</v>
      </c>
      <c r="B321" s="109" t="s">
        <v>88</v>
      </c>
      <c r="C321" s="109" t="s">
        <v>275</v>
      </c>
      <c r="D321" s="109" t="s">
        <v>71</v>
      </c>
      <c r="E321" s="112" t="s">
        <v>16</v>
      </c>
      <c r="F321" s="109" t="s">
        <v>1343</v>
      </c>
      <c r="G321" s="111" t="s">
        <v>1344</v>
      </c>
    </row>
    <row r="322" customFormat="false" ht="23.85" hidden="false" customHeight="false" outlineLevel="0" collapsed="false">
      <c r="A322" s="109" t="s">
        <v>85</v>
      </c>
      <c r="B322" s="109" t="s">
        <v>88</v>
      </c>
      <c r="C322" s="109" t="s">
        <v>277</v>
      </c>
      <c r="D322" s="109" t="s">
        <v>35</v>
      </c>
      <c r="E322" s="112" t="s">
        <v>16</v>
      </c>
      <c r="F322" s="109" t="s">
        <v>1345</v>
      </c>
      <c r="G322" s="111" t="s">
        <v>1179</v>
      </c>
    </row>
    <row r="323" customFormat="false" ht="15" hidden="false" customHeight="false" outlineLevel="0" collapsed="false">
      <c r="A323" s="109" t="s">
        <v>85</v>
      </c>
      <c r="B323" s="109" t="s">
        <v>88</v>
      </c>
      <c r="C323" s="109" t="s">
        <v>277</v>
      </c>
      <c r="D323" s="109" t="s">
        <v>39</v>
      </c>
      <c r="E323" s="114" t="s">
        <v>22</v>
      </c>
      <c r="F323" s="109" t="s">
        <v>1346</v>
      </c>
      <c r="G323" s="111" t="s">
        <v>1347</v>
      </c>
    </row>
    <row r="324" customFormat="false" ht="23.85" hidden="false" customHeight="false" outlineLevel="0" collapsed="false">
      <c r="A324" s="109" t="s">
        <v>85</v>
      </c>
      <c r="B324" s="109" t="s">
        <v>88</v>
      </c>
      <c r="C324" s="109" t="s">
        <v>277</v>
      </c>
      <c r="D324" s="109" t="s">
        <v>43</v>
      </c>
      <c r="E324" s="112" t="s">
        <v>16</v>
      </c>
      <c r="F324" s="109" t="s">
        <v>1348</v>
      </c>
      <c r="G324" s="111" t="s">
        <v>1228</v>
      </c>
    </row>
    <row r="325" customFormat="false" ht="23.85" hidden="false" customHeight="false" outlineLevel="0" collapsed="false">
      <c r="A325" s="109" t="s">
        <v>85</v>
      </c>
      <c r="B325" s="109" t="s">
        <v>88</v>
      </c>
      <c r="C325" s="109" t="s">
        <v>277</v>
      </c>
      <c r="D325" s="109" t="s">
        <v>47</v>
      </c>
      <c r="E325" s="112" t="s">
        <v>16</v>
      </c>
      <c r="F325" s="109" t="s">
        <v>1349</v>
      </c>
      <c r="G325" s="111" t="s">
        <v>1213</v>
      </c>
    </row>
    <row r="326" customFormat="false" ht="15" hidden="false" customHeight="false" outlineLevel="0" collapsed="false">
      <c r="A326" s="109" t="s">
        <v>85</v>
      </c>
      <c r="B326" s="109" t="s">
        <v>88</v>
      </c>
      <c r="C326" s="109" t="s">
        <v>277</v>
      </c>
      <c r="D326" s="109" t="s">
        <v>51</v>
      </c>
      <c r="E326" s="112" t="s">
        <v>16</v>
      </c>
      <c r="F326" s="109" t="s">
        <v>1350</v>
      </c>
      <c r="G326" s="111" t="s">
        <v>1351</v>
      </c>
    </row>
    <row r="327" customFormat="false" ht="23.85" hidden="false" customHeight="false" outlineLevel="0" collapsed="false">
      <c r="A327" s="109" t="s">
        <v>85</v>
      </c>
      <c r="B327" s="109" t="s">
        <v>88</v>
      </c>
      <c r="C327" s="109" t="s">
        <v>277</v>
      </c>
      <c r="D327" s="109" t="s">
        <v>55</v>
      </c>
      <c r="E327" s="112" t="s">
        <v>16</v>
      </c>
      <c r="F327" s="109" t="s">
        <v>1352</v>
      </c>
      <c r="G327" s="111" t="s">
        <v>1313</v>
      </c>
    </row>
    <row r="328" customFormat="false" ht="23.85" hidden="false" customHeight="false" outlineLevel="0" collapsed="false">
      <c r="A328" s="109" t="s">
        <v>85</v>
      </c>
      <c r="B328" s="109" t="s">
        <v>88</v>
      </c>
      <c r="C328" s="109" t="s">
        <v>277</v>
      </c>
      <c r="D328" s="109" t="s">
        <v>59</v>
      </c>
      <c r="E328" s="110" t="s">
        <v>18</v>
      </c>
      <c r="F328" s="109" t="s">
        <v>1353</v>
      </c>
      <c r="G328" s="111" t="s">
        <v>1172</v>
      </c>
    </row>
    <row r="329" customFormat="false" ht="15" hidden="false" customHeight="false" outlineLevel="0" collapsed="false">
      <c r="A329" s="109" t="s">
        <v>85</v>
      </c>
      <c r="B329" s="109" t="s">
        <v>88</v>
      </c>
      <c r="C329" s="109" t="s">
        <v>277</v>
      </c>
      <c r="D329" s="109" t="s">
        <v>63</v>
      </c>
      <c r="E329" s="112" t="s">
        <v>16</v>
      </c>
      <c r="F329" s="109" t="s">
        <v>1354</v>
      </c>
      <c r="G329" s="111" t="s">
        <v>1237</v>
      </c>
    </row>
    <row r="330" customFormat="false" ht="15" hidden="false" customHeight="false" outlineLevel="0" collapsed="false">
      <c r="A330" s="109" t="s">
        <v>85</v>
      </c>
      <c r="B330" s="109" t="s">
        <v>88</v>
      </c>
      <c r="C330" s="109" t="s">
        <v>277</v>
      </c>
      <c r="D330" s="109" t="s">
        <v>67</v>
      </c>
      <c r="E330" s="112" t="s">
        <v>16</v>
      </c>
      <c r="F330" s="109" t="s">
        <v>1355</v>
      </c>
      <c r="G330" s="111" t="s">
        <v>1239</v>
      </c>
    </row>
    <row r="331" customFormat="false" ht="15" hidden="false" customHeight="false" outlineLevel="0" collapsed="false">
      <c r="A331" s="109" t="s">
        <v>85</v>
      </c>
      <c r="B331" s="109" t="s">
        <v>88</v>
      </c>
      <c r="C331" s="109" t="s">
        <v>277</v>
      </c>
      <c r="D331" s="109" t="s">
        <v>71</v>
      </c>
      <c r="E331" s="112" t="s">
        <v>16</v>
      </c>
      <c r="F331" s="109" t="s">
        <v>1356</v>
      </c>
      <c r="G331" s="111" t="s">
        <v>1272</v>
      </c>
    </row>
    <row r="332" customFormat="false" ht="15" hidden="false" customHeight="false" outlineLevel="0" collapsed="false">
      <c r="A332" s="109" t="s">
        <v>85</v>
      </c>
      <c r="B332" s="109" t="s">
        <v>88</v>
      </c>
      <c r="C332" s="109" t="s">
        <v>279</v>
      </c>
      <c r="D332" s="109" t="s">
        <v>35</v>
      </c>
      <c r="E332" s="115" t="s">
        <v>20</v>
      </c>
      <c r="F332" s="109" t="s">
        <v>1357</v>
      </c>
      <c r="G332" s="111" t="s">
        <v>1358</v>
      </c>
    </row>
    <row r="333" customFormat="false" ht="15" hidden="false" customHeight="false" outlineLevel="0" collapsed="false">
      <c r="A333" s="109" t="s">
        <v>85</v>
      </c>
      <c r="B333" s="109" t="s">
        <v>88</v>
      </c>
      <c r="C333" s="109" t="s">
        <v>279</v>
      </c>
      <c r="D333" s="109" t="s">
        <v>39</v>
      </c>
      <c r="E333" s="115" t="s">
        <v>20</v>
      </c>
      <c r="F333" s="109" t="s">
        <v>1359</v>
      </c>
      <c r="G333" s="111" t="s">
        <v>1360</v>
      </c>
    </row>
    <row r="334" customFormat="false" ht="15" hidden="false" customHeight="false" outlineLevel="0" collapsed="false">
      <c r="A334" s="109" t="s">
        <v>85</v>
      </c>
      <c r="B334" s="109" t="s">
        <v>88</v>
      </c>
      <c r="C334" s="109" t="s">
        <v>279</v>
      </c>
      <c r="D334" s="109" t="s">
        <v>43</v>
      </c>
      <c r="E334" s="115" t="s">
        <v>20</v>
      </c>
      <c r="F334" s="109" t="s">
        <v>1361</v>
      </c>
      <c r="G334" s="111" t="s">
        <v>1362</v>
      </c>
    </row>
    <row r="335" customFormat="false" ht="23.85" hidden="false" customHeight="false" outlineLevel="0" collapsed="false">
      <c r="A335" s="109" t="s">
        <v>85</v>
      </c>
      <c r="B335" s="109" t="s">
        <v>88</v>
      </c>
      <c r="C335" s="109" t="s">
        <v>279</v>
      </c>
      <c r="D335" s="109" t="s">
        <v>47</v>
      </c>
      <c r="E335" s="115" t="s">
        <v>20</v>
      </c>
      <c r="F335" s="109" t="s">
        <v>1363</v>
      </c>
      <c r="G335" s="111" t="s">
        <v>1364</v>
      </c>
    </row>
    <row r="336" customFormat="false" ht="15" hidden="false" customHeight="false" outlineLevel="0" collapsed="false">
      <c r="A336" s="109" t="s">
        <v>85</v>
      </c>
      <c r="B336" s="109" t="s">
        <v>88</v>
      </c>
      <c r="C336" s="109" t="s">
        <v>279</v>
      </c>
      <c r="D336" s="109" t="s">
        <v>51</v>
      </c>
      <c r="E336" s="115" t="s">
        <v>20</v>
      </c>
      <c r="F336" s="109" t="s">
        <v>1365</v>
      </c>
      <c r="G336" s="111" t="s">
        <v>1366</v>
      </c>
    </row>
    <row r="337" customFormat="false" ht="23.85" hidden="false" customHeight="false" outlineLevel="0" collapsed="false">
      <c r="A337" s="109" t="s">
        <v>85</v>
      </c>
      <c r="B337" s="109" t="s">
        <v>88</v>
      </c>
      <c r="C337" s="109" t="s">
        <v>279</v>
      </c>
      <c r="D337" s="109" t="s">
        <v>55</v>
      </c>
      <c r="E337" s="114" t="s">
        <v>22</v>
      </c>
      <c r="F337" s="109" t="s">
        <v>1367</v>
      </c>
      <c r="G337" s="111" t="s">
        <v>1368</v>
      </c>
    </row>
    <row r="338" customFormat="false" ht="15" hidden="false" customHeight="false" outlineLevel="0" collapsed="false">
      <c r="A338" s="109" t="s">
        <v>85</v>
      </c>
      <c r="B338" s="109" t="s">
        <v>88</v>
      </c>
      <c r="C338" s="109" t="s">
        <v>279</v>
      </c>
      <c r="D338" s="109" t="s">
        <v>59</v>
      </c>
      <c r="E338" s="113" t="s">
        <v>24</v>
      </c>
      <c r="F338" s="109" t="s">
        <v>1369</v>
      </c>
      <c r="G338" s="109"/>
    </row>
    <row r="339" customFormat="false" ht="15" hidden="false" customHeight="false" outlineLevel="0" collapsed="false">
      <c r="A339" s="109" t="s">
        <v>85</v>
      </c>
      <c r="B339" s="109" t="s">
        <v>88</v>
      </c>
      <c r="C339" s="109" t="s">
        <v>279</v>
      </c>
      <c r="D339" s="109" t="s">
        <v>63</v>
      </c>
      <c r="E339" s="113" t="s">
        <v>24</v>
      </c>
      <c r="F339" s="109" t="s">
        <v>1370</v>
      </c>
      <c r="G339" s="109"/>
    </row>
    <row r="340" customFormat="false" ht="23.85" hidden="false" customHeight="false" outlineLevel="0" collapsed="false">
      <c r="A340" s="109" t="s">
        <v>85</v>
      </c>
      <c r="B340" s="109" t="s">
        <v>88</v>
      </c>
      <c r="C340" s="109" t="s">
        <v>279</v>
      </c>
      <c r="D340" s="109" t="s">
        <v>67</v>
      </c>
      <c r="E340" s="114" t="s">
        <v>22</v>
      </c>
      <c r="F340" s="109" t="s">
        <v>1371</v>
      </c>
      <c r="G340" s="111" t="s">
        <v>1239</v>
      </c>
    </row>
    <row r="341" customFormat="false" ht="15" hidden="false" customHeight="false" outlineLevel="0" collapsed="false">
      <c r="A341" s="109" t="s">
        <v>85</v>
      </c>
      <c r="B341" s="109" t="s">
        <v>88</v>
      </c>
      <c r="C341" s="109" t="s">
        <v>279</v>
      </c>
      <c r="D341" s="109" t="s">
        <v>71</v>
      </c>
      <c r="E341" s="113" t="s">
        <v>24</v>
      </c>
      <c r="F341" s="109" t="s">
        <v>1372</v>
      </c>
      <c r="G341" s="109"/>
    </row>
    <row r="342" customFormat="false" ht="15" hidden="false" customHeight="false" outlineLevel="0" collapsed="false">
      <c r="A342" s="109" t="s">
        <v>85</v>
      </c>
      <c r="B342" s="109" t="s">
        <v>89</v>
      </c>
      <c r="C342" s="109" t="s">
        <v>304</v>
      </c>
      <c r="D342" s="109" t="s">
        <v>35</v>
      </c>
      <c r="E342" s="112" t="s">
        <v>16</v>
      </c>
      <c r="F342" s="109" t="s">
        <v>1373</v>
      </c>
      <c r="G342" s="111" t="s">
        <v>1374</v>
      </c>
    </row>
    <row r="343" customFormat="false" ht="15" hidden="false" customHeight="false" outlineLevel="0" collapsed="false">
      <c r="A343" s="109" t="s">
        <v>85</v>
      </c>
      <c r="B343" s="109" t="s">
        <v>89</v>
      </c>
      <c r="C343" s="109" t="s">
        <v>304</v>
      </c>
      <c r="D343" s="109" t="s">
        <v>39</v>
      </c>
      <c r="E343" s="112" t="s">
        <v>16</v>
      </c>
      <c r="F343" s="109" t="s">
        <v>1375</v>
      </c>
      <c r="G343" s="111" t="s">
        <v>1376</v>
      </c>
    </row>
    <row r="344" customFormat="false" ht="23.85" hidden="false" customHeight="false" outlineLevel="0" collapsed="false">
      <c r="A344" s="109" t="s">
        <v>85</v>
      </c>
      <c r="B344" s="109" t="s">
        <v>89</v>
      </c>
      <c r="C344" s="109" t="s">
        <v>304</v>
      </c>
      <c r="D344" s="109" t="s">
        <v>43</v>
      </c>
      <c r="E344" s="112" t="s">
        <v>16</v>
      </c>
      <c r="F344" s="109" t="s">
        <v>1377</v>
      </c>
      <c r="G344" s="111" t="s">
        <v>1003</v>
      </c>
    </row>
    <row r="345" customFormat="false" ht="15" hidden="false" customHeight="false" outlineLevel="0" collapsed="false">
      <c r="A345" s="109" t="s">
        <v>85</v>
      </c>
      <c r="B345" s="109" t="s">
        <v>89</v>
      </c>
      <c r="C345" s="109" t="s">
        <v>304</v>
      </c>
      <c r="D345" s="109" t="s">
        <v>47</v>
      </c>
      <c r="E345" s="112" t="s">
        <v>16</v>
      </c>
      <c r="F345" s="109" t="s">
        <v>1378</v>
      </c>
      <c r="G345" s="111" t="s">
        <v>1379</v>
      </c>
    </row>
    <row r="346" customFormat="false" ht="23.85" hidden="false" customHeight="false" outlineLevel="0" collapsed="false">
      <c r="A346" s="109" t="s">
        <v>85</v>
      </c>
      <c r="B346" s="109" t="s">
        <v>89</v>
      </c>
      <c r="C346" s="109" t="s">
        <v>304</v>
      </c>
      <c r="D346" s="109" t="s">
        <v>51</v>
      </c>
      <c r="E346" s="112" t="s">
        <v>16</v>
      </c>
      <c r="F346" s="109" t="s">
        <v>1380</v>
      </c>
      <c r="G346" s="111" t="s">
        <v>838</v>
      </c>
    </row>
    <row r="347" customFormat="false" ht="23.85" hidden="false" customHeight="false" outlineLevel="0" collapsed="false">
      <c r="A347" s="109" t="s">
        <v>85</v>
      </c>
      <c r="B347" s="109" t="s">
        <v>89</v>
      </c>
      <c r="C347" s="109" t="s">
        <v>304</v>
      </c>
      <c r="D347" s="109" t="s">
        <v>55</v>
      </c>
      <c r="E347" s="112" t="s">
        <v>16</v>
      </c>
      <c r="F347" s="109" t="s">
        <v>1381</v>
      </c>
      <c r="G347" s="111" t="s">
        <v>859</v>
      </c>
    </row>
    <row r="348" customFormat="false" ht="15" hidden="false" customHeight="false" outlineLevel="0" collapsed="false">
      <c r="A348" s="109" t="s">
        <v>85</v>
      </c>
      <c r="B348" s="109" t="s">
        <v>89</v>
      </c>
      <c r="C348" s="109" t="s">
        <v>304</v>
      </c>
      <c r="D348" s="109" t="s">
        <v>59</v>
      </c>
      <c r="E348" s="112" t="s">
        <v>16</v>
      </c>
      <c r="F348" s="109" t="s">
        <v>1382</v>
      </c>
      <c r="G348" s="111" t="s">
        <v>945</v>
      </c>
    </row>
    <row r="349" customFormat="false" ht="15" hidden="false" customHeight="false" outlineLevel="0" collapsed="false">
      <c r="A349" s="109" t="s">
        <v>85</v>
      </c>
      <c r="B349" s="109" t="s">
        <v>89</v>
      </c>
      <c r="C349" s="109" t="s">
        <v>304</v>
      </c>
      <c r="D349" s="109" t="s">
        <v>63</v>
      </c>
      <c r="E349" s="112" t="s">
        <v>16</v>
      </c>
      <c r="F349" s="109" t="s">
        <v>1383</v>
      </c>
      <c r="G349" s="111" t="s">
        <v>1384</v>
      </c>
    </row>
    <row r="350" customFormat="false" ht="15" hidden="false" customHeight="false" outlineLevel="0" collapsed="false">
      <c r="A350" s="109" t="s">
        <v>85</v>
      </c>
      <c r="B350" s="109" t="s">
        <v>89</v>
      </c>
      <c r="C350" s="109" t="s">
        <v>304</v>
      </c>
      <c r="D350" s="109" t="s">
        <v>67</v>
      </c>
      <c r="E350" s="112" t="s">
        <v>16</v>
      </c>
      <c r="F350" s="109" t="s">
        <v>1385</v>
      </c>
      <c r="G350" s="111" t="s">
        <v>1176</v>
      </c>
    </row>
    <row r="351" customFormat="false" ht="15" hidden="false" customHeight="false" outlineLevel="0" collapsed="false">
      <c r="A351" s="109" t="s">
        <v>85</v>
      </c>
      <c r="B351" s="109" t="s">
        <v>89</v>
      </c>
      <c r="C351" s="109" t="s">
        <v>304</v>
      </c>
      <c r="D351" s="109" t="s">
        <v>71</v>
      </c>
      <c r="E351" s="112" t="s">
        <v>16</v>
      </c>
      <c r="F351" s="109" t="s">
        <v>1386</v>
      </c>
      <c r="G351" s="111" t="s">
        <v>1222</v>
      </c>
    </row>
    <row r="352" customFormat="false" ht="23.85" hidden="false" customHeight="false" outlineLevel="0" collapsed="false">
      <c r="A352" s="109" t="s">
        <v>85</v>
      </c>
      <c r="B352" s="109" t="s">
        <v>89</v>
      </c>
      <c r="C352" s="109" t="s">
        <v>306</v>
      </c>
      <c r="D352" s="109" t="s">
        <v>35</v>
      </c>
      <c r="E352" s="112" t="s">
        <v>16</v>
      </c>
      <c r="F352" s="109" t="s">
        <v>1387</v>
      </c>
      <c r="G352" s="111" t="s">
        <v>1209</v>
      </c>
    </row>
    <row r="353" customFormat="false" ht="15" hidden="false" customHeight="false" outlineLevel="0" collapsed="false">
      <c r="A353" s="109" t="s">
        <v>85</v>
      </c>
      <c r="B353" s="109" t="s">
        <v>89</v>
      </c>
      <c r="C353" s="109" t="s">
        <v>306</v>
      </c>
      <c r="D353" s="109" t="s">
        <v>39</v>
      </c>
      <c r="E353" s="112" t="s">
        <v>16</v>
      </c>
      <c r="F353" s="109" t="s">
        <v>1388</v>
      </c>
      <c r="G353" s="111" t="s">
        <v>1389</v>
      </c>
    </row>
    <row r="354" customFormat="false" ht="23.85" hidden="false" customHeight="false" outlineLevel="0" collapsed="false">
      <c r="A354" s="109" t="s">
        <v>85</v>
      </c>
      <c r="B354" s="109" t="s">
        <v>89</v>
      </c>
      <c r="C354" s="109" t="s">
        <v>306</v>
      </c>
      <c r="D354" s="109" t="s">
        <v>43</v>
      </c>
      <c r="E354" s="112" t="s">
        <v>16</v>
      </c>
      <c r="F354" s="109" t="s">
        <v>1390</v>
      </c>
      <c r="G354" s="111" t="s">
        <v>1003</v>
      </c>
    </row>
    <row r="355" customFormat="false" ht="23.85" hidden="false" customHeight="false" outlineLevel="0" collapsed="false">
      <c r="A355" s="109" t="s">
        <v>85</v>
      </c>
      <c r="B355" s="109" t="s">
        <v>89</v>
      </c>
      <c r="C355" s="109" t="s">
        <v>306</v>
      </c>
      <c r="D355" s="109" t="s">
        <v>47</v>
      </c>
      <c r="E355" s="115" t="s">
        <v>20</v>
      </c>
      <c r="F355" s="109" t="s">
        <v>1391</v>
      </c>
      <c r="G355" s="111" t="s">
        <v>1392</v>
      </c>
    </row>
    <row r="356" customFormat="false" ht="15" hidden="false" customHeight="false" outlineLevel="0" collapsed="false">
      <c r="A356" s="109" t="s">
        <v>85</v>
      </c>
      <c r="B356" s="109" t="s">
        <v>89</v>
      </c>
      <c r="C356" s="109" t="s">
        <v>306</v>
      </c>
      <c r="D356" s="109" t="s">
        <v>51</v>
      </c>
      <c r="E356" s="110" t="s">
        <v>18</v>
      </c>
      <c r="F356" s="109" t="s">
        <v>1393</v>
      </c>
      <c r="G356" s="111" t="s">
        <v>1215</v>
      </c>
    </row>
    <row r="357" customFormat="false" ht="23.85" hidden="false" customHeight="false" outlineLevel="0" collapsed="false">
      <c r="A357" s="109" t="s">
        <v>85</v>
      </c>
      <c r="B357" s="109" t="s">
        <v>89</v>
      </c>
      <c r="C357" s="109" t="s">
        <v>306</v>
      </c>
      <c r="D357" s="109" t="s">
        <v>55</v>
      </c>
      <c r="E357" s="114" t="s">
        <v>22</v>
      </c>
      <c r="F357" s="109" t="s">
        <v>1394</v>
      </c>
      <c r="G357" s="111" t="s">
        <v>1395</v>
      </c>
    </row>
    <row r="358" customFormat="false" ht="23.85" hidden="false" customHeight="false" outlineLevel="0" collapsed="false">
      <c r="A358" s="109" t="s">
        <v>85</v>
      </c>
      <c r="B358" s="109" t="s">
        <v>89</v>
      </c>
      <c r="C358" s="109" t="s">
        <v>306</v>
      </c>
      <c r="D358" s="109" t="s">
        <v>59</v>
      </c>
      <c r="E358" s="110" t="s">
        <v>18</v>
      </c>
      <c r="F358" s="109" t="s">
        <v>1396</v>
      </c>
      <c r="G358" s="111" t="s">
        <v>1397</v>
      </c>
    </row>
    <row r="359" customFormat="false" ht="15" hidden="false" customHeight="false" outlineLevel="0" collapsed="false">
      <c r="A359" s="109" t="s">
        <v>85</v>
      </c>
      <c r="B359" s="109" t="s">
        <v>89</v>
      </c>
      <c r="C359" s="109" t="s">
        <v>306</v>
      </c>
      <c r="D359" s="109" t="s">
        <v>63</v>
      </c>
      <c r="E359" s="112" t="s">
        <v>16</v>
      </c>
      <c r="F359" s="109" t="s">
        <v>1398</v>
      </c>
      <c r="G359" s="111" t="s">
        <v>1399</v>
      </c>
    </row>
    <row r="360" customFormat="false" ht="23.85" hidden="false" customHeight="false" outlineLevel="0" collapsed="false">
      <c r="A360" s="109" t="s">
        <v>85</v>
      </c>
      <c r="B360" s="109" t="s">
        <v>89</v>
      </c>
      <c r="C360" s="109" t="s">
        <v>306</v>
      </c>
      <c r="D360" s="109" t="s">
        <v>67</v>
      </c>
      <c r="E360" s="112" t="s">
        <v>16</v>
      </c>
      <c r="F360" s="109" t="s">
        <v>1400</v>
      </c>
      <c r="G360" s="111" t="s">
        <v>1176</v>
      </c>
    </row>
    <row r="361" customFormat="false" ht="15" hidden="false" customHeight="false" outlineLevel="0" collapsed="false">
      <c r="A361" s="109" t="s">
        <v>85</v>
      </c>
      <c r="B361" s="109" t="s">
        <v>89</v>
      </c>
      <c r="C361" s="109" t="s">
        <v>306</v>
      </c>
      <c r="D361" s="109" t="s">
        <v>71</v>
      </c>
      <c r="E361" s="113" t="s">
        <v>24</v>
      </c>
      <c r="F361" s="109" t="s">
        <v>1401</v>
      </c>
      <c r="G361" s="111" t="s">
        <v>1402</v>
      </c>
    </row>
    <row r="362" customFormat="false" ht="23.85" hidden="false" customHeight="false" outlineLevel="0" collapsed="false">
      <c r="A362" s="109" t="s">
        <v>85</v>
      </c>
      <c r="B362" s="109" t="s">
        <v>89</v>
      </c>
      <c r="C362" s="109" t="s">
        <v>308</v>
      </c>
      <c r="D362" s="109" t="s">
        <v>35</v>
      </c>
      <c r="E362" s="112" t="s">
        <v>16</v>
      </c>
      <c r="F362" s="109" t="s">
        <v>1403</v>
      </c>
      <c r="G362" s="111" t="s">
        <v>1082</v>
      </c>
    </row>
    <row r="363" customFormat="false" ht="15" hidden="false" customHeight="false" outlineLevel="0" collapsed="false">
      <c r="A363" s="109" t="s">
        <v>85</v>
      </c>
      <c r="B363" s="109" t="s">
        <v>89</v>
      </c>
      <c r="C363" s="109" t="s">
        <v>308</v>
      </c>
      <c r="D363" s="109" t="s">
        <v>39</v>
      </c>
      <c r="E363" s="115" t="s">
        <v>20</v>
      </c>
      <c r="F363" s="109" t="s">
        <v>1404</v>
      </c>
      <c r="G363" s="111" t="s">
        <v>1405</v>
      </c>
    </row>
    <row r="364" customFormat="false" ht="23.85" hidden="false" customHeight="false" outlineLevel="0" collapsed="false">
      <c r="A364" s="109" t="s">
        <v>85</v>
      </c>
      <c r="B364" s="109" t="s">
        <v>89</v>
      </c>
      <c r="C364" s="109" t="s">
        <v>308</v>
      </c>
      <c r="D364" s="109" t="s">
        <v>43</v>
      </c>
      <c r="E364" s="114" t="s">
        <v>22</v>
      </c>
      <c r="F364" s="109" t="s">
        <v>1406</v>
      </c>
      <c r="G364" s="111" t="s">
        <v>1003</v>
      </c>
    </row>
    <row r="365" customFormat="false" ht="23.85" hidden="false" customHeight="false" outlineLevel="0" collapsed="false">
      <c r="A365" s="109" t="s">
        <v>85</v>
      </c>
      <c r="B365" s="109" t="s">
        <v>89</v>
      </c>
      <c r="C365" s="109" t="s">
        <v>308</v>
      </c>
      <c r="D365" s="109" t="s">
        <v>47</v>
      </c>
      <c r="E365" s="114" t="s">
        <v>22</v>
      </c>
      <c r="F365" s="109" t="s">
        <v>1407</v>
      </c>
      <c r="G365" s="111" t="s">
        <v>1166</v>
      </c>
    </row>
    <row r="366" customFormat="false" ht="15" hidden="false" customHeight="false" outlineLevel="0" collapsed="false">
      <c r="A366" s="109" t="s">
        <v>85</v>
      </c>
      <c r="B366" s="109" t="s">
        <v>89</v>
      </c>
      <c r="C366" s="109" t="s">
        <v>308</v>
      </c>
      <c r="D366" s="109" t="s">
        <v>51</v>
      </c>
      <c r="E366" s="113" t="s">
        <v>24</v>
      </c>
      <c r="F366" s="109" t="s">
        <v>1408</v>
      </c>
      <c r="G366" s="111" t="s">
        <v>1215</v>
      </c>
    </row>
    <row r="367" customFormat="false" ht="15" hidden="false" customHeight="false" outlineLevel="0" collapsed="false">
      <c r="A367" s="109" t="s">
        <v>85</v>
      </c>
      <c r="B367" s="109" t="s">
        <v>89</v>
      </c>
      <c r="C367" s="109" t="s">
        <v>308</v>
      </c>
      <c r="D367" s="109" t="s">
        <v>55</v>
      </c>
      <c r="E367" s="113" t="s">
        <v>24</v>
      </c>
      <c r="F367" s="109" t="s">
        <v>1409</v>
      </c>
      <c r="G367" s="109"/>
    </row>
    <row r="368" customFormat="false" ht="23.85" hidden="false" customHeight="false" outlineLevel="0" collapsed="false">
      <c r="A368" s="109" t="s">
        <v>85</v>
      </c>
      <c r="B368" s="109" t="s">
        <v>89</v>
      </c>
      <c r="C368" s="109" t="s">
        <v>308</v>
      </c>
      <c r="D368" s="109" t="s">
        <v>59</v>
      </c>
      <c r="E368" s="110" t="s">
        <v>18</v>
      </c>
      <c r="F368" s="109" t="s">
        <v>1410</v>
      </c>
      <c r="G368" s="111" t="s">
        <v>1397</v>
      </c>
    </row>
    <row r="369" customFormat="false" ht="15" hidden="false" customHeight="false" outlineLevel="0" collapsed="false">
      <c r="A369" s="109" t="s">
        <v>85</v>
      </c>
      <c r="B369" s="109" t="s">
        <v>89</v>
      </c>
      <c r="C369" s="109" t="s">
        <v>308</v>
      </c>
      <c r="D369" s="109" t="s">
        <v>63</v>
      </c>
      <c r="E369" s="112" t="s">
        <v>16</v>
      </c>
      <c r="F369" s="109" t="s">
        <v>1411</v>
      </c>
      <c r="G369" s="111" t="s">
        <v>1399</v>
      </c>
    </row>
    <row r="370" customFormat="false" ht="23.85" hidden="false" customHeight="false" outlineLevel="0" collapsed="false">
      <c r="A370" s="109" t="s">
        <v>85</v>
      </c>
      <c r="B370" s="109" t="s">
        <v>89</v>
      </c>
      <c r="C370" s="109" t="s">
        <v>308</v>
      </c>
      <c r="D370" s="109" t="s">
        <v>67</v>
      </c>
      <c r="E370" s="112" t="s">
        <v>16</v>
      </c>
      <c r="F370" s="109" t="s">
        <v>1412</v>
      </c>
      <c r="G370" s="111" t="s">
        <v>1176</v>
      </c>
    </row>
    <row r="371" customFormat="false" ht="15" hidden="false" customHeight="false" outlineLevel="0" collapsed="false">
      <c r="A371" s="109" t="s">
        <v>85</v>
      </c>
      <c r="B371" s="109" t="s">
        <v>89</v>
      </c>
      <c r="C371" s="109" t="s">
        <v>308</v>
      </c>
      <c r="D371" s="109" t="s">
        <v>71</v>
      </c>
      <c r="E371" s="113" t="s">
        <v>24</v>
      </c>
      <c r="F371" s="109" t="s">
        <v>1413</v>
      </c>
      <c r="G371" s="109"/>
    </row>
    <row r="372" customFormat="false" ht="15" hidden="false" customHeight="false" outlineLevel="0" collapsed="false">
      <c r="A372" s="109" t="s">
        <v>85</v>
      </c>
      <c r="B372" s="109" t="s">
        <v>89</v>
      </c>
      <c r="C372" s="109" t="s">
        <v>310</v>
      </c>
      <c r="D372" s="109" t="s">
        <v>35</v>
      </c>
      <c r="E372" s="112" t="s">
        <v>16</v>
      </c>
      <c r="F372" s="109" t="s">
        <v>1414</v>
      </c>
      <c r="G372" s="111" t="s">
        <v>1209</v>
      </c>
    </row>
    <row r="373" customFormat="false" ht="15" hidden="false" customHeight="false" outlineLevel="0" collapsed="false">
      <c r="A373" s="109" t="s">
        <v>85</v>
      </c>
      <c r="B373" s="109" t="s">
        <v>89</v>
      </c>
      <c r="C373" s="109" t="s">
        <v>310</v>
      </c>
      <c r="D373" s="109" t="s">
        <v>39</v>
      </c>
      <c r="E373" s="112" t="s">
        <v>16</v>
      </c>
      <c r="F373" s="109" t="s">
        <v>1415</v>
      </c>
      <c r="G373" s="111" t="s">
        <v>1389</v>
      </c>
    </row>
    <row r="374" customFormat="false" ht="23.85" hidden="false" customHeight="false" outlineLevel="0" collapsed="false">
      <c r="A374" s="109" t="s">
        <v>85</v>
      </c>
      <c r="B374" s="109" t="s">
        <v>89</v>
      </c>
      <c r="C374" s="109" t="s">
        <v>310</v>
      </c>
      <c r="D374" s="109" t="s">
        <v>43</v>
      </c>
      <c r="E374" s="112" t="s">
        <v>16</v>
      </c>
      <c r="F374" s="109" t="s">
        <v>1416</v>
      </c>
      <c r="G374" s="111" t="s">
        <v>1003</v>
      </c>
    </row>
    <row r="375" customFormat="false" ht="23.85" hidden="false" customHeight="false" outlineLevel="0" collapsed="false">
      <c r="A375" s="109" t="s">
        <v>85</v>
      </c>
      <c r="B375" s="109" t="s">
        <v>89</v>
      </c>
      <c r="C375" s="109" t="s">
        <v>310</v>
      </c>
      <c r="D375" s="109" t="s">
        <v>47</v>
      </c>
      <c r="E375" s="115" t="s">
        <v>20</v>
      </c>
      <c r="F375" s="109" t="s">
        <v>1417</v>
      </c>
      <c r="G375" s="111" t="s">
        <v>1392</v>
      </c>
    </row>
    <row r="376" customFormat="false" ht="15" hidden="false" customHeight="false" outlineLevel="0" collapsed="false">
      <c r="A376" s="109" t="s">
        <v>85</v>
      </c>
      <c r="B376" s="109" t="s">
        <v>89</v>
      </c>
      <c r="C376" s="109" t="s">
        <v>310</v>
      </c>
      <c r="D376" s="109" t="s">
        <v>51</v>
      </c>
      <c r="E376" s="110" t="s">
        <v>18</v>
      </c>
      <c r="F376" s="109" t="s">
        <v>1418</v>
      </c>
      <c r="G376" s="111" t="s">
        <v>1215</v>
      </c>
    </row>
    <row r="377" customFormat="false" ht="23.85" hidden="false" customHeight="false" outlineLevel="0" collapsed="false">
      <c r="A377" s="109" t="s">
        <v>85</v>
      </c>
      <c r="B377" s="109" t="s">
        <v>89</v>
      </c>
      <c r="C377" s="109" t="s">
        <v>310</v>
      </c>
      <c r="D377" s="109" t="s">
        <v>55</v>
      </c>
      <c r="E377" s="114" t="s">
        <v>22</v>
      </c>
      <c r="F377" s="109" t="s">
        <v>1419</v>
      </c>
      <c r="G377" s="111" t="s">
        <v>1420</v>
      </c>
    </row>
    <row r="378" customFormat="false" ht="23.85" hidden="false" customHeight="false" outlineLevel="0" collapsed="false">
      <c r="A378" s="109" t="s">
        <v>85</v>
      </c>
      <c r="B378" s="109" t="s">
        <v>89</v>
      </c>
      <c r="C378" s="109" t="s">
        <v>310</v>
      </c>
      <c r="D378" s="109" t="s">
        <v>59</v>
      </c>
      <c r="E378" s="110" t="s">
        <v>18</v>
      </c>
      <c r="F378" s="109" t="s">
        <v>1421</v>
      </c>
      <c r="G378" s="111" t="s">
        <v>1397</v>
      </c>
    </row>
    <row r="379" customFormat="false" ht="15" hidden="false" customHeight="false" outlineLevel="0" collapsed="false">
      <c r="A379" s="109" t="s">
        <v>85</v>
      </c>
      <c r="B379" s="109" t="s">
        <v>89</v>
      </c>
      <c r="C379" s="109" t="s">
        <v>310</v>
      </c>
      <c r="D379" s="109" t="s">
        <v>63</v>
      </c>
      <c r="E379" s="112" t="s">
        <v>16</v>
      </c>
      <c r="F379" s="109" t="s">
        <v>1422</v>
      </c>
      <c r="G379" s="111" t="s">
        <v>1399</v>
      </c>
    </row>
    <row r="380" customFormat="false" ht="15" hidden="false" customHeight="false" outlineLevel="0" collapsed="false">
      <c r="A380" s="109" t="s">
        <v>85</v>
      </c>
      <c r="B380" s="109" t="s">
        <v>89</v>
      </c>
      <c r="C380" s="109" t="s">
        <v>310</v>
      </c>
      <c r="D380" s="109" t="s">
        <v>67</v>
      </c>
      <c r="E380" s="112" t="s">
        <v>16</v>
      </c>
      <c r="F380" s="109" t="s">
        <v>1423</v>
      </c>
      <c r="G380" s="111" t="s">
        <v>1176</v>
      </c>
    </row>
    <row r="381" customFormat="false" ht="15" hidden="false" customHeight="false" outlineLevel="0" collapsed="false">
      <c r="A381" s="109" t="s">
        <v>85</v>
      </c>
      <c r="B381" s="109" t="s">
        <v>89</v>
      </c>
      <c r="C381" s="109" t="s">
        <v>310</v>
      </c>
      <c r="D381" s="109" t="s">
        <v>71</v>
      </c>
      <c r="E381" s="113" t="s">
        <v>24</v>
      </c>
      <c r="F381" s="109" t="s">
        <v>1424</v>
      </c>
      <c r="G381" s="109"/>
    </row>
    <row r="382" customFormat="false" ht="15" hidden="false" customHeight="false" outlineLevel="0" collapsed="false">
      <c r="A382" s="109" t="s">
        <v>85</v>
      </c>
      <c r="B382" s="109" t="s">
        <v>89</v>
      </c>
      <c r="C382" s="109" t="s">
        <v>311</v>
      </c>
      <c r="D382" s="109" t="s">
        <v>35</v>
      </c>
      <c r="E382" s="112" t="s">
        <v>16</v>
      </c>
      <c r="F382" s="109" t="s">
        <v>1425</v>
      </c>
      <c r="G382" s="111" t="s">
        <v>1426</v>
      </c>
    </row>
    <row r="383" customFormat="false" ht="23.85" hidden="false" customHeight="false" outlineLevel="0" collapsed="false">
      <c r="A383" s="109" t="s">
        <v>85</v>
      </c>
      <c r="B383" s="109" t="s">
        <v>89</v>
      </c>
      <c r="C383" s="109" t="s">
        <v>311</v>
      </c>
      <c r="D383" s="109" t="s">
        <v>39</v>
      </c>
      <c r="E383" s="115" t="s">
        <v>20</v>
      </c>
      <c r="F383" s="109" t="s">
        <v>1427</v>
      </c>
      <c r="G383" s="111" t="s">
        <v>1428</v>
      </c>
    </row>
    <row r="384" customFormat="false" ht="15" hidden="false" customHeight="false" outlineLevel="0" collapsed="false">
      <c r="A384" s="109" t="s">
        <v>85</v>
      </c>
      <c r="B384" s="109" t="s">
        <v>89</v>
      </c>
      <c r="C384" s="109" t="s">
        <v>311</v>
      </c>
      <c r="D384" s="109" t="s">
        <v>43</v>
      </c>
      <c r="E384" s="112" t="s">
        <v>16</v>
      </c>
      <c r="F384" s="109" t="s">
        <v>1429</v>
      </c>
      <c r="G384" s="111" t="s">
        <v>834</v>
      </c>
    </row>
    <row r="385" customFormat="false" ht="23.85" hidden="false" customHeight="false" outlineLevel="0" collapsed="false">
      <c r="A385" s="109" t="s">
        <v>85</v>
      </c>
      <c r="B385" s="109" t="s">
        <v>89</v>
      </c>
      <c r="C385" s="109" t="s">
        <v>311</v>
      </c>
      <c r="D385" s="109" t="s">
        <v>47</v>
      </c>
      <c r="E385" s="115" t="s">
        <v>20</v>
      </c>
      <c r="F385" s="109" t="s">
        <v>1430</v>
      </c>
      <c r="G385" s="111" t="s">
        <v>1431</v>
      </c>
    </row>
    <row r="386" customFormat="false" ht="23.85" hidden="false" customHeight="false" outlineLevel="0" collapsed="false">
      <c r="A386" s="109" t="s">
        <v>85</v>
      </c>
      <c r="B386" s="109" t="s">
        <v>89</v>
      </c>
      <c r="C386" s="109" t="s">
        <v>311</v>
      </c>
      <c r="D386" s="109" t="s">
        <v>51</v>
      </c>
      <c r="E386" s="112" t="s">
        <v>16</v>
      </c>
      <c r="F386" s="109" t="s">
        <v>1432</v>
      </c>
      <c r="G386" s="111" t="s">
        <v>1433</v>
      </c>
    </row>
    <row r="387" customFormat="false" ht="15" hidden="false" customHeight="false" outlineLevel="0" collapsed="false">
      <c r="A387" s="109" t="s">
        <v>85</v>
      </c>
      <c r="B387" s="109" t="s">
        <v>89</v>
      </c>
      <c r="C387" s="109" t="s">
        <v>311</v>
      </c>
      <c r="D387" s="109" t="s">
        <v>55</v>
      </c>
      <c r="E387" s="112" t="s">
        <v>16</v>
      </c>
      <c r="F387" s="109" t="s">
        <v>1434</v>
      </c>
      <c r="G387" s="111" t="s">
        <v>1435</v>
      </c>
    </row>
    <row r="388" customFormat="false" ht="15" hidden="false" customHeight="false" outlineLevel="0" collapsed="false">
      <c r="A388" s="109" t="s">
        <v>85</v>
      </c>
      <c r="B388" s="109" t="s">
        <v>89</v>
      </c>
      <c r="C388" s="109" t="s">
        <v>311</v>
      </c>
      <c r="D388" s="109" t="s">
        <v>59</v>
      </c>
      <c r="E388" s="112" t="s">
        <v>16</v>
      </c>
      <c r="F388" s="109" t="s">
        <v>1436</v>
      </c>
      <c r="G388" s="111" t="s">
        <v>945</v>
      </c>
    </row>
    <row r="389" customFormat="false" ht="15" hidden="false" customHeight="false" outlineLevel="0" collapsed="false">
      <c r="A389" s="109" t="s">
        <v>85</v>
      </c>
      <c r="B389" s="109" t="s">
        <v>89</v>
      </c>
      <c r="C389" s="109" t="s">
        <v>311</v>
      </c>
      <c r="D389" s="109" t="s">
        <v>63</v>
      </c>
      <c r="E389" s="112" t="s">
        <v>16</v>
      </c>
      <c r="F389" s="109" t="s">
        <v>1437</v>
      </c>
      <c r="G389" s="111" t="s">
        <v>1438</v>
      </c>
    </row>
    <row r="390" customFormat="false" ht="15" hidden="false" customHeight="false" outlineLevel="0" collapsed="false">
      <c r="A390" s="109" t="s">
        <v>85</v>
      </c>
      <c r="B390" s="109" t="s">
        <v>89</v>
      </c>
      <c r="C390" s="109" t="s">
        <v>311</v>
      </c>
      <c r="D390" s="109" t="s">
        <v>67</v>
      </c>
      <c r="E390" s="112" t="s">
        <v>16</v>
      </c>
      <c r="F390" s="109" t="s">
        <v>1439</v>
      </c>
      <c r="G390" s="111" t="s">
        <v>846</v>
      </c>
    </row>
    <row r="391" customFormat="false" ht="23.85" hidden="false" customHeight="false" outlineLevel="0" collapsed="false">
      <c r="A391" s="109" t="s">
        <v>85</v>
      </c>
      <c r="B391" s="109" t="s">
        <v>89</v>
      </c>
      <c r="C391" s="109" t="s">
        <v>311</v>
      </c>
      <c r="D391" s="109" t="s">
        <v>71</v>
      </c>
      <c r="E391" s="112" t="s">
        <v>16</v>
      </c>
      <c r="F391" s="109" t="s">
        <v>1440</v>
      </c>
      <c r="G391" s="111" t="s">
        <v>1441</v>
      </c>
    </row>
    <row r="392" customFormat="false" ht="15" hidden="false" customHeight="false" outlineLevel="0" collapsed="false">
      <c r="A392" s="109" t="s">
        <v>85</v>
      </c>
      <c r="B392" s="109" t="s">
        <v>89</v>
      </c>
      <c r="C392" s="109" t="s">
        <v>313</v>
      </c>
      <c r="D392" s="109" t="s">
        <v>35</v>
      </c>
      <c r="E392" s="115" t="s">
        <v>20</v>
      </c>
      <c r="F392" s="109" t="s">
        <v>1442</v>
      </c>
      <c r="G392" s="111" t="s">
        <v>1443</v>
      </c>
    </row>
    <row r="393" customFormat="false" ht="15" hidden="false" customHeight="false" outlineLevel="0" collapsed="false">
      <c r="A393" s="109" t="s">
        <v>85</v>
      </c>
      <c r="B393" s="109" t="s">
        <v>89</v>
      </c>
      <c r="C393" s="109" t="s">
        <v>313</v>
      </c>
      <c r="D393" s="109" t="s">
        <v>39</v>
      </c>
      <c r="E393" s="115" t="s">
        <v>20</v>
      </c>
      <c r="F393" s="109" t="s">
        <v>1444</v>
      </c>
      <c r="G393" s="111" t="s">
        <v>1428</v>
      </c>
    </row>
    <row r="394" customFormat="false" ht="15" hidden="false" customHeight="false" outlineLevel="0" collapsed="false">
      <c r="A394" s="109" t="s">
        <v>85</v>
      </c>
      <c r="B394" s="109" t="s">
        <v>89</v>
      </c>
      <c r="C394" s="109" t="s">
        <v>313</v>
      </c>
      <c r="D394" s="109" t="s">
        <v>43</v>
      </c>
      <c r="E394" s="112" t="s">
        <v>16</v>
      </c>
      <c r="F394" s="109" t="s">
        <v>1445</v>
      </c>
      <c r="G394" s="111" t="s">
        <v>834</v>
      </c>
    </row>
    <row r="395" customFormat="false" ht="23.85" hidden="false" customHeight="false" outlineLevel="0" collapsed="false">
      <c r="A395" s="109" t="s">
        <v>85</v>
      </c>
      <c r="B395" s="109" t="s">
        <v>89</v>
      </c>
      <c r="C395" s="109" t="s">
        <v>313</v>
      </c>
      <c r="D395" s="109" t="s">
        <v>47</v>
      </c>
      <c r="E395" s="115" t="s">
        <v>20</v>
      </c>
      <c r="F395" s="109" t="s">
        <v>1446</v>
      </c>
      <c r="G395" s="111" t="s">
        <v>1447</v>
      </c>
    </row>
    <row r="396" customFormat="false" ht="23.85" hidden="false" customHeight="false" outlineLevel="0" collapsed="false">
      <c r="A396" s="109" t="s">
        <v>85</v>
      </c>
      <c r="B396" s="109" t="s">
        <v>89</v>
      </c>
      <c r="C396" s="109" t="s">
        <v>313</v>
      </c>
      <c r="D396" s="109" t="s">
        <v>51</v>
      </c>
      <c r="E396" s="114" t="s">
        <v>22</v>
      </c>
      <c r="F396" s="109" t="s">
        <v>1448</v>
      </c>
      <c r="G396" s="111" t="s">
        <v>838</v>
      </c>
    </row>
    <row r="397" customFormat="false" ht="15" hidden="false" customHeight="false" outlineLevel="0" collapsed="false">
      <c r="A397" s="109" t="s">
        <v>85</v>
      </c>
      <c r="B397" s="109" t="s">
        <v>89</v>
      </c>
      <c r="C397" s="109" t="s">
        <v>313</v>
      </c>
      <c r="D397" s="109" t="s">
        <v>55</v>
      </c>
      <c r="E397" s="112" t="s">
        <v>16</v>
      </c>
      <c r="F397" s="109" t="s">
        <v>1449</v>
      </c>
      <c r="G397" s="111" t="s">
        <v>1435</v>
      </c>
    </row>
    <row r="398" customFormat="false" ht="15" hidden="false" customHeight="false" outlineLevel="0" collapsed="false">
      <c r="A398" s="109" t="s">
        <v>85</v>
      </c>
      <c r="B398" s="109" t="s">
        <v>89</v>
      </c>
      <c r="C398" s="109" t="s">
        <v>313</v>
      </c>
      <c r="D398" s="109" t="s">
        <v>59</v>
      </c>
      <c r="E398" s="112" t="s">
        <v>16</v>
      </c>
      <c r="F398" s="109" t="s">
        <v>1450</v>
      </c>
      <c r="G398" s="111" t="s">
        <v>945</v>
      </c>
    </row>
    <row r="399" customFormat="false" ht="15" hidden="false" customHeight="false" outlineLevel="0" collapsed="false">
      <c r="A399" s="109" t="s">
        <v>85</v>
      </c>
      <c r="B399" s="109" t="s">
        <v>89</v>
      </c>
      <c r="C399" s="109" t="s">
        <v>313</v>
      </c>
      <c r="D399" s="109" t="s">
        <v>63</v>
      </c>
      <c r="E399" s="112" t="s">
        <v>16</v>
      </c>
      <c r="F399" s="109" t="s">
        <v>1451</v>
      </c>
      <c r="G399" s="111" t="s">
        <v>1438</v>
      </c>
    </row>
    <row r="400" customFormat="false" ht="15" hidden="false" customHeight="false" outlineLevel="0" collapsed="false">
      <c r="A400" s="109" t="s">
        <v>85</v>
      </c>
      <c r="B400" s="109" t="s">
        <v>89</v>
      </c>
      <c r="C400" s="109" t="s">
        <v>313</v>
      </c>
      <c r="D400" s="109" t="s">
        <v>67</v>
      </c>
      <c r="E400" s="113" t="s">
        <v>24</v>
      </c>
      <c r="F400" s="109" t="s">
        <v>1452</v>
      </c>
      <c r="G400" s="111" t="s">
        <v>1176</v>
      </c>
    </row>
    <row r="401" customFormat="false" ht="15" hidden="false" customHeight="false" outlineLevel="0" collapsed="false">
      <c r="A401" s="109" t="s">
        <v>85</v>
      </c>
      <c r="B401" s="109" t="s">
        <v>89</v>
      </c>
      <c r="C401" s="109" t="s">
        <v>313</v>
      </c>
      <c r="D401" s="109" t="s">
        <v>71</v>
      </c>
      <c r="E401" s="114" t="s">
        <v>22</v>
      </c>
      <c r="F401" s="109" t="s">
        <v>1453</v>
      </c>
      <c r="G401" s="111" t="s">
        <v>1402</v>
      </c>
    </row>
    <row r="402" customFormat="false" ht="23.85" hidden="false" customHeight="false" outlineLevel="0" collapsed="false">
      <c r="A402" s="109" t="s">
        <v>85</v>
      </c>
      <c r="B402" s="109" t="s">
        <v>89</v>
      </c>
      <c r="C402" s="109" t="s">
        <v>315</v>
      </c>
      <c r="D402" s="109" t="s">
        <v>35</v>
      </c>
      <c r="E402" s="112" t="s">
        <v>16</v>
      </c>
      <c r="F402" s="109" t="s">
        <v>1454</v>
      </c>
      <c r="G402" s="111" t="s">
        <v>1455</v>
      </c>
    </row>
    <row r="403" customFormat="false" ht="23.85" hidden="false" customHeight="false" outlineLevel="0" collapsed="false">
      <c r="A403" s="109" t="s">
        <v>85</v>
      </c>
      <c r="B403" s="109" t="s">
        <v>89</v>
      </c>
      <c r="C403" s="109" t="s">
        <v>315</v>
      </c>
      <c r="D403" s="109" t="s">
        <v>39</v>
      </c>
      <c r="E403" s="115" t="s">
        <v>20</v>
      </c>
      <c r="F403" s="109" t="s">
        <v>1456</v>
      </c>
      <c r="G403" s="111" t="s">
        <v>1457</v>
      </c>
    </row>
    <row r="404" customFormat="false" ht="23.85" hidden="false" customHeight="false" outlineLevel="0" collapsed="false">
      <c r="A404" s="109" t="s">
        <v>85</v>
      </c>
      <c r="B404" s="109" t="s">
        <v>89</v>
      </c>
      <c r="C404" s="109" t="s">
        <v>315</v>
      </c>
      <c r="D404" s="109" t="s">
        <v>43</v>
      </c>
      <c r="E404" s="112" t="s">
        <v>16</v>
      </c>
      <c r="F404" s="109" t="s">
        <v>1458</v>
      </c>
      <c r="G404" s="111" t="s">
        <v>834</v>
      </c>
    </row>
    <row r="405" customFormat="false" ht="23.85" hidden="false" customHeight="false" outlineLevel="0" collapsed="false">
      <c r="A405" s="109" t="s">
        <v>85</v>
      </c>
      <c r="B405" s="109" t="s">
        <v>89</v>
      </c>
      <c r="C405" s="109" t="s">
        <v>315</v>
      </c>
      <c r="D405" s="109" t="s">
        <v>47</v>
      </c>
      <c r="E405" s="115" t="s">
        <v>20</v>
      </c>
      <c r="F405" s="109" t="s">
        <v>1459</v>
      </c>
      <c r="G405" s="111" t="s">
        <v>1460</v>
      </c>
    </row>
    <row r="406" customFormat="false" ht="15" hidden="false" customHeight="false" outlineLevel="0" collapsed="false">
      <c r="A406" s="109" t="s">
        <v>85</v>
      </c>
      <c r="B406" s="109" t="s">
        <v>89</v>
      </c>
      <c r="C406" s="109" t="s">
        <v>315</v>
      </c>
      <c r="D406" s="109" t="s">
        <v>51</v>
      </c>
      <c r="E406" s="113" t="s">
        <v>24</v>
      </c>
      <c r="F406" s="109" t="s">
        <v>1461</v>
      </c>
      <c r="G406" s="109"/>
    </row>
    <row r="407" customFormat="false" ht="15" hidden="false" customHeight="false" outlineLevel="0" collapsed="false">
      <c r="A407" s="109" t="s">
        <v>85</v>
      </c>
      <c r="B407" s="109" t="s">
        <v>89</v>
      </c>
      <c r="C407" s="109" t="s">
        <v>315</v>
      </c>
      <c r="D407" s="109" t="s">
        <v>55</v>
      </c>
      <c r="E407" s="112" t="s">
        <v>16</v>
      </c>
      <c r="F407" s="109" t="s">
        <v>1462</v>
      </c>
      <c r="G407" s="111" t="s">
        <v>859</v>
      </c>
    </row>
    <row r="408" customFormat="false" ht="15" hidden="false" customHeight="false" outlineLevel="0" collapsed="false">
      <c r="A408" s="109" t="s">
        <v>85</v>
      </c>
      <c r="B408" s="109" t="s">
        <v>89</v>
      </c>
      <c r="C408" s="109" t="s">
        <v>315</v>
      </c>
      <c r="D408" s="109" t="s">
        <v>59</v>
      </c>
      <c r="E408" s="113" t="s">
        <v>24</v>
      </c>
      <c r="F408" s="109" t="s">
        <v>1463</v>
      </c>
      <c r="G408" s="109"/>
    </row>
    <row r="409" customFormat="false" ht="23.85" hidden="false" customHeight="false" outlineLevel="0" collapsed="false">
      <c r="A409" s="109" t="s">
        <v>85</v>
      </c>
      <c r="B409" s="109" t="s">
        <v>89</v>
      </c>
      <c r="C409" s="109" t="s">
        <v>315</v>
      </c>
      <c r="D409" s="109" t="s">
        <v>63</v>
      </c>
      <c r="E409" s="112" t="s">
        <v>16</v>
      </c>
      <c r="F409" s="109" t="s">
        <v>1464</v>
      </c>
      <c r="G409" s="111" t="s">
        <v>1465</v>
      </c>
    </row>
    <row r="410" customFormat="false" ht="23.85" hidden="false" customHeight="false" outlineLevel="0" collapsed="false">
      <c r="A410" s="109" t="s">
        <v>85</v>
      </c>
      <c r="B410" s="109" t="s">
        <v>89</v>
      </c>
      <c r="C410" s="109" t="s">
        <v>315</v>
      </c>
      <c r="D410" s="109" t="s">
        <v>67</v>
      </c>
      <c r="E410" s="112" t="s">
        <v>16</v>
      </c>
      <c r="F410" s="109" t="s">
        <v>1466</v>
      </c>
      <c r="G410" s="111" t="s">
        <v>930</v>
      </c>
    </row>
    <row r="411" customFormat="false" ht="23.85" hidden="false" customHeight="false" outlineLevel="0" collapsed="false">
      <c r="A411" s="109" t="s">
        <v>85</v>
      </c>
      <c r="B411" s="109" t="s">
        <v>89</v>
      </c>
      <c r="C411" s="109" t="s">
        <v>315</v>
      </c>
      <c r="D411" s="109" t="s">
        <v>71</v>
      </c>
      <c r="E411" s="112" t="s">
        <v>16</v>
      </c>
      <c r="F411" s="109" t="s">
        <v>1467</v>
      </c>
      <c r="G411" s="111" t="s">
        <v>884</v>
      </c>
    </row>
    <row r="412" customFormat="false" ht="23.85" hidden="false" customHeight="false" outlineLevel="0" collapsed="false">
      <c r="A412" s="109" t="s">
        <v>85</v>
      </c>
      <c r="B412" s="109" t="s">
        <v>89</v>
      </c>
      <c r="C412" s="109" t="s">
        <v>317</v>
      </c>
      <c r="D412" s="109" t="s">
        <v>35</v>
      </c>
      <c r="E412" s="114" t="s">
        <v>22</v>
      </c>
      <c r="F412" s="109" t="s">
        <v>1468</v>
      </c>
      <c r="G412" s="111" t="s">
        <v>1469</v>
      </c>
    </row>
    <row r="413" customFormat="false" ht="15" hidden="false" customHeight="false" outlineLevel="0" collapsed="false">
      <c r="A413" s="109" t="s">
        <v>85</v>
      </c>
      <c r="B413" s="109" t="s">
        <v>89</v>
      </c>
      <c r="C413" s="109" t="s">
        <v>317</v>
      </c>
      <c r="D413" s="109" t="s">
        <v>39</v>
      </c>
      <c r="E413" s="115" t="s">
        <v>20</v>
      </c>
      <c r="F413" s="109" t="s">
        <v>1470</v>
      </c>
      <c r="G413" s="111" t="s">
        <v>1471</v>
      </c>
    </row>
    <row r="414" customFormat="false" ht="23.85" hidden="false" customHeight="false" outlineLevel="0" collapsed="false">
      <c r="A414" s="109" t="s">
        <v>85</v>
      </c>
      <c r="B414" s="109" t="s">
        <v>89</v>
      </c>
      <c r="C414" s="109" t="s">
        <v>317</v>
      </c>
      <c r="D414" s="109" t="s">
        <v>43</v>
      </c>
      <c r="E414" s="112" t="s">
        <v>16</v>
      </c>
      <c r="F414" s="109" t="s">
        <v>1472</v>
      </c>
      <c r="G414" s="111" t="s">
        <v>1035</v>
      </c>
    </row>
    <row r="415" customFormat="false" ht="23.85" hidden="false" customHeight="false" outlineLevel="0" collapsed="false">
      <c r="A415" s="109" t="s">
        <v>85</v>
      </c>
      <c r="B415" s="109" t="s">
        <v>89</v>
      </c>
      <c r="C415" s="109" t="s">
        <v>317</v>
      </c>
      <c r="D415" s="109" t="s">
        <v>47</v>
      </c>
      <c r="E415" s="112" t="s">
        <v>16</v>
      </c>
      <c r="F415" s="109" t="s">
        <v>1473</v>
      </c>
      <c r="G415" s="111" t="s">
        <v>1213</v>
      </c>
    </row>
    <row r="416" customFormat="false" ht="15" hidden="false" customHeight="false" outlineLevel="0" collapsed="false">
      <c r="A416" s="109" t="s">
        <v>85</v>
      </c>
      <c r="B416" s="109" t="s">
        <v>89</v>
      </c>
      <c r="C416" s="109" t="s">
        <v>317</v>
      </c>
      <c r="D416" s="109" t="s">
        <v>51</v>
      </c>
      <c r="E416" s="112" t="s">
        <v>16</v>
      </c>
      <c r="F416" s="109" t="s">
        <v>1474</v>
      </c>
      <c r="G416" s="111" t="s">
        <v>1475</v>
      </c>
    </row>
    <row r="417" customFormat="false" ht="15" hidden="false" customHeight="false" outlineLevel="0" collapsed="false">
      <c r="A417" s="109" t="s">
        <v>85</v>
      </c>
      <c r="B417" s="109" t="s">
        <v>89</v>
      </c>
      <c r="C417" s="109" t="s">
        <v>317</v>
      </c>
      <c r="D417" s="109" t="s">
        <v>55</v>
      </c>
      <c r="E417" s="112" t="s">
        <v>16</v>
      </c>
      <c r="F417" s="109" t="s">
        <v>1476</v>
      </c>
      <c r="G417" s="111" t="s">
        <v>1477</v>
      </c>
    </row>
    <row r="418" customFormat="false" ht="15" hidden="false" customHeight="false" outlineLevel="0" collapsed="false">
      <c r="A418" s="109" t="s">
        <v>85</v>
      </c>
      <c r="B418" s="109" t="s">
        <v>89</v>
      </c>
      <c r="C418" s="109" t="s">
        <v>317</v>
      </c>
      <c r="D418" s="109" t="s">
        <v>59</v>
      </c>
      <c r="E418" s="110" t="s">
        <v>18</v>
      </c>
      <c r="F418" s="109" t="s">
        <v>1478</v>
      </c>
      <c r="G418" s="111" t="s">
        <v>1479</v>
      </c>
    </row>
    <row r="419" customFormat="false" ht="15" hidden="false" customHeight="false" outlineLevel="0" collapsed="false">
      <c r="A419" s="109" t="s">
        <v>85</v>
      </c>
      <c r="B419" s="109" t="s">
        <v>89</v>
      </c>
      <c r="C419" s="109" t="s">
        <v>317</v>
      </c>
      <c r="D419" s="109" t="s">
        <v>63</v>
      </c>
      <c r="E419" s="112" t="s">
        <v>16</v>
      </c>
      <c r="F419" s="109" t="s">
        <v>1480</v>
      </c>
      <c r="G419" s="111" t="s">
        <v>844</v>
      </c>
    </row>
    <row r="420" customFormat="false" ht="23.85" hidden="false" customHeight="false" outlineLevel="0" collapsed="false">
      <c r="A420" s="109" t="s">
        <v>85</v>
      </c>
      <c r="B420" s="109" t="s">
        <v>89</v>
      </c>
      <c r="C420" s="109" t="s">
        <v>317</v>
      </c>
      <c r="D420" s="109" t="s">
        <v>67</v>
      </c>
      <c r="E420" s="114" t="s">
        <v>22</v>
      </c>
      <c r="F420" s="109" t="s">
        <v>1481</v>
      </c>
      <c r="G420" s="111" t="s">
        <v>1064</v>
      </c>
    </row>
    <row r="421" customFormat="false" ht="15" hidden="false" customHeight="false" outlineLevel="0" collapsed="false">
      <c r="A421" s="109" t="s">
        <v>85</v>
      </c>
      <c r="B421" s="109" t="s">
        <v>89</v>
      </c>
      <c r="C421" s="109" t="s">
        <v>317</v>
      </c>
      <c r="D421" s="109" t="s">
        <v>71</v>
      </c>
      <c r="E421" s="113" t="s">
        <v>24</v>
      </c>
      <c r="F421" s="109" t="s">
        <v>1482</v>
      </c>
      <c r="G421" s="111" t="s">
        <v>884</v>
      </c>
    </row>
    <row r="422" customFormat="false" ht="23.85" hidden="false" customHeight="false" outlineLevel="0" collapsed="false">
      <c r="A422" s="109" t="s">
        <v>85</v>
      </c>
      <c r="B422" s="109" t="s">
        <v>90</v>
      </c>
      <c r="C422" s="109" t="s">
        <v>328</v>
      </c>
      <c r="D422" s="109" t="s">
        <v>35</v>
      </c>
      <c r="E422" s="112" t="s">
        <v>16</v>
      </c>
      <c r="F422" s="109" t="s">
        <v>1483</v>
      </c>
      <c r="G422" s="111" t="s">
        <v>1484</v>
      </c>
    </row>
    <row r="423" customFormat="false" ht="15" hidden="false" customHeight="false" outlineLevel="0" collapsed="false">
      <c r="A423" s="109" t="s">
        <v>85</v>
      </c>
      <c r="B423" s="109" t="s">
        <v>90</v>
      </c>
      <c r="C423" s="109" t="s">
        <v>328</v>
      </c>
      <c r="D423" s="109" t="s">
        <v>39</v>
      </c>
      <c r="E423" s="112" t="s">
        <v>16</v>
      </c>
      <c r="F423" s="109" t="s">
        <v>1485</v>
      </c>
      <c r="G423" s="111" t="s">
        <v>1486</v>
      </c>
    </row>
    <row r="424" customFormat="false" ht="23.85" hidden="false" customHeight="false" outlineLevel="0" collapsed="false">
      <c r="A424" s="109" t="s">
        <v>85</v>
      </c>
      <c r="B424" s="109" t="s">
        <v>90</v>
      </c>
      <c r="C424" s="109" t="s">
        <v>328</v>
      </c>
      <c r="D424" s="109" t="s">
        <v>43</v>
      </c>
      <c r="E424" s="112" t="s">
        <v>16</v>
      </c>
      <c r="F424" s="109" t="s">
        <v>1487</v>
      </c>
      <c r="G424" s="111" t="s">
        <v>1488</v>
      </c>
    </row>
    <row r="425" customFormat="false" ht="23.85" hidden="false" customHeight="false" outlineLevel="0" collapsed="false">
      <c r="A425" s="109" t="s">
        <v>85</v>
      </c>
      <c r="B425" s="109" t="s">
        <v>90</v>
      </c>
      <c r="C425" s="109" t="s">
        <v>328</v>
      </c>
      <c r="D425" s="109" t="s">
        <v>47</v>
      </c>
      <c r="E425" s="112" t="s">
        <v>16</v>
      </c>
      <c r="F425" s="109" t="s">
        <v>1489</v>
      </c>
      <c r="G425" s="111" t="s">
        <v>956</v>
      </c>
    </row>
    <row r="426" customFormat="false" ht="15" hidden="false" customHeight="false" outlineLevel="0" collapsed="false">
      <c r="A426" s="109" t="s">
        <v>85</v>
      </c>
      <c r="B426" s="109" t="s">
        <v>90</v>
      </c>
      <c r="C426" s="109" t="s">
        <v>328</v>
      </c>
      <c r="D426" s="109" t="s">
        <v>51</v>
      </c>
      <c r="E426" s="112" t="s">
        <v>16</v>
      </c>
      <c r="F426" s="109" t="s">
        <v>1490</v>
      </c>
      <c r="G426" s="111" t="s">
        <v>1491</v>
      </c>
    </row>
    <row r="427" customFormat="false" ht="15" hidden="false" customHeight="false" outlineLevel="0" collapsed="false">
      <c r="A427" s="109" t="s">
        <v>85</v>
      </c>
      <c r="B427" s="109" t="s">
        <v>90</v>
      </c>
      <c r="C427" s="109" t="s">
        <v>328</v>
      </c>
      <c r="D427" s="109" t="s">
        <v>55</v>
      </c>
      <c r="E427" s="112" t="s">
        <v>16</v>
      </c>
      <c r="F427" s="109" t="s">
        <v>1492</v>
      </c>
      <c r="G427" s="111" t="s">
        <v>1493</v>
      </c>
    </row>
    <row r="428" customFormat="false" ht="23.85" hidden="false" customHeight="false" outlineLevel="0" collapsed="false">
      <c r="A428" s="109" t="s">
        <v>85</v>
      </c>
      <c r="B428" s="109" t="s">
        <v>90</v>
      </c>
      <c r="C428" s="109" t="s">
        <v>328</v>
      </c>
      <c r="D428" s="109" t="s">
        <v>59</v>
      </c>
      <c r="E428" s="110" t="s">
        <v>18</v>
      </c>
      <c r="F428" s="109" t="s">
        <v>1494</v>
      </c>
      <c r="G428" s="111" t="s">
        <v>1172</v>
      </c>
    </row>
    <row r="429" customFormat="false" ht="15" hidden="false" customHeight="false" outlineLevel="0" collapsed="false">
      <c r="A429" s="109" t="s">
        <v>85</v>
      </c>
      <c r="B429" s="109" t="s">
        <v>90</v>
      </c>
      <c r="C429" s="109" t="s">
        <v>328</v>
      </c>
      <c r="D429" s="109" t="s">
        <v>63</v>
      </c>
      <c r="E429" s="112" t="s">
        <v>16</v>
      </c>
      <c r="F429" s="109" t="s">
        <v>1495</v>
      </c>
      <c r="G429" s="111" t="s">
        <v>1496</v>
      </c>
    </row>
    <row r="430" customFormat="false" ht="23.85" hidden="false" customHeight="false" outlineLevel="0" collapsed="false">
      <c r="A430" s="109" t="s">
        <v>85</v>
      </c>
      <c r="B430" s="109" t="s">
        <v>90</v>
      </c>
      <c r="C430" s="109" t="s">
        <v>328</v>
      </c>
      <c r="D430" s="109" t="s">
        <v>67</v>
      </c>
      <c r="E430" s="112" t="s">
        <v>16</v>
      </c>
      <c r="F430" s="109" t="s">
        <v>1497</v>
      </c>
      <c r="G430" s="111" t="s">
        <v>1498</v>
      </c>
    </row>
    <row r="431" customFormat="false" ht="15" hidden="false" customHeight="false" outlineLevel="0" collapsed="false">
      <c r="A431" s="109" t="s">
        <v>85</v>
      </c>
      <c r="B431" s="109" t="s">
        <v>90</v>
      </c>
      <c r="C431" s="109" t="s">
        <v>328</v>
      </c>
      <c r="D431" s="109" t="s">
        <v>71</v>
      </c>
      <c r="E431" s="112" t="s">
        <v>16</v>
      </c>
      <c r="F431" s="109" t="s">
        <v>1499</v>
      </c>
      <c r="G431" s="111" t="s">
        <v>884</v>
      </c>
    </row>
    <row r="432" customFormat="false" ht="15" hidden="false" customHeight="false" outlineLevel="0" collapsed="false">
      <c r="A432" s="109" t="s">
        <v>85</v>
      </c>
      <c r="B432" s="109" t="s">
        <v>90</v>
      </c>
      <c r="C432" s="109" t="s">
        <v>330</v>
      </c>
      <c r="D432" s="109" t="s">
        <v>35</v>
      </c>
      <c r="E432" s="112" t="s">
        <v>16</v>
      </c>
      <c r="F432" s="109" t="s">
        <v>1500</v>
      </c>
      <c r="G432" s="111" t="s">
        <v>1501</v>
      </c>
    </row>
    <row r="433" customFormat="false" ht="23.85" hidden="false" customHeight="false" outlineLevel="0" collapsed="false">
      <c r="A433" s="109" t="s">
        <v>85</v>
      </c>
      <c r="B433" s="109" t="s">
        <v>90</v>
      </c>
      <c r="C433" s="109" t="s">
        <v>330</v>
      </c>
      <c r="D433" s="109" t="s">
        <v>39</v>
      </c>
      <c r="E433" s="114" t="s">
        <v>22</v>
      </c>
      <c r="F433" s="109" t="s">
        <v>1502</v>
      </c>
      <c r="G433" s="111" t="s">
        <v>1503</v>
      </c>
    </row>
    <row r="434" customFormat="false" ht="23.85" hidden="false" customHeight="false" outlineLevel="0" collapsed="false">
      <c r="A434" s="109" t="s">
        <v>85</v>
      </c>
      <c r="B434" s="109" t="s">
        <v>90</v>
      </c>
      <c r="C434" s="109" t="s">
        <v>330</v>
      </c>
      <c r="D434" s="109" t="s">
        <v>43</v>
      </c>
      <c r="E434" s="112" t="s">
        <v>16</v>
      </c>
      <c r="F434" s="109" t="s">
        <v>1504</v>
      </c>
      <c r="G434" s="111" t="s">
        <v>1488</v>
      </c>
    </row>
    <row r="435" customFormat="false" ht="15" hidden="false" customHeight="false" outlineLevel="0" collapsed="false">
      <c r="A435" s="109" t="s">
        <v>85</v>
      </c>
      <c r="B435" s="109" t="s">
        <v>90</v>
      </c>
      <c r="C435" s="109" t="s">
        <v>330</v>
      </c>
      <c r="D435" s="109" t="s">
        <v>47</v>
      </c>
      <c r="E435" s="112" t="s">
        <v>16</v>
      </c>
      <c r="F435" s="109" t="s">
        <v>1505</v>
      </c>
      <c r="G435" s="111" t="s">
        <v>1506</v>
      </c>
    </row>
    <row r="436" customFormat="false" ht="15" hidden="false" customHeight="false" outlineLevel="0" collapsed="false">
      <c r="A436" s="109" t="s">
        <v>85</v>
      </c>
      <c r="B436" s="109" t="s">
        <v>90</v>
      </c>
      <c r="C436" s="109" t="s">
        <v>330</v>
      </c>
      <c r="D436" s="109" t="s">
        <v>51</v>
      </c>
      <c r="E436" s="112" t="s">
        <v>16</v>
      </c>
      <c r="F436" s="109" t="s">
        <v>1507</v>
      </c>
      <c r="G436" s="111" t="s">
        <v>1491</v>
      </c>
    </row>
    <row r="437" customFormat="false" ht="15" hidden="false" customHeight="false" outlineLevel="0" collapsed="false">
      <c r="A437" s="109" t="s">
        <v>85</v>
      </c>
      <c r="B437" s="109" t="s">
        <v>90</v>
      </c>
      <c r="C437" s="109" t="s">
        <v>330</v>
      </c>
      <c r="D437" s="109" t="s">
        <v>55</v>
      </c>
      <c r="E437" s="115" t="s">
        <v>20</v>
      </c>
      <c r="F437" s="109" t="s">
        <v>1508</v>
      </c>
      <c r="G437" s="111" t="s">
        <v>1509</v>
      </c>
    </row>
    <row r="438" customFormat="false" ht="23.85" hidden="false" customHeight="false" outlineLevel="0" collapsed="false">
      <c r="A438" s="109" t="s">
        <v>85</v>
      </c>
      <c r="B438" s="109" t="s">
        <v>90</v>
      </c>
      <c r="C438" s="109" t="s">
        <v>330</v>
      </c>
      <c r="D438" s="109" t="s">
        <v>59</v>
      </c>
      <c r="E438" s="110" t="s">
        <v>18</v>
      </c>
      <c r="F438" s="109" t="s">
        <v>1510</v>
      </c>
      <c r="G438" s="111" t="s">
        <v>1511</v>
      </c>
    </row>
    <row r="439" customFormat="false" ht="15" hidden="false" customHeight="false" outlineLevel="0" collapsed="false">
      <c r="A439" s="109" t="s">
        <v>85</v>
      </c>
      <c r="B439" s="109" t="s">
        <v>90</v>
      </c>
      <c r="C439" s="109" t="s">
        <v>330</v>
      </c>
      <c r="D439" s="109" t="s">
        <v>63</v>
      </c>
      <c r="E439" s="110" t="s">
        <v>18</v>
      </c>
      <c r="F439" s="109" t="s">
        <v>1512</v>
      </c>
      <c r="G439" s="111" t="s">
        <v>1513</v>
      </c>
    </row>
    <row r="440" customFormat="false" ht="15" hidden="false" customHeight="false" outlineLevel="0" collapsed="false">
      <c r="A440" s="109" t="s">
        <v>85</v>
      </c>
      <c r="B440" s="109" t="s">
        <v>90</v>
      </c>
      <c r="C440" s="109" t="s">
        <v>330</v>
      </c>
      <c r="D440" s="109" t="s">
        <v>67</v>
      </c>
      <c r="E440" s="112" t="s">
        <v>16</v>
      </c>
      <c r="F440" s="109" t="s">
        <v>1514</v>
      </c>
      <c r="G440" s="111" t="s">
        <v>1498</v>
      </c>
    </row>
    <row r="441" customFormat="false" ht="15" hidden="false" customHeight="false" outlineLevel="0" collapsed="false">
      <c r="A441" s="109" t="s">
        <v>85</v>
      </c>
      <c r="B441" s="109" t="s">
        <v>90</v>
      </c>
      <c r="C441" s="109" t="s">
        <v>330</v>
      </c>
      <c r="D441" s="109" t="s">
        <v>71</v>
      </c>
      <c r="E441" s="112" t="s">
        <v>16</v>
      </c>
      <c r="F441" s="109" t="s">
        <v>1515</v>
      </c>
      <c r="G441" s="111" t="s">
        <v>1516</v>
      </c>
    </row>
    <row r="442" customFormat="false" ht="23.85" hidden="false" customHeight="false" outlineLevel="0" collapsed="false">
      <c r="A442" s="109" t="s">
        <v>85</v>
      </c>
      <c r="B442" s="109" t="s">
        <v>90</v>
      </c>
      <c r="C442" s="109" t="s">
        <v>332</v>
      </c>
      <c r="D442" s="109" t="s">
        <v>35</v>
      </c>
      <c r="E442" s="114" t="s">
        <v>22</v>
      </c>
      <c r="F442" s="109" t="s">
        <v>1517</v>
      </c>
      <c r="G442" s="111" t="s">
        <v>1518</v>
      </c>
    </row>
    <row r="443" customFormat="false" ht="23.85" hidden="false" customHeight="false" outlineLevel="0" collapsed="false">
      <c r="A443" s="109" t="s">
        <v>85</v>
      </c>
      <c r="B443" s="109" t="s">
        <v>90</v>
      </c>
      <c r="C443" s="109" t="s">
        <v>332</v>
      </c>
      <c r="D443" s="109" t="s">
        <v>39</v>
      </c>
      <c r="E443" s="114" t="s">
        <v>22</v>
      </c>
      <c r="F443" s="109" t="s">
        <v>1519</v>
      </c>
      <c r="G443" s="111" t="s">
        <v>1520</v>
      </c>
    </row>
    <row r="444" customFormat="false" ht="23.85" hidden="false" customHeight="false" outlineLevel="0" collapsed="false">
      <c r="A444" s="109" t="s">
        <v>85</v>
      </c>
      <c r="B444" s="109" t="s">
        <v>90</v>
      </c>
      <c r="C444" s="109" t="s">
        <v>332</v>
      </c>
      <c r="D444" s="109" t="s">
        <v>43</v>
      </c>
      <c r="E444" s="112" t="s">
        <v>16</v>
      </c>
      <c r="F444" s="109" t="s">
        <v>1521</v>
      </c>
      <c r="G444" s="111" t="s">
        <v>1488</v>
      </c>
    </row>
    <row r="445" customFormat="false" ht="15" hidden="false" customHeight="false" outlineLevel="0" collapsed="false">
      <c r="A445" s="109" t="s">
        <v>85</v>
      </c>
      <c r="B445" s="109" t="s">
        <v>90</v>
      </c>
      <c r="C445" s="109" t="s">
        <v>332</v>
      </c>
      <c r="D445" s="109" t="s">
        <v>47</v>
      </c>
      <c r="E445" s="114" t="s">
        <v>22</v>
      </c>
      <c r="F445" s="109" t="s">
        <v>1522</v>
      </c>
      <c r="G445" s="111" t="s">
        <v>1506</v>
      </c>
    </row>
    <row r="446" customFormat="false" ht="15" hidden="false" customHeight="false" outlineLevel="0" collapsed="false">
      <c r="A446" s="109" t="s">
        <v>85</v>
      </c>
      <c r="B446" s="109" t="s">
        <v>90</v>
      </c>
      <c r="C446" s="109" t="s">
        <v>332</v>
      </c>
      <c r="D446" s="109" t="s">
        <v>51</v>
      </c>
      <c r="E446" s="112" t="s">
        <v>16</v>
      </c>
      <c r="F446" s="109" t="s">
        <v>1523</v>
      </c>
      <c r="G446" s="111" t="s">
        <v>1491</v>
      </c>
    </row>
    <row r="447" customFormat="false" ht="15" hidden="false" customHeight="false" outlineLevel="0" collapsed="false">
      <c r="A447" s="109" t="s">
        <v>85</v>
      </c>
      <c r="B447" s="109" t="s">
        <v>90</v>
      </c>
      <c r="C447" s="109" t="s">
        <v>332</v>
      </c>
      <c r="D447" s="109" t="s">
        <v>55</v>
      </c>
      <c r="E447" s="115" t="s">
        <v>20</v>
      </c>
      <c r="F447" s="109" t="s">
        <v>1524</v>
      </c>
      <c r="G447" s="111" t="s">
        <v>1509</v>
      </c>
    </row>
    <row r="448" customFormat="false" ht="23.85" hidden="false" customHeight="false" outlineLevel="0" collapsed="false">
      <c r="A448" s="109" t="s">
        <v>85</v>
      </c>
      <c r="B448" s="109" t="s">
        <v>90</v>
      </c>
      <c r="C448" s="109" t="s">
        <v>332</v>
      </c>
      <c r="D448" s="109" t="s">
        <v>59</v>
      </c>
      <c r="E448" s="110" t="s">
        <v>18</v>
      </c>
      <c r="F448" s="109" t="s">
        <v>1525</v>
      </c>
      <c r="G448" s="111" t="s">
        <v>1526</v>
      </c>
    </row>
    <row r="449" customFormat="false" ht="15" hidden="false" customHeight="false" outlineLevel="0" collapsed="false">
      <c r="A449" s="109" t="s">
        <v>85</v>
      </c>
      <c r="B449" s="109" t="s">
        <v>90</v>
      </c>
      <c r="C449" s="109" t="s">
        <v>332</v>
      </c>
      <c r="D449" s="109" t="s">
        <v>63</v>
      </c>
      <c r="E449" s="114" t="s">
        <v>22</v>
      </c>
      <c r="F449" s="109" t="s">
        <v>1527</v>
      </c>
      <c r="G449" s="111" t="s">
        <v>1528</v>
      </c>
    </row>
    <row r="450" customFormat="false" ht="23.85" hidden="false" customHeight="false" outlineLevel="0" collapsed="false">
      <c r="A450" s="109" t="s">
        <v>85</v>
      </c>
      <c r="B450" s="109" t="s">
        <v>90</v>
      </c>
      <c r="C450" s="109" t="s">
        <v>332</v>
      </c>
      <c r="D450" s="109" t="s">
        <v>67</v>
      </c>
      <c r="E450" s="114" t="s">
        <v>22</v>
      </c>
      <c r="F450" s="109" t="s">
        <v>1529</v>
      </c>
      <c r="G450" s="111" t="s">
        <v>1498</v>
      </c>
    </row>
    <row r="451" customFormat="false" ht="15" hidden="false" customHeight="false" outlineLevel="0" collapsed="false">
      <c r="A451" s="109" t="s">
        <v>85</v>
      </c>
      <c r="B451" s="109" t="s">
        <v>90</v>
      </c>
      <c r="C451" s="109" t="s">
        <v>332</v>
      </c>
      <c r="D451" s="109" t="s">
        <v>71</v>
      </c>
      <c r="E451" s="114" t="s">
        <v>22</v>
      </c>
      <c r="F451" s="109" t="s">
        <v>1530</v>
      </c>
      <c r="G451" s="111" t="s">
        <v>1441</v>
      </c>
    </row>
    <row r="452" customFormat="false" ht="23.85" hidden="false" customHeight="false" outlineLevel="0" collapsed="false">
      <c r="A452" s="109" t="s">
        <v>85</v>
      </c>
      <c r="B452" s="109" t="s">
        <v>90</v>
      </c>
      <c r="C452" s="109" t="s">
        <v>334</v>
      </c>
      <c r="D452" s="109" t="s">
        <v>35</v>
      </c>
      <c r="E452" s="115" t="s">
        <v>20</v>
      </c>
      <c r="F452" s="109" t="s">
        <v>1531</v>
      </c>
      <c r="G452" s="111" t="s">
        <v>1532</v>
      </c>
    </row>
    <row r="453" customFormat="false" ht="15" hidden="false" customHeight="false" outlineLevel="0" collapsed="false">
      <c r="A453" s="109" t="s">
        <v>85</v>
      </c>
      <c r="B453" s="109" t="s">
        <v>90</v>
      </c>
      <c r="C453" s="109" t="s">
        <v>334</v>
      </c>
      <c r="D453" s="109" t="s">
        <v>39</v>
      </c>
      <c r="E453" s="115" t="s">
        <v>20</v>
      </c>
      <c r="F453" s="109" t="s">
        <v>1533</v>
      </c>
      <c r="G453" s="111" t="s">
        <v>1520</v>
      </c>
    </row>
    <row r="454" customFormat="false" ht="23.85" hidden="false" customHeight="false" outlineLevel="0" collapsed="false">
      <c r="A454" s="109" t="s">
        <v>85</v>
      </c>
      <c r="B454" s="109" t="s">
        <v>90</v>
      </c>
      <c r="C454" s="109" t="s">
        <v>334</v>
      </c>
      <c r="D454" s="109" t="s">
        <v>43</v>
      </c>
      <c r="E454" s="112" t="s">
        <v>16</v>
      </c>
      <c r="F454" s="109" t="s">
        <v>1534</v>
      </c>
      <c r="G454" s="111" t="s">
        <v>1488</v>
      </c>
    </row>
    <row r="455" customFormat="false" ht="23.85" hidden="false" customHeight="false" outlineLevel="0" collapsed="false">
      <c r="A455" s="109" t="s">
        <v>85</v>
      </c>
      <c r="B455" s="109" t="s">
        <v>90</v>
      </c>
      <c r="C455" s="109" t="s">
        <v>334</v>
      </c>
      <c r="D455" s="109" t="s">
        <v>47</v>
      </c>
      <c r="E455" s="114" t="s">
        <v>22</v>
      </c>
      <c r="F455" s="109" t="s">
        <v>1535</v>
      </c>
      <c r="G455" s="111" t="s">
        <v>1536</v>
      </c>
    </row>
    <row r="456" customFormat="false" ht="15" hidden="false" customHeight="false" outlineLevel="0" collapsed="false">
      <c r="A456" s="109" t="s">
        <v>85</v>
      </c>
      <c r="B456" s="109" t="s">
        <v>90</v>
      </c>
      <c r="C456" s="109" t="s">
        <v>334</v>
      </c>
      <c r="D456" s="109" t="s">
        <v>51</v>
      </c>
      <c r="E456" s="112" t="s">
        <v>16</v>
      </c>
      <c r="F456" s="109" t="s">
        <v>1537</v>
      </c>
      <c r="G456" s="111" t="s">
        <v>1491</v>
      </c>
    </row>
    <row r="457" customFormat="false" ht="15" hidden="false" customHeight="false" outlineLevel="0" collapsed="false">
      <c r="A457" s="109" t="s">
        <v>85</v>
      </c>
      <c r="B457" s="109" t="s">
        <v>90</v>
      </c>
      <c r="C457" s="109" t="s">
        <v>334</v>
      </c>
      <c r="D457" s="109" t="s">
        <v>55</v>
      </c>
      <c r="E457" s="115" t="s">
        <v>20</v>
      </c>
      <c r="F457" s="109" t="s">
        <v>1538</v>
      </c>
      <c r="G457" s="111" t="s">
        <v>1509</v>
      </c>
    </row>
    <row r="458" customFormat="false" ht="15" hidden="false" customHeight="false" outlineLevel="0" collapsed="false">
      <c r="A458" s="109" t="s">
        <v>85</v>
      </c>
      <c r="B458" s="109" t="s">
        <v>90</v>
      </c>
      <c r="C458" s="109" t="s">
        <v>334</v>
      </c>
      <c r="D458" s="109" t="s">
        <v>59</v>
      </c>
      <c r="E458" s="110" t="s">
        <v>18</v>
      </c>
      <c r="F458" s="109" t="s">
        <v>1539</v>
      </c>
      <c r="G458" s="111" t="s">
        <v>1526</v>
      </c>
    </row>
    <row r="459" customFormat="false" ht="23.85" hidden="false" customHeight="false" outlineLevel="0" collapsed="false">
      <c r="A459" s="109" t="s">
        <v>85</v>
      </c>
      <c r="B459" s="109" t="s">
        <v>90</v>
      </c>
      <c r="C459" s="109" t="s">
        <v>334</v>
      </c>
      <c r="D459" s="109" t="s">
        <v>63</v>
      </c>
      <c r="E459" s="112" t="s">
        <v>16</v>
      </c>
      <c r="F459" s="109" t="s">
        <v>1540</v>
      </c>
      <c r="G459" s="111" t="s">
        <v>1541</v>
      </c>
    </row>
    <row r="460" customFormat="false" ht="23.85" hidden="false" customHeight="false" outlineLevel="0" collapsed="false">
      <c r="A460" s="109" t="s">
        <v>85</v>
      </c>
      <c r="B460" s="109" t="s">
        <v>90</v>
      </c>
      <c r="C460" s="109" t="s">
        <v>334</v>
      </c>
      <c r="D460" s="109" t="s">
        <v>67</v>
      </c>
      <c r="E460" s="114" t="s">
        <v>22</v>
      </c>
      <c r="F460" s="109" t="s">
        <v>1542</v>
      </c>
      <c r="G460" s="111" t="s">
        <v>1498</v>
      </c>
    </row>
    <row r="461" customFormat="false" ht="15" hidden="false" customHeight="false" outlineLevel="0" collapsed="false">
      <c r="A461" s="109" t="s">
        <v>85</v>
      </c>
      <c r="B461" s="109" t="s">
        <v>90</v>
      </c>
      <c r="C461" s="109" t="s">
        <v>334</v>
      </c>
      <c r="D461" s="109" t="s">
        <v>71</v>
      </c>
      <c r="E461" s="113" t="s">
        <v>24</v>
      </c>
      <c r="F461" s="109" t="s">
        <v>1543</v>
      </c>
      <c r="G461" s="111" t="s">
        <v>1441</v>
      </c>
    </row>
    <row r="462" customFormat="false" ht="23.85" hidden="false" customHeight="false" outlineLevel="0" collapsed="false">
      <c r="A462" s="109" t="s">
        <v>85</v>
      </c>
      <c r="B462" s="109" t="s">
        <v>90</v>
      </c>
      <c r="C462" s="109" t="s">
        <v>336</v>
      </c>
      <c r="D462" s="109" t="s">
        <v>35</v>
      </c>
      <c r="E462" s="110" t="s">
        <v>18</v>
      </c>
      <c r="F462" s="109" t="s">
        <v>1544</v>
      </c>
      <c r="G462" s="111" t="s">
        <v>1545</v>
      </c>
    </row>
    <row r="463" customFormat="false" ht="23.85" hidden="false" customHeight="false" outlineLevel="0" collapsed="false">
      <c r="A463" s="109" t="s">
        <v>85</v>
      </c>
      <c r="B463" s="109" t="s">
        <v>90</v>
      </c>
      <c r="C463" s="109" t="s">
        <v>336</v>
      </c>
      <c r="D463" s="109" t="s">
        <v>39</v>
      </c>
      <c r="E463" s="115" t="s">
        <v>20</v>
      </c>
      <c r="F463" s="109" t="s">
        <v>1546</v>
      </c>
      <c r="G463" s="111" t="s">
        <v>1547</v>
      </c>
    </row>
    <row r="464" customFormat="false" ht="23.85" hidden="false" customHeight="false" outlineLevel="0" collapsed="false">
      <c r="A464" s="109" t="s">
        <v>85</v>
      </c>
      <c r="B464" s="109" t="s">
        <v>90</v>
      </c>
      <c r="C464" s="109" t="s">
        <v>336</v>
      </c>
      <c r="D464" s="109" t="s">
        <v>43</v>
      </c>
      <c r="E464" s="115" t="s">
        <v>20</v>
      </c>
      <c r="F464" s="109" t="s">
        <v>1548</v>
      </c>
      <c r="G464" s="111" t="s">
        <v>1549</v>
      </c>
    </row>
    <row r="465" customFormat="false" ht="23.85" hidden="false" customHeight="false" outlineLevel="0" collapsed="false">
      <c r="A465" s="109" t="s">
        <v>85</v>
      </c>
      <c r="B465" s="109" t="s">
        <v>90</v>
      </c>
      <c r="C465" s="109" t="s">
        <v>336</v>
      </c>
      <c r="D465" s="109" t="s">
        <v>47</v>
      </c>
      <c r="E465" s="115" t="s">
        <v>20</v>
      </c>
      <c r="F465" s="109" t="s">
        <v>1550</v>
      </c>
      <c r="G465" s="111" t="s">
        <v>1536</v>
      </c>
    </row>
    <row r="466" customFormat="false" ht="23.85" hidden="false" customHeight="false" outlineLevel="0" collapsed="false">
      <c r="A466" s="109" t="s">
        <v>85</v>
      </c>
      <c r="B466" s="109" t="s">
        <v>90</v>
      </c>
      <c r="C466" s="109" t="s">
        <v>336</v>
      </c>
      <c r="D466" s="109" t="s">
        <v>51</v>
      </c>
      <c r="E466" s="112" t="s">
        <v>16</v>
      </c>
      <c r="F466" s="109" t="s">
        <v>1551</v>
      </c>
      <c r="G466" s="111" t="s">
        <v>1491</v>
      </c>
    </row>
    <row r="467" customFormat="false" ht="23.85" hidden="false" customHeight="false" outlineLevel="0" collapsed="false">
      <c r="A467" s="109" t="s">
        <v>85</v>
      </c>
      <c r="B467" s="109" t="s">
        <v>90</v>
      </c>
      <c r="C467" s="109" t="s">
        <v>336</v>
      </c>
      <c r="D467" s="109" t="s">
        <v>55</v>
      </c>
      <c r="E467" s="114" t="s">
        <v>22</v>
      </c>
      <c r="F467" s="109" t="s">
        <v>1552</v>
      </c>
      <c r="G467" s="111" t="s">
        <v>1553</v>
      </c>
    </row>
    <row r="468" customFormat="false" ht="23.85" hidden="false" customHeight="false" outlineLevel="0" collapsed="false">
      <c r="A468" s="109" t="s">
        <v>85</v>
      </c>
      <c r="B468" s="109" t="s">
        <v>90</v>
      </c>
      <c r="C468" s="109" t="s">
        <v>336</v>
      </c>
      <c r="D468" s="109" t="s">
        <v>59</v>
      </c>
      <c r="E468" s="110" t="s">
        <v>18</v>
      </c>
      <c r="F468" s="109" t="s">
        <v>1554</v>
      </c>
      <c r="G468" s="111" t="s">
        <v>1555</v>
      </c>
    </row>
    <row r="469" customFormat="false" ht="23.85" hidden="false" customHeight="false" outlineLevel="0" collapsed="false">
      <c r="A469" s="109" t="s">
        <v>85</v>
      </c>
      <c r="B469" s="109" t="s">
        <v>90</v>
      </c>
      <c r="C469" s="109" t="s">
        <v>336</v>
      </c>
      <c r="D469" s="109" t="s">
        <v>63</v>
      </c>
      <c r="E469" s="115" t="s">
        <v>20</v>
      </c>
      <c r="F469" s="109" t="s">
        <v>1556</v>
      </c>
      <c r="G469" s="111" t="s">
        <v>1557</v>
      </c>
    </row>
    <row r="470" customFormat="false" ht="23.85" hidden="false" customHeight="false" outlineLevel="0" collapsed="false">
      <c r="A470" s="109" t="s">
        <v>85</v>
      </c>
      <c r="B470" s="109" t="s">
        <v>90</v>
      </c>
      <c r="C470" s="109" t="s">
        <v>336</v>
      </c>
      <c r="D470" s="109" t="s">
        <v>67</v>
      </c>
      <c r="E470" s="114" t="s">
        <v>22</v>
      </c>
      <c r="F470" s="109" t="s">
        <v>1558</v>
      </c>
      <c r="G470" s="111" t="s">
        <v>1498</v>
      </c>
    </row>
    <row r="471" customFormat="false" ht="23.85" hidden="false" customHeight="false" outlineLevel="0" collapsed="false">
      <c r="A471" s="109" t="s">
        <v>85</v>
      </c>
      <c r="B471" s="109" t="s">
        <v>90</v>
      </c>
      <c r="C471" s="109" t="s">
        <v>336</v>
      </c>
      <c r="D471" s="109" t="s">
        <v>71</v>
      </c>
      <c r="E471" s="113" t="s">
        <v>24</v>
      </c>
      <c r="F471" s="109" t="s">
        <v>1559</v>
      </c>
      <c r="G471" s="109"/>
    </row>
    <row r="472" customFormat="false" ht="23.85" hidden="false" customHeight="false" outlineLevel="0" collapsed="false">
      <c r="A472" s="109" t="s">
        <v>85</v>
      </c>
      <c r="B472" s="109" t="s">
        <v>90</v>
      </c>
      <c r="C472" s="109" t="s">
        <v>338</v>
      </c>
      <c r="D472" s="109" t="s">
        <v>35</v>
      </c>
      <c r="E472" s="110" t="s">
        <v>18</v>
      </c>
      <c r="F472" s="109" t="s">
        <v>1560</v>
      </c>
      <c r="G472" s="111" t="s">
        <v>1545</v>
      </c>
    </row>
    <row r="473" customFormat="false" ht="23.85" hidden="false" customHeight="false" outlineLevel="0" collapsed="false">
      <c r="A473" s="109" t="s">
        <v>85</v>
      </c>
      <c r="B473" s="109" t="s">
        <v>90</v>
      </c>
      <c r="C473" s="109" t="s">
        <v>338</v>
      </c>
      <c r="D473" s="109" t="s">
        <v>39</v>
      </c>
      <c r="E473" s="115" t="s">
        <v>20</v>
      </c>
      <c r="F473" s="109" t="s">
        <v>1561</v>
      </c>
      <c r="G473" s="111" t="s">
        <v>1562</v>
      </c>
    </row>
    <row r="474" customFormat="false" ht="23.85" hidden="false" customHeight="false" outlineLevel="0" collapsed="false">
      <c r="A474" s="109" t="s">
        <v>85</v>
      </c>
      <c r="B474" s="109" t="s">
        <v>90</v>
      </c>
      <c r="C474" s="109" t="s">
        <v>338</v>
      </c>
      <c r="D474" s="109" t="s">
        <v>43</v>
      </c>
      <c r="E474" s="114" t="s">
        <v>22</v>
      </c>
      <c r="F474" s="109" t="s">
        <v>1563</v>
      </c>
      <c r="G474" s="111" t="s">
        <v>1564</v>
      </c>
    </row>
    <row r="475" customFormat="false" ht="23.85" hidden="false" customHeight="false" outlineLevel="0" collapsed="false">
      <c r="A475" s="109" t="s">
        <v>85</v>
      </c>
      <c r="B475" s="109" t="s">
        <v>90</v>
      </c>
      <c r="C475" s="109" t="s">
        <v>338</v>
      </c>
      <c r="D475" s="109" t="s">
        <v>47</v>
      </c>
      <c r="E475" s="114" t="s">
        <v>22</v>
      </c>
      <c r="F475" s="109" t="s">
        <v>1565</v>
      </c>
      <c r="G475" s="111" t="s">
        <v>1566</v>
      </c>
    </row>
    <row r="476" customFormat="false" ht="23.85" hidden="false" customHeight="false" outlineLevel="0" collapsed="false">
      <c r="A476" s="109" t="s">
        <v>85</v>
      </c>
      <c r="B476" s="109" t="s">
        <v>90</v>
      </c>
      <c r="C476" s="109" t="s">
        <v>338</v>
      </c>
      <c r="D476" s="109" t="s">
        <v>51</v>
      </c>
      <c r="E476" s="114" t="s">
        <v>22</v>
      </c>
      <c r="F476" s="109" t="s">
        <v>1567</v>
      </c>
      <c r="G476" s="111" t="s">
        <v>1491</v>
      </c>
    </row>
    <row r="477" customFormat="false" ht="15" hidden="false" customHeight="false" outlineLevel="0" collapsed="false">
      <c r="A477" s="109" t="s">
        <v>85</v>
      </c>
      <c r="B477" s="109" t="s">
        <v>90</v>
      </c>
      <c r="C477" s="109" t="s">
        <v>338</v>
      </c>
      <c r="D477" s="109" t="s">
        <v>55</v>
      </c>
      <c r="E477" s="114" t="s">
        <v>22</v>
      </c>
      <c r="F477" s="109" t="s">
        <v>1568</v>
      </c>
      <c r="G477" s="111" t="s">
        <v>1569</v>
      </c>
    </row>
    <row r="478" customFormat="false" ht="23.85" hidden="false" customHeight="false" outlineLevel="0" collapsed="false">
      <c r="A478" s="109" t="s">
        <v>85</v>
      </c>
      <c r="B478" s="109" t="s">
        <v>90</v>
      </c>
      <c r="C478" s="109" t="s">
        <v>338</v>
      </c>
      <c r="D478" s="109" t="s">
        <v>59</v>
      </c>
      <c r="E478" s="114" t="s">
        <v>22</v>
      </c>
      <c r="F478" s="109" t="s">
        <v>1570</v>
      </c>
      <c r="G478" s="111" t="s">
        <v>1571</v>
      </c>
    </row>
    <row r="479" customFormat="false" ht="15" hidden="false" customHeight="false" outlineLevel="0" collapsed="false">
      <c r="A479" s="109" t="s">
        <v>85</v>
      </c>
      <c r="B479" s="109" t="s">
        <v>90</v>
      </c>
      <c r="C479" s="109" t="s">
        <v>338</v>
      </c>
      <c r="D479" s="109" t="s">
        <v>63</v>
      </c>
      <c r="E479" s="112" t="s">
        <v>16</v>
      </c>
      <c r="F479" s="109" t="s">
        <v>1572</v>
      </c>
      <c r="G479" s="111" t="s">
        <v>1528</v>
      </c>
    </row>
    <row r="480" customFormat="false" ht="15" hidden="false" customHeight="false" outlineLevel="0" collapsed="false">
      <c r="A480" s="109" t="s">
        <v>85</v>
      </c>
      <c r="B480" s="109" t="s">
        <v>90</v>
      </c>
      <c r="C480" s="109" t="s">
        <v>338</v>
      </c>
      <c r="D480" s="109" t="s">
        <v>67</v>
      </c>
      <c r="E480" s="114" t="s">
        <v>22</v>
      </c>
      <c r="F480" s="109" t="s">
        <v>1573</v>
      </c>
      <c r="G480" s="111" t="s">
        <v>1498</v>
      </c>
    </row>
    <row r="481" customFormat="false" ht="15" hidden="false" customHeight="false" outlineLevel="0" collapsed="false">
      <c r="A481" s="109" t="s">
        <v>85</v>
      </c>
      <c r="B481" s="109" t="s">
        <v>90</v>
      </c>
      <c r="C481" s="109" t="s">
        <v>338</v>
      </c>
      <c r="D481" s="109" t="s">
        <v>71</v>
      </c>
      <c r="E481" s="114" t="s">
        <v>22</v>
      </c>
      <c r="F481" s="109" t="s">
        <v>1574</v>
      </c>
      <c r="G481" s="111" t="s">
        <v>884</v>
      </c>
    </row>
    <row r="482" customFormat="false" ht="23.85" hidden="false" customHeight="false" outlineLevel="0" collapsed="false">
      <c r="A482" s="109" t="s">
        <v>85</v>
      </c>
      <c r="B482" s="109" t="s">
        <v>91</v>
      </c>
      <c r="C482" s="109" t="s">
        <v>340</v>
      </c>
      <c r="D482" s="109" t="s">
        <v>35</v>
      </c>
      <c r="E482" s="110" t="s">
        <v>18</v>
      </c>
      <c r="F482" s="109" t="s">
        <v>1575</v>
      </c>
      <c r="G482" s="111" t="s">
        <v>1576</v>
      </c>
    </row>
    <row r="483" customFormat="false" ht="23.85" hidden="false" customHeight="false" outlineLevel="0" collapsed="false">
      <c r="A483" s="109" t="s">
        <v>85</v>
      </c>
      <c r="B483" s="109" t="s">
        <v>91</v>
      </c>
      <c r="C483" s="109" t="s">
        <v>340</v>
      </c>
      <c r="D483" s="109" t="s">
        <v>39</v>
      </c>
      <c r="E483" s="115" t="s">
        <v>20</v>
      </c>
      <c r="F483" s="109" t="s">
        <v>1577</v>
      </c>
      <c r="G483" s="111" t="s">
        <v>1578</v>
      </c>
    </row>
    <row r="484" customFormat="false" ht="15" hidden="false" customHeight="false" outlineLevel="0" collapsed="false">
      <c r="A484" s="109" t="s">
        <v>85</v>
      </c>
      <c r="B484" s="109" t="s">
        <v>91</v>
      </c>
      <c r="C484" s="109" t="s">
        <v>340</v>
      </c>
      <c r="D484" s="109" t="s">
        <v>43</v>
      </c>
      <c r="E484" s="115" t="s">
        <v>20</v>
      </c>
      <c r="F484" s="109" t="s">
        <v>1579</v>
      </c>
      <c r="G484" s="111" t="s">
        <v>1580</v>
      </c>
    </row>
    <row r="485" customFormat="false" ht="23.85" hidden="false" customHeight="false" outlineLevel="0" collapsed="false">
      <c r="A485" s="109" t="s">
        <v>85</v>
      </c>
      <c r="B485" s="109" t="s">
        <v>91</v>
      </c>
      <c r="C485" s="109" t="s">
        <v>340</v>
      </c>
      <c r="D485" s="109" t="s">
        <v>47</v>
      </c>
      <c r="E485" s="115" t="s">
        <v>20</v>
      </c>
      <c r="F485" s="109" t="s">
        <v>1581</v>
      </c>
      <c r="G485" s="111" t="s">
        <v>1582</v>
      </c>
    </row>
    <row r="486" customFormat="false" ht="23.85" hidden="false" customHeight="false" outlineLevel="0" collapsed="false">
      <c r="A486" s="109" t="s">
        <v>85</v>
      </c>
      <c r="B486" s="109" t="s">
        <v>91</v>
      </c>
      <c r="C486" s="109" t="s">
        <v>340</v>
      </c>
      <c r="D486" s="109" t="s">
        <v>51</v>
      </c>
      <c r="E486" s="112" t="s">
        <v>16</v>
      </c>
      <c r="F486" s="109" t="s">
        <v>1583</v>
      </c>
      <c r="G486" s="111" t="s">
        <v>1584</v>
      </c>
    </row>
    <row r="487" customFormat="false" ht="23.85" hidden="false" customHeight="false" outlineLevel="0" collapsed="false">
      <c r="A487" s="109" t="s">
        <v>85</v>
      </c>
      <c r="B487" s="109" t="s">
        <v>91</v>
      </c>
      <c r="C487" s="109" t="s">
        <v>340</v>
      </c>
      <c r="D487" s="109" t="s">
        <v>55</v>
      </c>
      <c r="E487" s="114" t="s">
        <v>22</v>
      </c>
      <c r="F487" s="109" t="s">
        <v>1585</v>
      </c>
      <c r="G487" s="111" t="s">
        <v>1586</v>
      </c>
    </row>
    <row r="488" customFormat="false" ht="23.85" hidden="false" customHeight="false" outlineLevel="0" collapsed="false">
      <c r="A488" s="109" t="s">
        <v>85</v>
      </c>
      <c r="B488" s="109" t="s">
        <v>91</v>
      </c>
      <c r="C488" s="109" t="s">
        <v>340</v>
      </c>
      <c r="D488" s="109" t="s">
        <v>59</v>
      </c>
      <c r="E488" s="114" t="s">
        <v>22</v>
      </c>
      <c r="F488" s="109" t="s">
        <v>1587</v>
      </c>
      <c r="G488" s="111" t="s">
        <v>1588</v>
      </c>
    </row>
    <row r="489" customFormat="false" ht="23.85" hidden="false" customHeight="false" outlineLevel="0" collapsed="false">
      <c r="A489" s="109" t="s">
        <v>85</v>
      </c>
      <c r="B489" s="109" t="s">
        <v>91</v>
      </c>
      <c r="C489" s="109" t="s">
        <v>340</v>
      </c>
      <c r="D489" s="109" t="s">
        <v>63</v>
      </c>
      <c r="E489" s="110" t="s">
        <v>18</v>
      </c>
      <c r="F489" s="109" t="s">
        <v>1589</v>
      </c>
      <c r="G489" s="111" t="s">
        <v>1590</v>
      </c>
    </row>
    <row r="490" customFormat="false" ht="23.85" hidden="false" customHeight="false" outlineLevel="0" collapsed="false">
      <c r="A490" s="109" t="s">
        <v>85</v>
      </c>
      <c r="B490" s="109" t="s">
        <v>91</v>
      </c>
      <c r="C490" s="109" t="s">
        <v>340</v>
      </c>
      <c r="D490" s="109" t="s">
        <v>67</v>
      </c>
      <c r="E490" s="114" t="s">
        <v>22</v>
      </c>
      <c r="F490" s="109" t="s">
        <v>1591</v>
      </c>
      <c r="G490" s="111" t="s">
        <v>1592</v>
      </c>
    </row>
    <row r="491" customFormat="false" ht="23.85" hidden="false" customHeight="false" outlineLevel="0" collapsed="false">
      <c r="A491" s="109" t="s">
        <v>85</v>
      </c>
      <c r="B491" s="109" t="s">
        <v>91</v>
      </c>
      <c r="C491" s="109" t="s">
        <v>340</v>
      </c>
      <c r="D491" s="109" t="s">
        <v>71</v>
      </c>
      <c r="E491" s="110" t="s">
        <v>18</v>
      </c>
      <c r="F491" s="109" t="s">
        <v>1593</v>
      </c>
      <c r="G491" s="111" t="s">
        <v>1594</v>
      </c>
    </row>
    <row r="492" customFormat="false" ht="15" hidden="false" customHeight="false" outlineLevel="0" collapsed="false">
      <c r="A492" s="109" t="s">
        <v>85</v>
      </c>
      <c r="B492" s="109" t="s">
        <v>91</v>
      </c>
      <c r="C492" s="109" t="s">
        <v>342</v>
      </c>
      <c r="D492" s="109" t="s">
        <v>35</v>
      </c>
      <c r="E492" s="110" t="s">
        <v>18</v>
      </c>
      <c r="F492" s="109" t="s">
        <v>1595</v>
      </c>
      <c r="G492" s="111" t="s">
        <v>1576</v>
      </c>
    </row>
    <row r="493" customFormat="false" ht="15" hidden="false" customHeight="false" outlineLevel="0" collapsed="false">
      <c r="A493" s="109" t="s">
        <v>85</v>
      </c>
      <c r="B493" s="109" t="s">
        <v>91</v>
      </c>
      <c r="C493" s="109" t="s">
        <v>342</v>
      </c>
      <c r="D493" s="109" t="s">
        <v>39</v>
      </c>
      <c r="E493" s="115" t="s">
        <v>20</v>
      </c>
      <c r="F493" s="109" t="s">
        <v>1596</v>
      </c>
      <c r="G493" s="111" t="s">
        <v>1597</v>
      </c>
    </row>
    <row r="494" customFormat="false" ht="15" hidden="false" customHeight="false" outlineLevel="0" collapsed="false">
      <c r="A494" s="109" t="s">
        <v>85</v>
      </c>
      <c r="B494" s="109" t="s">
        <v>91</v>
      </c>
      <c r="C494" s="109" t="s">
        <v>342</v>
      </c>
      <c r="D494" s="109" t="s">
        <v>43</v>
      </c>
      <c r="E494" s="115" t="s">
        <v>20</v>
      </c>
      <c r="F494" s="109" t="s">
        <v>1598</v>
      </c>
      <c r="G494" s="111" t="s">
        <v>1580</v>
      </c>
    </row>
    <row r="495" customFormat="false" ht="23.85" hidden="false" customHeight="false" outlineLevel="0" collapsed="false">
      <c r="A495" s="109" t="s">
        <v>85</v>
      </c>
      <c r="B495" s="109" t="s">
        <v>91</v>
      </c>
      <c r="C495" s="109" t="s">
        <v>342</v>
      </c>
      <c r="D495" s="109" t="s">
        <v>47</v>
      </c>
      <c r="E495" s="115" t="s">
        <v>20</v>
      </c>
      <c r="F495" s="109" t="s">
        <v>1599</v>
      </c>
      <c r="G495" s="111" t="s">
        <v>1582</v>
      </c>
    </row>
    <row r="496" customFormat="false" ht="23.85" hidden="false" customHeight="false" outlineLevel="0" collapsed="false">
      <c r="A496" s="109" t="s">
        <v>85</v>
      </c>
      <c r="B496" s="109" t="s">
        <v>91</v>
      </c>
      <c r="C496" s="109" t="s">
        <v>342</v>
      </c>
      <c r="D496" s="109" t="s">
        <v>51</v>
      </c>
      <c r="E496" s="112" t="s">
        <v>16</v>
      </c>
      <c r="F496" s="109" t="s">
        <v>1600</v>
      </c>
      <c r="G496" s="111" t="s">
        <v>1584</v>
      </c>
    </row>
    <row r="497" customFormat="false" ht="23.85" hidden="false" customHeight="false" outlineLevel="0" collapsed="false">
      <c r="A497" s="109" t="s">
        <v>85</v>
      </c>
      <c r="B497" s="109" t="s">
        <v>91</v>
      </c>
      <c r="C497" s="109" t="s">
        <v>342</v>
      </c>
      <c r="D497" s="109" t="s">
        <v>55</v>
      </c>
      <c r="E497" s="112" t="s">
        <v>16</v>
      </c>
      <c r="F497" s="109" t="s">
        <v>1601</v>
      </c>
      <c r="G497" s="111" t="s">
        <v>859</v>
      </c>
    </row>
    <row r="498" customFormat="false" ht="15" hidden="false" customHeight="false" outlineLevel="0" collapsed="false">
      <c r="A498" s="109" t="s">
        <v>85</v>
      </c>
      <c r="B498" s="109" t="s">
        <v>91</v>
      </c>
      <c r="C498" s="109" t="s">
        <v>342</v>
      </c>
      <c r="D498" s="109" t="s">
        <v>59</v>
      </c>
      <c r="E498" s="110" t="s">
        <v>18</v>
      </c>
      <c r="F498" s="109" t="s">
        <v>1602</v>
      </c>
      <c r="G498" s="111" t="s">
        <v>1603</v>
      </c>
    </row>
    <row r="499" customFormat="false" ht="15" hidden="false" customHeight="false" outlineLevel="0" collapsed="false">
      <c r="A499" s="109" t="s">
        <v>85</v>
      </c>
      <c r="B499" s="109" t="s">
        <v>91</v>
      </c>
      <c r="C499" s="109" t="s">
        <v>342</v>
      </c>
      <c r="D499" s="109" t="s">
        <v>63</v>
      </c>
      <c r="E499" s="110" t="s">
        <v>18</v>
      </c>
      <c r="F499" s="109" t="s">
        <v>1604</v>
      </c>
      <c r="G499" s="111" t="s">
        <v>1590</v>
      </c>
    </row>
    <row r="500" customFormat="false" ht="15" hidden="false" customHeight="false" outlineLevel="0" collapsed="false">
      <c r="A500" s="109" t="s">
        <v>85</v>
      </c>
      <c r="B500" s="109" t="s">
        <v>91</v>
      </c>
      <c r="C500" s="109" t="s">
        <v>342</v>
      </c>
      <c r="D500" s="109" t="s">
        <v>67</v>
      </c>
      <c r="E500" s="112" t="s">
        <v>16</v>
      </c>
      <c r="F500" s="109" t="s">
        <v>1605</v>
      </c>
      <c r="G500" s="111" t="s">
        <v>1592</v>
      </c>
    </row>
    <row r="501" customFormat="false" ht="15" hidden="false" customHeight="false" outlineLevel="0" collapsed="false">
      <c r="A501" s="109" t="s">
        <v>85</v>
      </c>
      <c r="B501" s="109" t="s">
        <v>91</v>
      </c>
      <c r="C501" s="109" t="s">
        <v>342</v>
      </c>
      <c r="D501" s="109" t="s">
        <v>71</v>
      </c>
      <c r="E501" s="110" t="s">
        <v>18</v>
      </c>
      <c r="F501" s="109" t="s">
        <v>1606</v>
      </c>
      <c r="G501" s="111" t="s">
        <v>1594</v>
      </c>
    </row>
    <row r="502" customFormat="false" ht="15" hidden="false" customHeight="false" outlineLevel="0" collapsed="false">
      <c r="A502" s="109" t="s">
        <v>85</v>
      </c>
      <c r="B502" s="109" t="s">
        <v>91</v>
      </c>
      <c r="C502" s="109" t="s">
        <v>344</v>
      </c>
      <c r="D502" s="109" t="s">
        <v>35</v>
      </c>
      <c r="E502" s="110" t="s">
        <v>18</v>
      </c>
      <c r="F502" s="109" t="s">
        <v>1607</v>
      </c>
      <c r="G502" s="111" t="s">
        <v>1576</v>
      </c>
    </row>
    <row r="503" customFormat="false" ht="15" hidden="false" customHeight="false" outlineLevel="0" collapsed="false">
      <c r="A503" s="109" t="s">
        <v>85</v>
      </c>
      <c r="B503" s="109" t="s">
        <v>91</v>
      </c>
      <c r="C503" s="109" t="s">
        <v>344</v>
      </c>
      <c r="D503" s="109" t="s">
        <v>39</v>
      </c>
      <c r="E503" s="115" t="s">
        <v>20</v>
      </c>
      <c r="F503" s="109" t="s">
        <v>1608</v>
      </c>
      <c r="G503" s="111" t="s">
        <v>1578</v>
      </c>
    </row>
    <row r="504" customFormat="false" ht="15" hidden="false" customHeight="false" outlineLevel="0" collapsed="false">
      <c r="A504" s="109" t="s">
        <v>85</v>
      </c>
      <c r="B504" s="109" t="s">
        <v>91</v>
      </c>
      <c r="C504" s="109" t="s">
        <v>344</v>
      </c>
      <c r="D504" s="109" t="s">
        <v>43</v>
      </c>
      <c r="E504" s="110" t="s">
        <v>18</v>
      </c>
      <c r="F504" s="109" t="s">
        <v>1609</v>
      </c>
      <c r="G504" s="111" t="s">
        <v>1610</v>
      </c>
    </row>
    <row r="505" customFormat="false" ht="15" hidden="false" customHeight="false" outlineLevel="0" collapsed="false">
      <c r="A505" s="109" t="s">
        <v>85</v>
      </c>
      <c r="B505" s="109" t="s">
        <v>91</v>
      </c>
      <c r="C505" s="109" t="s">
        <v>344</v>
      </c>
      <c r="D505" s="109" t="s">
        <v>47</v>
      </c>
      <c r="E505" s="115" t="s">
        <v>20</v>
      </c>
      <c r="F505" s="109" t="s">
        <v>1611</v>
      </c>
      <c r="G505" s="111" t="s">
        <v>1612</v>
      </c>
    </row>
    <row r="506" customFormat="false" ht="23.85" hidden="false" customHeight="false" outlineLevel="0" collapsed="false">
      <c r="A506" s="109" t="s">
        <v>85</v>
      </c>
      <c r="B506" s="109" t="s">
        <v>91</v>
      </c>
      <c r="C506" s="109" t="s">
        <v>344</v>
      </c>
      <c r="D506" s="109" t="s">
        <v>51</v>
      </c>
      <c r="E506" s="112" t="s">
        <v>16</v>
      </c>
      <c r="F506" s="109" t="s">
        <v>1613</v>
      </c>
      <c r="G506" s="111" t="s">
        <v>1584</v>
      </c>
    </row>
    <row r="507" customFormat="false" ht="15" hidden="false" customHeight="false" outlineLevel="0" collapsed="false">
      <c r="A507" s="109" t="s">
        <v>85</v>
      </c>
      <c r="B507" s="109" t="s">
        <v>91</v>
      </c>
      <c r="C507" s="109" t="s">
        <v>344</v>
      </c>
      <c r="D507" s="109" t="s">
        <v>55</v>
      </c>
      <c r="E507" s="112" t="s">
        <v>16</v>
      </c>
      <c r="F507" s="109" t="s">
        <v>1614</v>
      </c>
      <c r="G507" s="111" t="s">
        <v>859</v>
      </c>
    </row>
    <row r="508" customFormat="false" ht="15" hidden="false" customHeight="false" outlineLevel="0" collapsed="false">
      <c r="A508" s="109" t="s">
        <v>85</v>
      </c>
      <c r="B508" s="109" t="s">
        <v>91</v>
      </c>
      <c r="C508" s="109" t="s">
        <v>344</v>
      </c>
      <c r="D508" s="109" t="s">
        <v>59</v>
      </c>
      <c r="E508" s="110" t="s">
        <v>18</v>
      </c>
      <c r="F508" s="109" t="s">
        <v>1615</v>
      </c>
      <c r="G508" s="111" t="s">
        <v>1603</v>
      </c>
    </row>
    <row r="509" customFormat="false" ht="15" hidden="false" customHeight="false" outlineLevel="0" collapsed="false">
      <c r="A509" s="109" t="s">
        <v>85</v>
      </c>
      <c r="B509" s="109" t="s">
        <v>91</v>
      </c>
      <c r="C509" s="109" t="s">
        <v>344</v>
      </c>
      <c r="D509" s="109" t="s">
        <v>63</v>
      </c>
      <c r="E509" s="110" t="s">
        <v>18</v>
      </c>
      <c r="F509" s="109" t="s">
        <v>1616</v>
      </c>
      <c r="G509" s="111" t="s">
        <v>1590</v>
      </c>
    </row>
    <row r="510" customFormat="false" ht="15" hidden="false" customHeight="false" outlineLevel="0" collapsed="false">
      <c r="A510" s="109" t="s">
        <v>85</v>
      </c>
      <c r="B510" s="109" t="s">
        <v>91</v>
      </c>
      <c r="C510" s="109" t="s">
        <v>344</v>
      </c>
      <c r="D510" s="109" t="s">
        <v>67</v>
      </c>
      <c r="E510" s="112" t="s">
        <v>16</v>
      </c>
      <c r="F510" s="109" t="s">
        <v>1617</v>
      </c>
      <c r="G510" s="111" t="s">
        <v>1592</v>
      </c>
    </row>
    <row r="511" customFormat="false" ht="15" hidden="false" customHeight="false" outlineLevel="0" collapsed="false">
      <c r="A511" s="109" t="s">
        <v>85</v>
      </c>
      <c r="B511" s="109" t="s">
        <v>91</v>
      </c>
      <c r="C511" s="109" t="s">
        <v>344</v>
      </c>
      <c r="D511" s="109" t="s">
        <v>71</v>
      </c>
      <c r="E511" s="110" t="s">
        <v>18</v>
      </c>
      <c r="F511" s="109" t="s">
        <v>1618</v>
      </c>
      <c r="G511" s="111" t="s">
        <v>1594</v>
      </c>
    </row>
    <row r="512" customFormat="false" ht="15" hidden="false" customHeight="false" outlineLevel="0" collapsed="false">
      <c r="A512" s="109" t="s">
        <v>85</v>
      </c>
      <c r="B512" s="109" t="s">
        <v>91</v>
      </c>
      <c r="C512" s="109" t="s">
        <v>346</v>
      </c>
      <c r="D512" s="109" t="s">
        <v>35</v>
      </c>
      <c r="E512" s="110" t="s">
        <v>18</v>
      </c>
      <c r="F512" s="109" t="s">
        <v>1619</v>
      </c>
      <c r="G512" s="111" t="s">
        <v>1576</v>
      </c>
    </row>
    <row r="513" customFormat="false" ht="15" hidden="false" customHeight="false" outlineLevel="0" collapsed="false">
      <c r="A513" s="109" t="s">
        <v>85</v>
      </c>
      <c r="B513" s="109" t="s">
        <v>91</v>
      </c>
      <c r="C513" s="109" t="s">
        <v>346</v>
      </c>
      <c r="D513" s="109" t="s">
        <v>39</v>
      </c>
      <c r="E513" s="115" t="s">
        <v>20</v>
      </c>
      <c r="F513" s="109" t="s">
        <v>1620</v>
      </c>
      <c r="G513" s="111" t="s">
        <v>1621</v>
      </c>
    </row>
    <row r="514" customFormat="false" ht="23.85" hidden="false" customHeight="false" outlineLevel="0" collapsed="false">
      <c r="A514" s="109" t="s">
        <v>85</v>
      </c>
      <c r="B514" s="109" t="s">
        <v>91</v>
      </c>
      <c r="C514" s="109" t="s">
        <v>346</v>
      </c>
      <c r="D514" s="109" t="s">
        <v>43</v>
      </c>
      <c r="E514" s="110" t="s">
        <v>18</v>
      </c>
      <c r="F514" s="109" t="s">
        <v>1622</v>
      </c>
      <c r="G514" s="111" t="s">
        <v>1623</v>
      </c>
    </row>
    <row r="515" customFormat="false" ht="15" hidden="false" customHeight="false" outlineLevel="0" collapsed="false">
      <c r="A515" s="109" t="s">
        <v>85</v>
      </c>
      <c r="B515" s="109" t="s">
        <v>91</v>
      </c>
      <c r="C515" s="109" t="s">
        <v>346</v>
      </c>
      <c r="D515" s="109" t="s">
        <v>47</v>
      </c>
      <c r="E515" s="115" t="s">
        <v>20</v>
      </c>
      <c r="F515" s="109" t="s">
        <v>1624</v>
      </c>
      <c r="G515" s="111" t="s">
        <v>1612</v>
      </c>
    </row>
    <row r="516" customFormat="false" ht="15" hidden="false" customHeight="false" outlineLevel="0" collapsed="false">
      <c r="A516" s="109" t="s">
        <v>85</v>
      </c>
      <c r="B516" s="109" t="s">
        <v>91</v>
      </c>
      <c r="C516" s="109" t="s">
        <v>346</v>
      </c>
      <c r="D516" s="109" t="s">
        <v>51</v>
      </c>
      <c r="E516" s="112" t="s">
        <v>16</v>
      </c>
      <c r="F516" s="109" t="s">
        <v>1625</v>
      </c>
      <c r="G516" s="111" t="s">
        <v>1584</v>
      </c>
    </row>
    <row r="517" customFormat="false" ht="23.85" hidden="false" customHeight="false" outlineLevel="0" collapsed="false">
      <c r="A517" s="109" t="s">
        <v>85</v>
      </c>
      <c r="B517" s="109" t="s">
        <v>91</v>
      </c>
      <c r="C517" s="109" t="s">
        <v>346</v>
      </c>
      <c r="D517" s="109" t="s">
        <v>55</v>
      </c>
      <c r="E517" s="112" t="s">
        <v>16</v>
      </c>
      <c r="F517" s="109" t="s">
        <v>1626</v>
      </c>
      <c r="G517" s="111" t="s">
        <v>1586</v>
      </c>
    </row>
    <row r="518" customFormat="false" ht="23.85" hidden="false" customHeight="false" outlineLevel="0" collapsed="false">
      <c r="A518" s="109" t="s">
        <v>85</v>
      </c>
      <c r="B518" s="109" t="s">
        <v>91</v>
      </c>
      <c r="C518" s="109" t="s">
        <v>346</v>
      </c>
      <c r="D518" s="109" t="s">
        <v>59</v>
      </c>
      <c r="E518" s="110" t="s">
        <v>18</v>
      </c>
      <c r="F518" s="109" t="s">
        <v>1627</v>
      </c>
      <c r="G518" s="111" t="s">
        <v>1628</v>
      </c>
    </row>
    <row r="519" customFormat="false" ht="15" hidden="false" customHeight="false" outlineLevel="0" collapsed="false">
      <c r="A519" s="109" t="s">
        <v>85</v>
      </c>
      <c r="B519" s="109" t="s">
        <v>91</v>
      </c>
      <c r="C519" s="109" t="s">
        <v>346</v>
      </c>
      <c r="D519" s="109" t="s">
        <v>63</v>
      </c>
      <c r="E519" s="113" t="s">
        <v>24</v>
      </c>
      <c r="F519" s="109" t="s">
        <v>1629</v>
      </c>
      <c r="G519" s="109"/>
    </row>
    <row r="520" customFormat="false" ht="15" hidden="false" customHeight="false" outlineLevel="0" collapsed="false">
      <c r="A520" s="109" t="s">
        <v>85</v>
      </c>
      <c r="B520" s="109" t="s">
        <v>91</v>
      </c>
      <c r="C520" s="109" t="s">
        <v>346</v>
      </c>
      <c r="D520" s="109" t="s">
        <v>67</v>
      </c>
      <c r="E520" s="114" t="s">
        <v>22</v>
      </c>
      <c r="F520" s="109" t="s">
        <v>1630</v>
      </c>
      <c r="G520" s="111" t="s">
        <v>1631</v>
      </c>
    </row>
    <row r="521" customFormat="false" ht="15" hidden="false" customHeight="false" outlineLevel="0" collapsed="false">
      <c r="A521" s="109" t="s">
        <v>85</v>
      </c>
      <c r="B521" s="109" t="s">
        <v>91</v>
      </c>
      <c r="C521" s="109" t="s">
        <v>346</v>
      </c>
      <c r="D521" s="109" t="s">
        <v>71</v>
      </c>
      <c r="E521" s="116" t="s">
        <v>26</v>
      </c>
      <c r="F521" s="109" t="s">
        <v>1632</v>
      </c>
      <c r="G521" s="109"/>
    </row>
    <row r="522" customFormat="false" ht="15" hidden="false" customHeight="false" outlineLevel="0" collapsed="false">
      <c r="A522" s="109" t="s">
        <v>85</v>
      </c>
      <c r="B522" s="109" t="s">
        <v>91</v>
      </c>
      <c r="C522" s="109" t="s">
        <v>348</v>
      </c>
      <c r="D522" s="109" t="s">
        <v>35</v>
      </c>
      <c r="E522" s="110" t="s">
        <v>18</v>
      </c>
      <c r="F522" s="109" t="s">
        <v>1633</v>
      </c>
      <c r="G522" s="111" t="s">
        <v>1576</v>
      </c>
    </row>
    <row r="523" customFormat="false" ht="15" hidden="false" customHeight="false" outlineLevel="0" collapsed="false">
      <c r="A523" s="109" t="s">
        <v>85</v>
      </c>
      <c r="B523" s="109" t="s">
        <v>91</v>
      </c>
      <c r="C523" s="109" t="s">
        <v>348</v>
      </c>
      <c r="D523" s="109" t="s">
        <v>39</v>
      </c>
      <c r="E523" s="115" t="s">
        <v>20</v>
      </c>
      <c r="F523" s="109" t="s">
        <v>1634</v>
      </c>
      <c r="G523" s="111" t="s">
        <v>1578</v>
      </c>
    </row>
    <row r="524" customFormat="false" ht="15" hidden="false" customHeight="false" outlineLevel="0" collapsed="false">
      <c r="A524" s="109" t="s">
        <v>85</v>
      </c>
      <c r="B524" s="109" t="s">
        <v>91</v>
      </c>
      <c r="C524" s="109" t="s">
        <v>348</v>
      </c>
      <c r="D524" s="109" t="s">
        <v>43</v>
      </c>
      <c r="E524" s="115" t="s">
        <v>20</v>
      </c>
      <c r="F524" s="109" t="s">
        <v>1635</v>
      </c>
      <c r="G524" s="111" t="s">
        <v>1580</v>
      </c>
    </row>
    <row r="525" customFormat="false" ht="15" hidden="false" customHeight="false" outlineLevel="0" collapsed="false">
      <c r="A525" s="109" t="s">
        <v>85</v>
      </c>
      <c r="B525" s="109" t="s">
        <v>91</v>
      </c>
      <c r="C525" s="109" t="s">
        <v>348</v>
      </c>
      <c r="D525" s="109" t="s">
        <v>47</v>
      </c>
      <c r="E525" s="115" t="s">
        <v>20</v>
      </c>
      <c r="F525" s="109" t="s">
        <v>1636</v>
      </c>
      <c r="G525" s="111" t="s">
        <v>1582</v>
      </c>
    </row>
    <row r="526" customFormat="false" ht="23.85" hidden="false" customHeight="false" outlineLevel="0" collapsed="false">
      <c r="A526" s="109" t="s">
        <v>85</v>
      </c>
      <c r="B526" s="109" t="s">
        <v>91</v>
      </c>
      <c r="C526" s="109" t="s">
        <v>348</v>
      </c>
      <c r="D526" s="109" t="s">
        <v>51</v>
      </c>
      <c r="E526" s="112" t="s">
        <v>16</v>
      </c>
      <c r="F526" s="109" t="s">
        <v>1637</v>
      </c>
      <c r="G526" s="111" t="s">
        <v>1022</v>
      </c>
    </row>
    <row r="527" customFormat="false" ht="23.85" hidden="false" customHeight="false" outlineLevel="0" collapsed="false">
      <c r="A527" s="109" t="s">
        <v>85</v>
      </c>
      <c r="B527" s="109" t="s">
        <v>91</v>
      </c>
      <c r="C527" s="109" t="s">
        <v>348</v>
      </c>
      <c r="D527" s="109" t="s">
        <v>55</v>
      </c>
      <c r="E527" s="114" t="s">
        <v>22</v>
      </c>
      <c r="F527" s="109" t="s">
        <v>1638</v>
      </c>
      <c r="G527" s="111" t="s">
        <v>859</v>
      </c>
    </row>
    <row r="528" customFormat="false" ht="23.85" hidden="false" customHeight="false" outlineLevel="0" collapsed="false">
      <c r="A528" s="109" t="s">
        <v>85</v>
      </c>
      <c r="B528" s="109" t="s">
        <v>91</v>
      </c>
      <c r="C528" s="109" t="s">
        <v>348</v>
      </c>
      <c r="D528" s="109" t="s">
        <v>59</v>
      </c>
      <c r="E528" s="114" t="s">
        <v>22</v>
      </c>
      <c r="F528" s="109" t="s">
        <v>1639</v>
      </c>
      <c r="G528" s="111" t="s">
        <v>1628</v>
      </c>
    </row>
    <row r="529" customFormat="false" ht="23.85" hidden="false" customHeight="false" outlineLevel="0" collapsed="false">
      <c r="A529" s="109" t="s">
        <v>85</v>
      </c>
      <c r="B529" s="109" t="s">
        <v>91</v>
      </c>
      <c r="C529" s="109" t="s">
        <v>348</v>
      </c>
      <c r="D529" s="109" t="s">
        <v>63</v>
      </c>
      <c r="E529" s="114" t="s">
        <v>22</v>
      </c>
      <c r="F529" s="109" t="s">
        <v>1640</v>
      </c>
      <c r="G529" s="111" t="s">
        <v>1641</v>
      </c>
    </row>
    <row r="530" customFormat="false" ht="15" hidden="false" customHeight="false" outlineLevel="0" collapsed="false">
      <c r="A530" s="109" t="s">
        <v>85</v>
      </c>
      <c r="B530" s="109" t="s">
        <v>91</v>
      </c>
      <c r="C530" s="109" t="s">
        <v>348</v>
      </c>
      <c r="D530" s="109" t="s">
        <v>67</v>
      </c>
      <c r="E530" s="113" t="s">
        <v>24</v>
      </c>
      <c r="F530" s="109" t="s">
        <v>1642</v>
      </c>
      <c r="G530" s="111" t="s">
        <v>1592</v>
      </c>
    </row>
    <row r="531" customFormat="false" ht="15" hidden="false" customHeight="false" outlineLevel="0" collapsed="false">
      <c r="A531" s="109" t="s">
        <v>85</v>
      </c>
      <c r="B531" s="109" t="s">
        <v>91</v>
      </c>
      <c r="C531" s="109" t="s">
        <v>348</v>
      </c>
      <c r="D531" s="109" t="s">
        <v>71</v>
      </c>
      <c r="E531" s="110" t="s">
        <v>18</v>
      </c>
      <c r="F531" s="109" t="s">
        <v>1643</v>
      </c>
      <c r="G531" s="111" t="s">
        <v>1594</v>
      </c>
    </row>
    <row r="532" customFormat="false" ht="15" hidden="false" customHeight="false" outlineLevel="0" collapsed="false">
      <c r="A532" s="109" t="s">
        <v>85</v>
      </c>
      <c r="B532" s="109" t="s">
        <v>91</v>
      </c>
      <c r="C532" s="109" t="s">
        <v>349</v>
      </c>
      <c r="D532" s="109" t="s">
        <v>35</v>
      </c>
      <c r="E532" s="110" t="s">
        <v>18</v>
      </c>
      <c r="F532" s="109" t="s">
        <v>1644</v>
      </c>
      <c r="G532" s="111" t="s">
        <v>1576</v>
      </c>
    </row>
    <row r="533" customFormat="false" ht="15" hidden="false" customHeight="false" outlineLevel="0" collapsed="false">
      <c r="A533" s="109" t="s">
        <v>85</v>
      </c>
      <c r="B533" s="109" t="s">
        <v>91</v>
      </c>
      <c r="C533" s="109" t="s">
        <v>349</v>
      </c>
      <c r="D533" s="109" t="s">
        <v>39</v>
      </c>
      <c r="E533" s="115" t="s">
        <v>20</v>
      </c>
      <c r="F533" s="109" t="s">
        <v>1645</v>
      </c>
      <c r="G533" s="111" t="s">
        <v>1578</v>
      </c>
    </row>
    <row r="534" customFormat="false" ht="23.85" hidden="false" customHeight="false" outlineLevel="0" collapsed="false">
      <c r="A534" s="109" t="s">
        <v>85</v>
      </c>
      <c r="B534" s="109" t="s">
        <v>91</v>
      </c>
      <c r="C534" s="109" t="s">
        <v>349</v>
      </c>
      <c r="D534" s="109" t="s">
        <v>43</v>
      </c>
      <c r="E534" s="110" t="s">
        <v>18</v>
      </c>
      <c r="F534" s="109" t="s">
        <v>1646</v>
      </c>
      <c r="G534" s="111" t="s">
        <v>1647</v>
      </c>
    </row>
    <row r="535" customFormat="false" ht="15" hidden="false" customHeight="false" outlineLevel="0" collapsed="false">
      <c r="A535" s="109" t="s">
        <v>85</v>
      </c>
      <c r="B535" s="109" t="s">
        <v>91</v>
      </c>
      <c r="C535" s="109" t="s">
        <v>349</v>
      </c>
      <c r="D535" s="109" t="s">
        <v>47</v>
      </c>
      <c r="E535" s="115" t="s">
        <v>20</v>
      </c>
      <c r="F535" s="109" t="s">
        <v>1648</v>
      </c>
      <c r="G535" s="111" t="s">
        <v>1582</v>
      </c>
    </row>
    <row r="536" customFormat="false" ht="15" hidden="false" customHeight="false" outlineLevel="0" collapsed="false">
      <c r="A536" s="109" t="s">
        <v>85</v>
      </c>
      <c r="B536" s="109" t="s">
        <v>91</v>
      </c>
      <c r="C536" s="109" t="s">
        <v>349</v>
      </c>
      <c r="D536" s="109" t="s">
        <v>51</v>
      </c>
      <c r="E536" s="112" t="s">
        <v>16</v>
      </c>
      <c r="F536" s="109" t="s">
        <v>1649</v>
      </c>
      <c r="G536" s="111" t="s">
        <v>1584</v>
      </c>
    </row>
    <row r="537" customFormat="false" ht="23.85" hidden="false" customHeight="false" outlineLevel="0" collapsed="false">
      <c r="A537" s="109" t="s">
        <v>85</v>
      </c>
      <c r="B537" s="109" t="s">
        <v>91</v>
      </c>
      <c r="C537" s="109" t="s">
        <v>349</v>
      </c>
      <c r="D537" s="109" t="s">
        <v>55</v>
      </c>
      <c r="E537" s="112" t="s">
        <v>16</v>
      </c>
      <c r="F537" s="109" t="s">
        <v>1650</v>
      </c>
      <c r="G537" s="111" t="s">
        <v>1586</v>
      </c>
    </row>
    <row r="538" customFormat="false" ht="23.85" hidden="false" customHeight="false" outlineLevel="0" collapsed="false">
      <c r="A538" s="109" t="s">
        <v>85</v>
      </c>
      <c r="B538" s="109" t="s">
        <v>91</v>
      </c>
      <c r="C538" s="109" t="s">
        <v>349</v>
      </c>
      <c r="D538" s="109" t="s">
        <v>59</v>
      </c>
      <c r="E538" s="110" t="s">
        <v>18</v>
      </c>
      <c r="F538" s="109" t="s">
        <v>1651</v>
      </c>
      <c r="G538" s="111" t="s">
        <v>1628</v>
      </c>
    </row>
    <row r="539" customFormat="false" ht="15" hidden="false" customHeight="false" outlineLevel="0" collapsed="false">
      <c r="A539" s="109" t="s">
        <v>85</v>
      </c>
      <c r="B539" s="109" t="s">
        <v>91</v>
      </c>
      <c r="C539" s="109" t="s">
        <v>349</v>
      </c>
      <c r="D539" s="109" t="s">
        <v>63</v>
      </c>
      <c r="E539" s="110" t="s">
        <v>18</v>
      </c>
      <c r="F539" s="109" t="s">
        <v>1652</v>
      </c>
      <c r="G539" s="111" t="s">
        <v>1653</v>
      </c>
    </row>
    <row r="540" customFormat="false" ht="15" hidden="false" customHeight="false" outlineLevel="0" collapsed="false">
      <c r="A540" s="109" t="s">
        <v>85</v>
      </c>
      <c r="B540" s="109" t="s">
        <v>91</v>
      </c>
      <c r="C540" s="109" t="s">
        <v>349</v>
      </c>
      <c r="D540" s="109" t="s">
        <v>67</v>
      </c>
      <c r="E540" s="113" t="s">
        <v>24</v>
      </c>
      <c r="F540" s="109" t="s">
        <v>1654</v>
      </c>
      <c r="G540" s="111" t="s">
        <v>1028</v>
      </c>
    </row>
    <row r="541" customFormat="false" ht="15" hidden="false" customHeight="false" outlineLevel="0" collapsed="false">
      <c r="A541" s="109" t="s">
        <v>85</v>
      </c>
      <c r="B541" s="109" t="s">
        <v>91</v>
      </c>
      <c r="C541" s="109" t="s">
        <v>349</v>
      </c>
      <c r="D541" s="109" t="s">
        <v>71</v>
      </c>
      <c r="E541" s="110" t="s">
        <v>18</v>
      </c>
      <c r="F541" s="109" t="s">
        <v>1655</v>
      </c>
      <c r="G541" s="111" t="s">
        <v>1594</v>
      </c>
    </row>
    <row r="542" customFormat="false" ht="15" hidden="false" customHeight="false" outlineLevel="0" collapsed="false">
      <c r="A542" s="109" t="s">
        <v>85</v>
      </c>
      <c r="B542" s="109" t="s">
        <v>91</v>
      </c>
      <c r="C542" s="109" t="s">
        <v>351</v>
      </c>
      <c r="D542" s="109" t="s">
        <v>35</v>
      </c>
      <c r="E542" s="110" t="s">
        <v>18</v>
      </c>
      <c r="F542" s="109" t="s">
        <v>1656</v>
      </c>
      <c r="G542" s="111" t="s">
        <v>1576</v>
      </c>
    </row>
    <row r="543" customFormat="false" ht="15" hidden="false" customHeight="false" outlineLevel="0" collapsed="false">
      <c r="A543" s="109" t="s">
        <v>85</v>
      </c>
      <c r="B543" s="109" t="s">
        <v>91</v>
      </c>
      <c r="C543" s="109" t="s">
        <v>351</v>
      </c>
      <c r="D543" s="109" t="s">
        <v>39</v>
      </c>
      <c r="E543" s="115" t="s">
        <v>20</v>
      </c>
      <c r="F543" s="109" t="s">
        <v>1657</v>
      </c>
      <c r="G543" s="111" t="s">
        <v>1578</v>
      </c>
    </row>
    <row r="544" customFormat="false" ht="15" hidden="false" customHeight="false" outlineLevel="0" collapsed="false">
      <c r="A544" s="109" t="s">
        <v>85</v>
      </c>
      <c r="B544" s="109" t="s">
        <v>91</v>
      </c>
      <c r="C544" s="109" t="s">
        <v>351</v>
      </c>
      <c r="D544" s="109" t="s">
        <v>43</v>
      </c>
      <c r="E544" s="115" t="s">
        <v>20</v>
      </c>
      <c r="F544" s="109" t="s">
        <v>1658</v>
      </c>
      <c r="G544" s="111" t="s">
        <v>1580</v>
      </c>
    </row>
    <row r="545" customFormat="false" ht="15" hidden="false" customHeight="false" outlineLevel="0" collapsed="false">
      <c r="A545" s="109" t="s">
        <v>85</v>
      </c>
      <c r="B545" s="109" t="s">
        <v>91</v>
      </c>
      <c r="C545" s="109" t="s">
        <v>351</v>
      </c>
      <c r="D545" s="109" t="s">
        <v>47</v>
      </c>
      <c r="E545" s="115" t="s">
        <v>20</v>
      </c>
      <c r="F545" s="109" t="s">
        <v>1659</v>
      </c>
      <c r="G545" s="111" t="s">
        <v>1582</v>
      </c>
    </row>
    <row r="546" customFormat="false" ht="15" hidden="false" customHeight="false" outlineLevel="0" collapsed="false">
      <c r="A546" s="109" t="s">
        <v>85</v>
      </c>
      <c r="B546" s="109" t="s">
        <v>91</v>
      </c>
      <c r="C546" s="109" t="s">
        <v>351</v>
      </c>
      <c r="D546" s="109" t="s">
        <v>51</v>
      </c>
      <c r="E546" s="112" t="s">
        <v>16</v>
      </c>
      <c r="F546" s="109" t="s">
        <v>1660</v>
      </c>
      <c r="G546" s="111" t="s">
        <v>1584</v>
      </c>
    </row>
    <row r="547" customFormat="false" ht="15" hidden="false" customHeight="false" outlineLevel="0" collapsed="false">
      <c r="A547" s="109" t="s">
        <v>85</v>
      </c>
      <c r="B547" s="109" t="s">
        <v>91</v>
      </c>
      <c r="C547" s="109" t="s">
        <v>351</v>
      </c>
      <c r="D547" s="109" t="s">
        <v>55</v>
      </c>
      <c r="E547" s="112" t="s">
        <v>16</v>
      </c>
      <c r="F547" s="109" t="s">
        <v>1661</v>
      </c>
      <c r="G547" s="111" t="s">
        <v>1201</v>
      </c>
    </row>
    <row r="548" customFormat="false" ht="15" hidden="false" customHeight="false" outlineLevel="0" collapsed="false">
      <c r="A548" s="109" t="s">
        <v>85</v>
      </c>
      <c r="B548" s="109" t="s">
        <v>91</v>
      </c>
      <c r="C548" s="109" t="s">
        <v>351</v>
      </c>
      <c r="D548" s="109" t="s">
        <v>59</v>
      </c>
      <c r="E548" s="113" t="s">
        <v>24</v>
      </c>
      <c r="F548" s="109" t="s">
        <v>1662</v>
      </c>
      <c r="G548" s="111" t="s">
        <v>1603</v>
      </c>
    </row>
    <row r="549" customFormat="false" ht="23.85" hidden="false" customHeight="false" outlineLevel="0" collapsed="false">
      <c r="A549" s="109" t="s">
        <v>85</v>
      </c>
      <c r="B549" s="109" t="s">
        <v>91</v>
      </c>
      <c r="C549" s="109" t="s">
        <v>351</v>
      </c>
      <c r="D549" s="109" t="s">
        <v>63</v>
      </c>
      <c r="E549" s="110" t="s">
        <v>18</v>
      </c>
      <c r="F549" s="109" t="s">
        <v>1663</v>
      </c>
      <c r="G549" s="111" t="s">
        <v>1664</v>
      </c>
    </row>
    <row r="550" customFormat="false" ht="15" hidden="false" customHeight="false" outlineLevel="0" collapsed="false">
      <c r="A550" s="109" t="s">
        <v>85</v>
      </c>
      <c r="B550" s="109" t="s">
        <v>91</v>
      </c>
      <c r="C550" s="109" t="s">
        <v>351</v>
      </c>
      <c r="D550" s="109" t="s">
        <v>67</v>
      </c>
      <c r="E550" s="113" t="s">
        <v>24</v>
      </c>
      <c r="F550" s="109" t="s">
        <v>1665</v>
      </c>
      <c r="G550" s="111" t="s">
        <v>1666</v>
      </c>
    </row>
    <row r="551" customFormat="false" ht="15" hidden="false" customHeight="false" outlineLevel="0" collapsed="false">
      <c r="A551" s="109" t="s">
        <v>85</v>
      </c>
      <c r="B551" s="109" t="s">
        <v>91</v>
      </c>
      <c r="C551" s="109" t="s">
        <v>351</v>
      </c>
      <c r="D551" s="109" t="s">
        <v>71</v>
      </c>
      <c r="E551" s="110" t="s">
        <v>18</v>
      </c>
      <c r="F551" s="109" t="s">
        <v>1667</v>
      </c>
      <c r="G551" s="111" t="s">
        <v>1594</v>
      </c>
    </row>
    <row r="552" customFormat="false" ht="23.85" hidden="false" customHeight="false" outlineLevel="0" collapsed="false">
      <c r="A552" s="109" t="s">
        <v>92</v>
      </c>
      <c r="B552" s="109" t="s">
        <v>93</v>
      </c>
      <c r="C552" s="109" t="s">
        <v>363</v>
      </c>
      <c r="D552" s="109" t="s">
        <v>35</v>
      </c>
      <c r="E552" s="114" t="s">
        <v>22</v>
      </c>
      <c r="F552" s="109" t="s">
        <v>1668</v>
      </c>
      <c r="G552" s="111" t="s">
        <v>1669</v>
      </c>
    </row>
    <row r="553" customFormat="false" ht="15" hidden="false" customHeight="false" outlineLevel="0" collapsed="false">
      <c r="A553" s="109" t="s">
        <v>92</v>
      </c>
      <c r="B553" s="109" t="s">
        <v>93</v>
      </c>
      <c r="C553" s="109" t="s">
        <v>363</v>
      </c>
      <c r="D553" s="109" t="s">
        <v>39</v>
      </c>
      <c r="E553" s="112" t="s">
        <v>16</v>
      </c>
      <c r="F553" s="109" t="s">
        <v>1670</v>
      </c>
      <c r="G553" s="111" t="s">
        <v>1671</v>
      </c>
    </row>
    <row r="554" customFormat="false" ht="23.85" hidden="false" customHeight="false" outlineLevel="0" collapsed="false">
      <c r="A554" s="109" t="s">
        <v>92</v>
      </c>
      <c r="B554" s="109" t="s">
        <v>93</v>
      </c>
      <c r="C554" s="109" t="s">
        <v>363</v>
      </c>
      <c r="D554" s="109" t="s">
        <v>43</v>
      </c>
      <c r="E554" s="110" t="s">
        <v>18</v>
      </c>
      <c r="F554" s="109" t="s">
        <v>1672</v>
      </c>
      <c r="G554" s="111" t="s">
        <v>1673</v>
      </c>
    </row>
    <row r="555" customFormat="false" ht="15" hidden="false" customHeight="false" outlineLevel="0" collapsed="false">
      <c r="A555" s="109" t="s">
        <v>92</v>
      </c>
      <c r="B555" s="109" t="s">
        <v>93</v>
      </c>
      <c r="C555" s="109" t="s">
        <v>363</v>
      </c>
      <c r="D555" s="109" t="s">
        <v>47</v>
      </c>
      <c r="E555" s="112" t="s">
        <v>16</v>
      </c>
      <c r="F555" s="109" t="s">
        <v>1674</v>
      </c>
      <c r="G555" s="111" t="s">
        <v>1675</v>
      </c>
    </row>
    <row r="556" customFormat="false" ht="15" hidden="false" customHeight="false" outlineLevel="0" collapsed="false">
      <c r="A556" s="109" t="s">
        <v>92</v>
      </c>
      <c r="B556" s="109" t="s">
        <v>93</v>
      </c>
      <c r="C556" s="109" t="s">
        <v>363</v>
      </c>
      <c r="D556" s="109" t="s">
        <v>51</v>
      </c>
      <c r="E556" s="110" t="s">
        <v>18</v>
      </c>
      <c r="F556" s="109" t="s">
        <v>1676</v>
      </c>
      <c r="G556" s="111" t="s">
        <v>1677</v>
      </c>
    </row>
    <row r="557" customFormat="false" ht="15" hidden="false" customHeight="false" outlineLevel="0" collapsed="false">
      <c r="A557" s="109" t="s">
        <v>92</v>
      </c>
      <c r="B557" s="109" t="s">
        <v>93</v>
      </c>
      <c r="C557" s="109" t="s">
        <v>363</v>
      </c>
      <c r="D557" s="109" t="s">
        <v>55</v>
      </c>
      <c r="E557" s="112" t="s">
        <v>16</v>
      </c>
      <c r="F557" s="109" t="s">
        <v>1678</v>
      </c>
      <c r="G557" s="111" t="s">
        <v>1679</v>
      </c>
    </row>
    <row r="558" customFormat="false" ht="15" hidden="false" customHeight="false" outlineLevel="0" collapsed="false">
      <c r="A558" s="109" t="s">
        <v>92</v>
      </c>
      <c r="B558" s="109" t="s">
        <v>93</v>
      </c>
      <c r="C558" s="109" t="s">
        <v>363</v>
      </c>
      <c r="D558" s="109" t="s">
        <v>59</v>
      </c>
      <c r="E558" s="112" t="s">
        <v>16</v>
      </c>
      <c r="F558" s="109" t="s">
        <v>1680</v>
      </c>
      <c r="G558" s="111" t="s">
        <v>1479</v>
      </c>
    </row>
    <row r="559" customFormat="false" ht="23.85" hidden="false" customHeight="false" outlineLevel="0" collapsed="false">
      <c r="A559" s="109" t="s">
        <v>92</v>
      </c>
      <c r="B559" s="109" t="s">
        <v>93</v>
      </c>
      <c r="C559" s="109" t="s">
        <v>363</v>
      </c>
      <c r="D559" s="109" t="s">
        <v>63</v>
      </c>
      <c r="E559" s="114" t="s">
        <v>22</v>
      </c>
      <c r="F559" s="109" t="s">
        <v>1681</v>
      </c>
      <c r="G559" s="111" t="s">
        <v>1682</v>
      </c>
    </row>
    <row r="560" customFormat="false" ht="15" hidden="false" customHeight="false" outlineLevel="0" collapsed="false">
      <c r="A560" s="109" t="s">
        <v>92</v>
      </c>
      <c r="B560" s="109" t="s">
        <v>93</v>
      </c>
      <c r="C560" s="109" t="s">
        <v>363</v>
      </c>
      <c r="D560" s="109" t="s">
        <v>67</v>
      </c>
      <c r="E560" s="112" t="s">
        <v>16</v>
      </c>
      <c r="F560" s="109" t="s">
        <v>1683</v>
      </c>
      <c r="G560" s="111" t="s">
        <v>1684</v>
      </c>
    </row>
    <row r="561" customFormat="false" ht="15" hidden="false" customHeight="false" outlineLevel="0" collapsed="false">
      <c r="A561" s="109" t="s">
        <v>92</v>
      </c>
      <c r="B561" s="109" t="s">
        <v>93</v>
      </c>
      <c r="C561" s="109" t="s">
        <v>363</v>
      </c>
      <c r="D561" s="109" t="s">
        <v>71</v>
      </c>
      <c r="E561" s="115" t="s">
        <v>20</v>
      </c>
      <c r="F561" s="109" t="s">
        <v>1685</v>
      </c>
      <c r="G561" s="111" t="s">
        <v>1686</v>
      </c>
    </row>
    <row r="562" customFormat="false" ht="23.85" hidden="false" customHeight="false" outlineLevel="0" collapsed="false">
      <c r="A562" s="109" t="s">
        <v>92</v>
      </c>
      <c r="B562" s="109" t="s">
        <v>93</v>
      </c>
      <c r="C562" s="109" t="s">
        <v>365</v>
      </c>
      <c r="D562" s="109" t="s">
        <v>35</v>
      </c>
      <c r="E562" s="112" t="s">
        <v>16</v>
      </c>
      <c r="F562" s="109" t="s">
        <v>1687</v>
      </c>
      <c r="G562" s="111" t="s">
        <v>1669</v>
      </c>
    </row>
    <row r="563" customFormat="false" ht="23.85" hidden="false" customHeight="false" outlineLevel="0" collapsed="false">
      <c r="A563" s="109" t="s">
        <v>92</v>
      </c>
      <c r="B563" s="109" t="s">
        <v>93</v>
      </c>
      <c r="C563" s="109" t="s">
        <v>365</v>
      </c>
      <c r="D563" s="109" t="s">
        <v>39</v>
      </c>
      <c r="E563" s="112" t="s">
        <v>16</v>
      </c>
      <c r="F563" s="109" t="s">
        <v>1688</v>
      </c>
      <c r="G563" s="111" t="s">
        <v>1689</v>
      </c>
    </row>
    <row r="564" customFormat="false" ht="23.85" hidden="false" customHeight="false" outlineLevel="0" collapsed="false">
      <c r="A564" s="109" t="s">
        <v>92</v>
      </c>
      <c r="B564" s="109" t="s">
        <v>93</v>
      </c>
      <c r="C564" s="109" t="s">
        <v>365</v>
      </c>
      <c r="D564" s="109" t="s">
        <v>43</v>
      </c>
      <c r="E564" s="110" t="s">
        <v>18</v>
      </c>
      <c r="F564" s="109" t="s">
        <v>1690</v>
      </c>
      <c r="G564" s="111" t="s">
        <v>1691</v>
      </c>
    </row>
    <row r="565" customFormat="false" ht="23.85" hidden="false" customHeight="false" outlineLevel="0" collapsed="false">
      <c r="A565" s="109" t="s">
        <v>92</v>
      </c>
      <c r="B565" s="109" t="s">
        <v>93</v>
      </c>
      <c r="C565" s="109" t="s">
        <v>365</v>
      </c>
      <c r="D565" s="109" t="s">
        <v>47</v>
      </c>
      <c r="E565" s="112" t="s">
        <v>16</v>
      </c>
      <c r="F565" s="109" t="s">
        <v>1692</v>
      </c>
      <c r="G565" s="111" t="s">
        <v>1675</v>
      </c>
    </row>
    <row r="566" customFormat="false" ht="23.85" hidden="false" customHeight="false" outlineLevel="0" collapsed="false">
      <c r="A566" s="109" t="s">
        <v>92</v>
      </c>
      <c r="B566" s="109" t="s">
        <v>93</v>
      </c>
      <c r="C566" s="109" t="s">
        <v>365</v>
      </c>
      <c r="D566" s="109" t="s">
        <v>51</v>
      </c>
      <c r="E566" s="110" t="s">
        <v>18</v>
      </c>
      <c r="F566" s="109" t="s">
        <v>1693</v>
      </c>
      <c r="G566" s="111" t="s">
        <v>1694</v>
      </c>
    </row>
    <row r="567" customFormat="false" ht="23.85" hidden="false" customHeight="false" outlineLevel="0" collapsed="false">
      <c r="A567" s="109" t="s">
        <v>92</v>
      </c>
      <c r="B567" s="109" t="s">
        <v>93</v>
      </c>
      <c r="C567" s="109" t="s">
        <v>365</v>
      </c>
      <c r="D567" s="109" t="s">
        <v>55</v>
      </c>
      <c r="E567" s="112" t="s">
        <v>16</v>
      </c>
      <c r="F567" s="109" t="s">
        <v>1695</v>
      </c>
      <c r="G567" s="111" t="s">
        <v>1679</v>
      </c>
    </row>
    <row r="568" customFormat="false" ht="23.85" hidden="false" customHeight="false" outlineLevel="0" collapsed="false">
      <c r="A568" s="109" t="s">
        <v>92</v>
      </c>
      <c r="B568" s="109" t="s">
        <v>93</v>
      </c>
      <c r="C568" s="109" t="s">
        <v>365</v>
      </c>
      <c r="D568" s="109" t="s">
        <v>59</v>
      </c>
      <c r="E568" s="112" t="s">
        <v>16</v>
      </c>
      <c r="F568" s="109" t="s">
        <v>1696</v>
      </c>
      <c r="G568" s="111" t="s">
        <v>1479</v>
      </c>
    </row>
    <row r="569" customFormat="false" ht="23.85" hidden="false" customHeight="false" outlineLevel="0" collapsed="false">
      <c r="A569" s="109" t="s">
        <v>92</v>
      </c>
      <c r="B569" s="109" t="s">
        <v>93</v>
      </c>
      <c r="C569" s="109" t="s">
        <v>365</v>
      </c>
      <c r="D569" s="109" t="s">
        <v>63</v>
      </c>
      <c r="E569" s="112" t="s">
        <v>16</v>
      </c>
      <c r="F569" s="109" t="s">
        <v>1697</v>
      </c>
      <c r="G569" s="111" t="s">
        <v>1698</v>
      </c>
    </row>
    <row r="570" customFormat="false" ht="23.85" hidden="false" customHeight="false" outlineLevel="0" collapsed="false">
      <c r="A570" s="109" t="s">
        <v>92</v>
      </c>
      <c r="B570" s="109" t="s">
        <v>93</v>
      </c>
      <c r="C570" s="109" t="s">
        <v>365</v>
      </c>
      <c r="D570" s="109" t="s">
        <v>67</v>
      </c>
      <c r="E570" s="112" t="s">
        <v>16</v>
      </c>
      <c r="F570" s="109" t="s">
        <v>1699</v>
      </c>
      <c r="G570" s="111" t="s">
        <v>1684</v>
      </c>
    </row>
    <row r="571" customFormat="false" ht="23.85" hidden="false" customHeight="false" outlineLevel="0" collapsed="false">
      <c r="A571" s="109" t="s">
        <v>92</v>
      </c>
      <c r="B571" s="109" t="s">
        <v>93</v>
      </c>
      <c r="C571" s="109" t="s">
        <v>365</v>
      </c>
      <c r="D571" s="109" t="s">
        <v>71</v>
      </c>
      <c r="E571" s="115" t="s">
        <v>20</v>
      </c>
      <c r="F571" s="109" t="s">
        <v>1700</v>
      </c>
      <c r="G571" s="111" t="s">
        <v>1701</v>
      </c>
    </row>
    <row r="572" customFormat="false" ht="23.85" hidden="false" customHeight="false" outlineLevel="0" collapsed="false">
      <c r="A572" s="109" t="s">
        <v>92</v>
      </c>
      <c r="B572" s="109" t="s">
        <v>93</v>
      </c>
      <c r="C572" s="109" t="s">
        <v>367</v>
      </c>
      <c r="D572" s="109" t="s">
        <v>35</v>
      </c>
      <c r="E572" s="115" t="s">
        <v>20</v>
      </c>
      <c r="F572" s="109" t="s">
        <v>1702</v>
      </c>
      <c r="G572" s="111" t="s">
        <v>1703</v>
      </c>
    </row>
    <row r="573" customFormat="false" ht="15" hidden="false" customHeight="false" outlineLevel="0" collapsed="false">
      <c r="A573" s="109" t="s">
        <v>92</v>
      </c>
      <c r="B573" s="109" t="s">
        <v>93</v>
      </c>
      <c r="C573" s="109" t="s">
        <v>367</v>
      </c>
      <c r="D573" s="109" t="s">
        <v>39</v>
      </c>
      <c r="E573" s="115" t="s">
        <v>20</v>
      </c>
      <c r="F573" s="109" t="s">
        <v>1704</v>
      </c>
      <c r="G573" s="111" t="s">
        <v>1705</v>
      </c>
    </row>
    <row r="574" customFormat="false" ht="23.85" hidden="false" customHeight="false" outlineLevel="0" collapsed="false">
      <c r="A574" s="109" t="s">
        <v>92</v>
      </c>
      <c r="B574" s="109" t="s">
        <v>93</v>
      </c>
      <c r="C574" s="109" t="s">
        <v>367</v>
      </c>
      <c r="D574" s="109" t="s">
        <v>43</v>
      </c>
      <c r="E574" s="110" t="s">
        <v>18</v>
      </c>
      <c r="F574" s="109" t="s">
        <v>1706</v>
      </c>
      <c r="G574" s="111" t="s">
        <v>1691</v>
      </c>
    </row>
    <row r="575" customFormat="false" ht="23.85" hidden="false" customHeight="false" outlineLevel="0" collapsed="false">
      <c r="A575" s="109" t="s">
        <v>92</v>
      </c>
      <c r="B575" s="109" t="s">
        <v>93</v>
      </c>
      <c r="C575" s="109" t="s">
        <v>367</v>
      </c>
      <c r="D575" s="109" t="s">
        <v>47</v>
      </c>
      <c r="E575" s="114" t="s">
        <v>22</v>
      </c>
      <c r="F575" s="109" t="s">
        <v>1707</v>
      </c>
      <c r="G575" s="111" t="s">
        <v>971</v>
      </c>
    </row>
    <row r="576" customFormat="false" ht="23.85" hidden="false" customHeight="false" outlineLevel="0" collapsed="false">
      <c r="A576" s="109" t="s">
        <v>92</v>
      </c>
      <c r="B576" s="109" t="s">
        <v>93</v>
      </c>
      <c r="C576" s="109" t="s">
        <v>367</v>
      </c>
      <c r="D576" s="109" t="s">
        <v>51</v>
      </c>
      <c r="E576" s="113" t="s">
        <v>24</v>
      </c>
      <c r="F576" s="109" t="s">
        <v>1708</v>
      </c>
      <c r="G576" s="111" t="s">
        <v>1694</v>
      </c>
    </row>
    <row r="577" customFormat="false" ht="15" hidden="false" customHeight="false" outlineLevel="0" collapsed="false">
      <c r="A577" s="109" t="s">
        <v>92</v>
      </c>
      <c r="B577" s="109" t="s">
        <v>93</v>
      </c>
      <c r="C577" s="109" t="s">
        <v>367</v>
      </c>
      <c r="D577" s="109" t="s">
        <v>55</v>
      </c>
      <c r="E577" s="112" t="s">
        <v>16</v>
      </c>
      <c r="F577" s="109" t="s">
        <v>1709</v>
      </c>
      <c r="G577" s="111" t="s">
        <v>877</v>
      </c>
    </row>
    <row r="578" customFormat="false" ht="23.85" hidden="false" customHeight="false" outlineLevel="0" collapsed="false">
      <c r="A578" s="109" t="s">
        <v>92</v>
      </c>
      <c r="B578" s="109" t="s">
        <v>93</v>
      </c>
      <c r="C578" s="109" t="s">
        <v>367</v>
      </c>
      <c r="D578" s="109" t="s">
        <v>59</v>
      </c>
      <c r="E578" s="114" t="s">
        <v>22</v>
      </c>
      <c r="F578" s="109" t="s">
        <v>1710</v>
      </c>
      <c r="G578" s="111" t="s">
        <v>842</v>
      </c>
    </row>
    <row r="579" customFormat="false" ht="15" hidden="false" customHeight="false" outlineLevel="0" collapsed="false">
      <c r="A579" s="109" t="s">
        <v>92</v>
      </c>
      <c r="B579" s="109" t="s">
        <v>93</v>
      </c>
      <c r="C579" s="109" t="s">
        <v>367</v>
      </c>
      <c r="D579" s="109" t="s">
        <v>63</v>
      </c>
      <c r="E579" s="112" t="s">
        <v>16</v>
      </c>
      <c r="F579" s="109" t="s">
        <v>1711</v>
      </c>
      <c r="G579" s="111" t="s">
        <v>1712</v>
      </c>
    </row>
    <row r="580" customFormat="false" ht="23.85" hidden="false" customHeight="false" outlineLevel="0" collapsed="false">
      <c r="A580" s="109" t="s">
        <v>92</v>
      </c>
      <c r="B580" s="109" t="s">
        <v>93</v>
      </c>
      <c r="C580" s="109" t="s">
        <v>367</v>
      </c>
      <c r="D580" s="109" t="s">
        <v>67</v>
      </c>
      <c r="E580" s="113" t="s">
        <v>24</v>
      </c>
      <c r="F580" s="109" t="s">
        <v>1713</v>
      </c>
      <c r="G580" s="109"/>
    </row>
    <row r="581" customFormat="false" ht="15" hidden="false" customHeight="false" outlineLevel="0" collapsed="false">
      <c r="A581" s="109" t="s">
        <v>92</v>
      </c>
      <c r="B581" s="109" t="s">
        <v>93</v>
      </c>
      <c r="C581" s="109" t="s">
        <v>367</v>
      </c>
      <c r="D581" s="109" t="s">
        <v>71</v>
      </c>
      <c r="E581" s="113" t="s">
        <v>24</v>
      </c>
      <c r="F581" s="109" t="s">
        <v>1714</v>
      </c>
      <c r="G581" s="109"/>
    </row>
    <row r="582" customFormat="false" ht="15" hidden="false" customHeight="false" outlineLevel="0" collapsed="false">
      <c r="A582" s="109" t="s">
        <v>92</v>
      </c>
      <c r="B582" s="109" t="s">
        <v>93</v>
      </c>
      <c r="C582" s="109" t="s">
        <v>369</v>
      </c>
      <c r="D582" s="109" t="s">
        <v>35</v>
      </c>
      <c r="E582" s="112" t="s">
        <v>16</v>
      </c>
      <c r="F582" s="109" t="s">
        <v>1715</v>
      </c>
      <c r="G582" s="111" t="s">
        <v>1669</v>
      </c>
    </row>
    <row r="583" customFormat="false" ht="23.85" hidden="false" customHeight="false" outlineLevel="0" collapsed="false">
      <c r="A583" s="109" t="s">
        <v>92</v>
      </c>
      <c r="B583" s="109" t="s">
        <v>93</v>
      </c>
      <c r="C583" s="109" t="s">
        <v>369</v>
      </c>
      <c r="D583" s="109" t="s">
        <v>39</v>
      </c>
      <c r="E583" s="112" t="s">
        <v>16</v>
      </c>
      <c r="F583" s="109" t="s">
        <v>1716</v>
      </c>
      <c r="G583" s="111" t="s">
        <v>1717</v>
      </c>
    </row>
    <row r="584" customFormat="false" ht="23.85" hidden="false" customHeight="false" outlineLevel="0" collapsed="false">
      <c r="A584" s="109" t="s">
        <v>92</v>
      </c>
      <c r="B584" s="109" t="s">
        <v>93</v>
      </c>
      <c r="C584" s="109" t="s">
        <v>369</v>
      </c>
      <c r="D584" s="109" t="s">
        <v>43</v>
      </c>
      <c r="E584" s="110" t="s">
        <v>18</v>
      </c>
      <c r="F584" s="109" t="s">
        <v>1718</v>
      </c>
      <c r="G584" s="111" t="s">
        <v>1691</v>
      </c>
    </row>
    <row r="585" customFormat="false" ht="23.85" hidden="false" customHeight="false" outlineLevel="0" collapsed="false">
      <c r="A585" s="109" t="s">
        <v>92</v>
      </c>
      <c r="B585" s="109" t="s">
        <v>93</v>
      </c>
      <c r="C585" s="109" t="s">
        <v>369</v>
      </c>
      <c r="D585" s="109" t="s">
        <v>47</v>
      </c>
      <c r="E585" s="114" t="s">
        <v>22</v>
      </c>
      <c r="F585" s="109" t="s">
        <v>1719</v>
      </c>
      <c r="G585" s="111" t="s">
        <v>1675</v>
      </c>
    </row>
    <row r="586" customFormat="false" ht="23.85" hidden="false" customHeight="false" outlineLevel="0" collapsed="false">
      <c r="A586" s="109" t="s">
        <v>92</v>
      </c>
      <c r="B586" s="109" t="s">
        <v>93</v>
      </c>
      <c r="C586" s="109" t="s">
        <v>369</v>
      </c>
      <c r="D586" s="109" t="s">
        <v>51</v>
      </c>
      <c r="E586" s="110" t="s">
        <v>18</v>
      </c>
      <c r="F586" s="109" t="s">
        <v>1720</v>
      </c>
      <c r="G586" s="111" t="s">
        <v>1694</v>
      </c>
    </row>
    <row r="587" customFormat="false" ht="23.85" hidden="false" customHeight="false" outlineLevel="0" collapsed="false">
      <c r="A587" s="109" t="s">
        <v>92</v>
      </c>
      <c r="B587" s="109" t="s">
        <v>93</v>
      </c>
      <c r="C587" s="109" t="s">
        <v>369</v>
      </c>
      <c r="D587" s="109" t="s">
        <v>55</v>
      </c>
      <c r="E587" s="112" t="s">
        <v>16</v>
      </c>
      <c r="F587" s="109" t="s">
        <v>1721</v>
      </c>
      <c r="G587" s="111" t="s">
        <v>1722</v>
      </c>
    </row>
    <row r="588" customFormat="false" ht="23.85" hidden="false" customHeight="false" outlineLevel="0" collapsed="false">
      <c r="A588" s="109" t="s">
        <v>92</v>
      </c>
      <c r="B588" s="109" t="s">
        <v>93</v>
      </c>
      <c r="C588" s="109" t="s">
        <v>369</v>
      </c>
      <c r="D588" s="109" t="s">
        <v>59</v>
      </c>
      <c r="E588" s="112" t="s">
        <v>16</v>
      </c>
      <c r="F588" s="109" t="s">
        <v>1723</v>
      </c>
      <c r="G588" s="111" t="s">
        <v>1479</v>
      </c>
    </row>
    <row r="589" customFormat="false" ht="15" hidden="false" customHeight="false" outlineLevel="0" collapsed="false">
      <c r="A589" s="109" t="s">
        <v>92</v>
      </c>
      <c r="B589" s="109" t="s">
        <v>93</v>
      </c>
      <c r="C589" s="109" t="s">
        <v>369</v>
      </c>
      <c r="D589" s="109" t="s">
        <v>63</v>
      </c>
      <c r="E589" s="112" t="s">
        <v>16</v>
      </c>
      <c r="F589" s="109" t="s">
        <v>1724</v>
      </c>
      <c r="G589" s="111" t="s">
        <v>1682</v>
      </c>
    </row>
    <row r="590" customFormat="false" ht="23.85" hidden="false" customHeight="false" outlineLevel="0" collapsed="false">
      <c r="A590" s="109" t="s">
        <v>92</v>
      </c>
      <c r="B590" s="109" t="s">
        <v>93</v>
      </c>
      <c r="C590" s="109" t="s">
        <v>369</v>
      </c>
      <c r="D590" s="109" t="s">
        <v>67</v>
      </c>
      <c r="E590" s="114" t="s">
        <v>22</v>
      </c>
      <c r="F590" s="109" t="s">
        <v>1725</v>
      </c>
      <c r="G590" s="111" t="s">
        <v>1684</v>
      </c>
    </row>
    <row r="591" customFormat="false" ht="23.85" hidden="false" customHeight="false" outlineLevel="0" collapsed="false">
      <c r="A591" s="109" t="s">
        <v>92</v>
      </c>
      <c r="B591" s="109" t="s">
        <v>93</v>
      </c>
      <c r="C591" s="109" t="s">
        <v>369</v>
      </c>
      <c r="D591" s="109" t="s">
        <v>71</v>
      </c>
      <c r="E591" s="114" t="s">
        <v>22</v>
      </c>
      <c r="F591" s="109" t="s">
        <v>1726</v>
      </c>
      <c r="G591" s="111" t="s">
        <v>1727</v>
      </c>
    </row>
    <row r="592" customFormat="false" ht="23.85" hidden="false" customHeight="false" outlineLevel="0" collapsed="false">
      <c r="A592" s="109" t="s">
        <v>92</v>
      </c>
      <c r="B592" s="109" t="s">
        <v>93</v>
      </c>
      <c r="C592" s="109" t="s">
        <v>371</v>
      </c>
      <c r="D592" s="109" t="s">
        <v>35</v>
      </c>
      <c r="E592" s="114" t="s">
        <v>22</v>
      </c>
      <c r="F592" s="109" t="s">
        <v>1728</v>
      </c>
      <c r="G592" s="111" t="s">
        <v>1729</v>
      </c>
    </row>
    <row r="593" customFormat="false" ht="23.85" hidden="false" customHeight="false" outlineLevel="0" collapsed="false">
      <c r="A593" s="109" t="s">
        <v>92</v>
      </c>
      <c r="B593" s="109" t="s">
        <v>93</v>
      </c>
      <c r="C593" s="109" t="s">
        <v>371</v>
      </c>
      <c r="D593" s="109" t="s">
        <v>39</v>
      </c>
      <c r="E593" s="112" t="s">
        <v>16</v>
      </c>
      <c r="F593" s="109" t="s">
        <v>1730</v>
      </c>
      <c r="G593" s="111" t="s">
        <v>1731</v>
      </c>
    </row>
    <row r="594" customFormat="false" ht="23.85" hidden="false" customHeight="false" outlineLevel="0" collapsed="false">
      <c r="A594" s="109" t="s">
        <v>92</v>
      </c>
      <c r="B594" s="109" t="s">
        <v>93</v>
      </c>
      <c r="C594" s="109" t="s">
        <v>371</v>
      </c>
      <c r="D594" s="109" t="s">
        <v>43</v>
      </c>
      <c r="E594" s="110" t="s">
        <v>18</v>
      </c>
      <c r="F594" s="109" t="s">
        <v>1732</v>
      </c>
      <c r="G594" s="111" t="s">
        <v>1691</v>
      </c>
    </row>
    <row r="595" customFormat="false" ht="23.85" hidden="false" customHeight="false" outlineLevel="0" collapsed="false">
      <c r="A595" s="109" t="s">
        <v>92</v>
      </c>
      <c r="B595" s="109" t="s">
        <v>93</v>
      </c>
      <c r="C595" s="109" t="s">
        <v>371</v>
      </c>
      <c r="D595" s="109" t="s">
        <v>47</v>
      </c>
      <c r="E595" s="114" t="s">
        <v>22</v>
      </c>
      <c r="F595" s="109" t="s">
        <v>1733</v>
      </c>
      <c r="G595" s="111" t="s">
        <v>1675</v>
      </c>
    </row>
    <row r="596" customFormat="false" ht="23.85" hidden="false" customHeight="false" outlineLevel="0" collapsed="false">
      <c r="A596" s="109" t="s">
        <v>92</v>
      </c>
      <c r="B596" s="109" t="s">
        <v>93</v>
      </c>
      <c r="C596" s="109" t="s">
        <v>371</v>
      </c>
      <c r="D596" s="109" t="s">
        <v>51</v>
      </c>
      <c r="E596" s="112" t="s">
        <v>16</v>
      </c>
      <c r="F596" s="109" t="s">
        <v>1734</v>
      </c>
      <c r="G596" s="111" t="s">
        <v>1735</v>
      </c>
    </row>
    <row r="597" customFormat="false" ht="23.85" hidden="false" customHeight="false" outlineLevel="0" collapsed="false">
      <c r="A597" s="109" t="s">
        <v>92</v>
      </c>
      <c r="B597" s="109" t="s">
        <v>93</v>
      </c>
      <c r="C597" s="109" t="s">
        <v>371</v>
      </c>
      <c r="D597" s="109" t="s">
        <v>55</v>
      </c>
      <c r="E597" s="110" t="s">
        <v>18</v>
      </c>
      <c r="F597" s="109" t="s">
        <v>1736</v>
      </c>
      <c r="G597" s="111" t="s">
        <v>1737</v>
      </c>
    </row>
    <row r="598" customFormat="false" ht="23.85" hidden="false" customHeight="false" outlineLevel="0" collapsed="false">
      <c r="A598" s="109" t="s">
        <v>92</v>
      </c>
      <c r="B598" s="109" t="s">
        <v>93</v>
      </c>
      <c r="C598" s="109" t="s">
        <v>371</v>
      </c>
      <c r="D598" s="109" t="s">
        <v>59</v>
      </c>
      <c r="E598" s="110" t="s">
        <v>18</v>
      </c>
      <c r="F598" s="109" t="s">
        <v>1738</v>
      </c>
      <c r="G598" s="111" t="s">
        <v>1739</v>
      </c>
    </row>
    <row r="599" customFormat="false" ht="23.85" hidden="false" customHeight="false" outlineLevel="0" collapsed="false">
      <c r="A599" s="109" t="s">
        <v>92</v>
      </c>
      <c r="B599" s="109" t="s">
        <v>93</v>
      </c>
      <c r="C599" s="109" t="s">
        <v>371</v>
      </c>
      <c r="D599" s="109" t="s">
        <v>63</v>
      </c>
      <c r="E599" s="112" t="s">
        <v>16</v>
      </c>
      <c r="F599" s="109" t="s">
        <v>1740</v>
      </c>
      <c r="G599" s="111" t="s">
        <v>1741</v>
      </c>
    </row>
    <row r="600" customFormat="false" ht="23.85" hidden="false" customHeight="false" outlineLevel="0" collapsed="false">
      <c r="A600" s="109" t="s">
        <v>92</v>
      </c>
      <c r="B600" s="109" t="s">
        <v>93</v>
      </c>
      <c r="C600" s="109" t="s">
        <v>371</v>
      </c>
      <c r="D600" s="109" t="s">
        <v>67</v>
      </c>
      <c r="E600" s="110" t="s">
        <v>18</v>
      </c>
      <c r="F600" s="109" t="s">
        <v>1742</v>
      </c>
      <c r="G600" s="111" t="s">
        <v>1743</v>
      </c>
    </row>
    <row r="601" customFormat="false" ht="23.85" hidden="false" customHeight="false" outlineLevel="0" collapsed="false">
      <c r="A601" s="109" t="s">
        <v>92</v>
      </c>
      <c r="B601" s="109" t="s">
        <v>93</v>
      </c>
      <c r="C601" s="109" t="s">
        <v>371</v>
      </c>
      <c r="D601" s="109" t="s">
        <v>71</v>
      </c>
      <c r="E601" s="113" t="s">
        <v>24</v>
      </c>
      <c r="F601" s="109" t="s">
        <v>1744</v>
      </c>
      <c r="G601" s="111" t="s">
        <v>949</v>
      </c>
    </row>
    <row r="602" customFormat="false" ht="23.85" hidden="false" customHeight="false" outlineLevel="0" collapsed="false">
      <c r="A602" s="109" t="s">
        <v>92</v>
      </c>
      <c r="B602" s="109" t="s">
        <v>93</v>
      </c>
      <c r="C602" s="109" t="s">
        <v>373</v>
      </c>
      <c r="D602" s="109" t="s">
        <v>35</v>
      </c>
      <c r="E602" s="110" t="s">
        <v>18</v>
      </c>
      <c r="F602" s="109" t="s">
        <v>1745</v>
      </c>
      <c r="G602" s="111" t="s">
        <v>1746</v>
      </c>
    </row>
    <row r="603" customFormat="false" ht="15" hidden="false" customHeight="false" outlineLevel="0" collapsed="false">
      <c r="A603" s="109" t="s">
        <v>92</v>
      </c>
      <c r="B603" s="109" t="s">
        <v>93</v>
      </c>
      <c r="C603" s="109" t="s">
        <v>373</v>
      </c>
      <c r="D603" s="109" t="s">
        <v>39</v>
      </c>
      <c r="E603" s="115" t="s">
        <v>20</v>
      </c>
      <c r="F603" s="109" t="s">
        <v>1747</v>
      </c>
      <c r="G603" s="111" t="s">
        <v>1748</v>
      </c>
    </row>
    <row r="604" customFormat="false" ht="15" hidden="false" customHeight="false" outlineLevel="0" collapsed="false">
      <c r="A604" s="109" t="s">
        <v>92</v>
      </c>
      <c r="B604" s="109" t="s">
        <v>93</v>
      </c>
      <c r="C604" s="109" t="s">
        <v>373</v>
      </c>
      <c r="D604" s="109" t="s">
        <v>43</v>
      </c>
      <c r="E604" s="112" t="s">
        <v>16</v>
      </c>
      <c r="F604" s="109" t="s">
        <v>1749</v>
      </c>
      <c r="G604" s="111" t="s">
        <v>1691</v>
      </c>
    </row>
    <row r="605" customFormat="false" ht="15" hidden="false" customHeight="false" outlineLevel="0" collapsed="false">
      <c r="A605" s="109" t="s">
        <v>92</v>
      </c>
      <c r="B605" s="109" t="s">
        <v>93</v>
      </c>
      <c r="C605" s="109" t="s">
        <v>373</v>
      </c>
      <c r="D605" s="109" t="s">
        <v>47</v>
      </c>
      <c r="E605" s="112" t="s">
        <v>16</v>
      </c>
      <c r="F605" s="109" t="s">
        <v>1750</v>
      </c>
      <c r="G605" s="111" t="s">
        <v>1751</v>
      </c>
    </row>
    <row r="606" customFormat="false" ht="23.85" hidden="false" customHeight="false" outlineLevel="0" collapsed="false">
      <c r="A606" s="109" t="s">
        <v>92</v>
      </c>
      <c r="B606" s="109" t="s">
        <v>93</v>
      </c>
      <c r="C606" s="109" t="s">
        <v>373</v>
      </c>
      <c r="D606" s="109" t="s">
        <v>51</v>
      </c>
      <c r="E606" s="112" t="s">
        <v>16</v>
      </c>
      <c r="F606" s="109" t="s">
        <v>1752</v>
      </c>
      <c r="G606" s="111" t="s">
        <v>1735</v>
      </c>
    </row>
    <row r="607" customFormat="false" ht="23.85" hidden="false" customHeight="false" outlineLevel="0" collapsed="false">
      <c r="A607" s="109" t="s">
        <v>92</v>
      </c>
      <c r="B607" s="109" t="s">
        <v>93</v>
      </c>
      <c r="C607" s="109" t="s">
        <v>373</v>
      </c>
      <c r="D607" s="109" t="s">
        <v>55</v>
      </c>
      <c r="E607" s="114" t="s">
        <v>22</v>
      </c>
      <c r="F607" s="109" t="s">
        <v>1753</v>
      </c>
      <c r="G607" s="111" t="s">
        <v>1754</v>
      </c>
    </row>
    <row r="608" customFormat="false" ht="15" hidden="false" customHeight="false" outlineLevel="0" collapsed="false">
      <c r="A608" s="109" t="s">
        <v>92</v>
      </c>
      <c r="B608" s="109" t="s">
        <v>93</v>
      </c>
      <c r="C608" s="109" t="s">
        <v>373</v>
      </c>
      <c r="D608" s="109" t="s">
        <v>59</v>
      </c>
      <c r="E608" s="110" t="s">
        <v>18</v>
      </c>
      <c r="F608" s="109" t="s">
        <v>1755</v>
      </c>
      <c r="G608" s="111" t="s">
        <v>1739</v>
      </c>
    </row>
    <row r="609" customFormat="false" ht="15" hidden="false" customHeight="false" outlineLevel="0" collapsed="false">
      <c r="A609" s="109" t="s">
        <v>92</v>
      </c>
      <c r="B609" s="109" t="s">
        <v>93</v>
      </c>
      <c r="C609" s="109" t="s">
        <v>373</v>
      </c>
      <c r="D609" s="109" t="s">
        <v>63</v>
      </c>
      <c r="E609" s="115" t="s">
        <v>20</v>
      </c>
      <c r="F609" s="109" t="s">
        <v>1756</v>
      </c>
      <c r="G609" s="111" t="s">
        <v>1757</v>
      </c>
    </row>
    <row r="610" customFormat="false" ht="15" hidden="false" customHeight="false" outlineLevel="0" collapsed="false">
      <c r="A610" s="109" t="s">
        <v>92</v>
      </c>
      <c r="B610" s="109" t="s">
        <v>93</v>
      </c>
      <c r="C610" s="109" t="s">
        <v>373</v>
      </c>
      <c r="D610" s="109" t="s">
        <v>67</v>
      </c>
      <c r="E610" s="112" t="s">
        <v>16</v>
      </c>
      <c r="F610" s="109" t="s">
        <v>1758</v>
      </c>
      <c r="G610" s="111" t="s">
        <v>1759</v>
      </c>
    </row>
    <row r="611" customFormat="false" ht="15" hidden="false" customHeight="false" outlineLevel="0" collapsed="false">
      <c r="A611" s="109" t="s">
        <v>92</v>
      </c>
      <c r="B611" s="109" t="s">
        <v>93</v>
      </c>
      <c r="C611" s="109" t="s">
        <v>373</v>
      </c>
      <c r="D611" s="109" t="s">
        <v>71</v>
      </c>
      <c r="E611" s="112" t="s">
        <v>16</v>
      </c>
      <c r="F611" s="109" t="s">
        <v>1760</v>
      </c>
      <c r="G611" s="111" t="s">
        <v>1761</v>
      </c>
    </row>
    <row r="612" customFormat="false" ht="23.85" hidden="false" customHeight="false" outlineLevel="0" collapsed="false">
      <c r="A612" s="109" t="s">
        <v>92</v>
      </c>
      <c r="B612" s="109" t="s">
        <v>93</v>
      </c>
      <c r="C612" s="109" t="s">
        <v>375</v>
      </c>
      <c r="D612" s="109" t="s">
        <v>35</v>
      </c>
      <c r="E612" s="110" t="s">
        <v>18</v>
      </c>
      <c r="F612" s="109" t="s">
        <v>1762</v>
      </c>
      <c r="G612" s="111" t="s">
        <v>1763</v>
      </c>
    </row>
    <row r="613" customFormat="false" ht="23.85" hidden="false" customHeight="false" outlineLevel="0" collapsed="false">
      <c r="A613" s="109" t="s">
        <v>92</v>
      </c>
      <c r="B613" s="109" t="s">
        <v>93</v>
      </c>
      <c r="C613" s="109" t="s">
        <v>375</v>
      </c>
      <c r="D613" s="109" t="s">
        <v>39</v>
      </c>
      <c r="E613" s="115" t="s">
        <v>20</v>
      </c>
      <c r="F613" s="109" t="s">
        <v>1764</v>
      </c>
      <c r="G613" s="111" t="s">
        <v>1765</v>
      </c>
    </row>
    <row r="614" customFormat="false" ht="23.85" hidden="false" customHeight="false" outlineLevel="0" collapsed="false">
      <c r="A614" s="109" t="s">
        <v>92</v>
      </c>
      <c r="B614" s="109" t="s">
        <v>93</v>
      </c>
      <c r="C614" s="109" t="s">
        <v>375</v>
      </c>
      <c r="D614" s="109" t="s">
        <v>43</v>
      </c>
      <c r="E614" s="110" t="s">
        <v>18</v>
      </c>
      <c r="F614" s="109" t="s">
        <v>1766</v>
      </c>
      <c r="G614" s="111" t="s">
        <v>1673</v>
      </c>
    </row>
    <row r="615" customFormat="false" ht="15" hidden="false" customHeight="false" outlineLevel="0" collapsed="false">
      <c r="A615" s="109" t="s">
        <v>92</v>
      </c>
      <c r="B615" s="109" t="s">
        <v>93</v>
      </c>
      <c r="C615" s="109" t="s">
        <v>375</v>
      </c>
      <c r="D615" s="109" t="s">
        <v>47</v>
      </c>
      <c r="E615" s="115" t="s">
        <v>20</v>
      </c>
      <c r="F615" s="109" t="s">
        <v>1767</v>
      </c>
      <c r="G615" s="111" t="s">
        <v>1768</v>
      </c>
    </row>
    <row r="616" customFormat="false" ht="23.85" hidden="false" customHeight="false" outlineLevel="0" collapsed="false">
      <c r="A616" s="109" t="s">
        <v>92</v>
      </c>
      <c r="B616" s="109" t="s">
        <v>93</v>
      </c>
      <c r="C616" s="109" t="s">
        <v>375</v>
      </c>
      <c r="D616" s="109" t="s">
        <v>51</v>
      </c>
      <c r="E616" s="110" t="s">
        <v>18</v>
      </c>
      <c r="F616" s="109" t="s">
        <v>1769</v>
      </c>
      <c r="G616" s="111" t="s">
        <v>1770</v>
      </c>
    </row>
    <row r="617" customFormat="false" ht="15" hidden="false" customHeight="false" outlineLevel="0" collapsed="false">
      <c r="A617" s="109" t="s">
        <v>92</v>
      </c>
      <c r="B617" s="109" t="s">
        <v>93</v>
      </c>
      <c r="C617" s="109" t="s">
        <v>375</v>
      </c>
      <c r="D617" s="109" t="s">
        <v>55</v>
      </c>
      <c r="E617" s="115" t="s">
        <v>20</v>
      </c>
      <c r="F617" s="109" t="s">
        <v>1771</v>
      </c>
      <c r="G617" s="111" t="s">
        <v>1772</v>
      </c>
    </row>
    <row r="618" customFormat="false" ht="23.85" hidden="false" customHeight="false" outlineLevel="0" collapsed="false">
      <c r="A618" s="109" t="s">
        <v>92</v>
      </c>
      <c r="B618" s="109" t="s">
        <v>93</v>
      </c>
      <c r="C618" s="109" t="s">
        <v>375</v>
      </c>
      <c r="D618" s="109" t="s">
        <v>59</v>
      </c>
      <c r="E618" s="110" t="s">
        <v>18</v>
      </c>
      <c r="F618" s="109" t="s">
        <v>1773</v>
      </c>
      <c r="G618" s="111" t="s">
        <v>1774</v>
      </c>
    </row>
    <row r="619" customFormat="false" ht="23.85" hidden="false" customHeight="false" outlineLevel="0" collapsed="false">
      <c r="A619" s="109" t="s">
        <v>92</v>
      </c>
      <c r="B619" s="109" t="s">
        <v>93</v>
      </c>
      <c r="C619" s="109" t="s">
        <v>375</v>
      </c>
      <c r="D619" s="109" t="s">
        <v>63</v>
      </c>
      <c r="E619" s="110" t="s">
        <v>18</v>
      </c>
      <c r="F619" s="109" t="s">
        <v>1775</v>
      </c>
      <c r="G619" s="111" t="s">
        <v>1157</v>
      </c>
    </row>
    <row r="620" customFormat="false" ht="15" hidden="false" customHeight="false" outlineLevel="0" collapsed="false">
      <c r="A620" s="109" t="s">
        <v>92</v>
      </c>
      <c r="B620" s="109" t="s">
        <v>93</v>
      </c>
      <c r="C620" s="109" t="s">
        <v>375</v>
      </c>
      <c r="D620" s="109" t="s">
        <v>67</v>
      </c>
      <c r="E620" s="115" t="s">
        <v>20</v>
      </c>
      <c r="F620" s="109" t="s">
        <v>1776</v>
      </c>
      <c r="G620" s="111" t="s">
        <v>1777</v>
      </c>
    </row>
    <row r="621" customFormat="false" ht="23.85" hidden="false" customHeight="false" outlineLevel="0" collapsed="false">
      <c r="A621" s="109" t="s">
        <v>92</v>
      </c>
      <c r="B621" s="109" t="s">
        <v>93</v>
      </c>
      <c r="C621" s="109" t="s">
        <v>375</v>
      </c>
      <c r="D621" s="109" t="s">
        <v>71</v>
      </c>
      <c r="E621" s="115" t="s">
        <v>20</v>
      </c>
      <c r="F621" s="109" t="s">
        <v>1778</v>
      </c>
      <c r="G621" s="111" t="s">
        <v>866</v>
      </c>
    </row>
    <row r="622" customFormat="false" ht="15" hidden="false" customHeight="false" outlineLevel="0" collapsed="false">
      <c r="A622" s="109" t="s">
        <v>92</v>
      </c>
      <c r="B622" s="109" t="s">
        <v>93</v>
      </c>
      <c r="C622" s="109" t="s">
        <v>377</v>
      </c>
      <c r="D622" s="109" t="s">
        <v>35</v>
      </c>
      <c r="E622" s="115" t="s">
        <v>20</v>
      </c>
      <c r="F622" s="109" t="s">
        <v>1779</v>
      </c>
      <c r="G622" s="111" t="s">
        <v>1780</v>
      </c>
    </row>
    <row r="623" customFormat="false" ht="15" hidden="false" customHeight="false" outlineLevel="0" collapsed="false">
      <c r="A623" s="109" t="s">
        <v>92</v>
      </c>
      <c r="B623" s="109" t="s">
        <v>93</v>
      </c>
      <c r="C623" s="109" t="s">
        <v>377</v>
      </c>
      <c r="D623" s="109" t="s">
        <v>39</v>
      </c>
      <c r="E623" s="115" t="s">
        <v>20</v>
      </c>
      <c r="F623" s="109" t="s">
        <v>1781</v>
      </c>
      <c r="G623" s="111" t="s">
        <v>1782</v>
      </c>
    </row>
    <row r="624" customFormat="false" ht="23.85" hidden="false" customHeight="false" outlineLevel="0" collapsed="false">
      <c r="A624" s="109" t="s">
        <v>92</v>
      </c>
      <c r="B624" s="109" t="s">
        <v>93</v>
      </c>
      <c r="C624" s="109" t="s">
        <v>377</v>
      </c>
      <c r="D624" s="109" t="s">
        <v>43</v>
      </c>
      <c r="E624" s="110" t="s">
        <v>18</v>
      </c>
      <c r="F624" s="109" t="s">
        <v>1783</v>
      </c>
      <c r="G624" s="111" t="s">
        <v>1691</v>
      </c>
    </row>
    <row r="625" customFormat="false" ht="23.85" hidden="false" customHeight="false" outlineLevel="0" collapsed="false">
      <c r="A625" s="109" t="s">
        <v>92</v>
      </c>
      <c r="B625" s="109" t="s">
        <v>93</v>
      </c>
      <c r="C625" s="109" t="s">
        <v>377</v>
      </c>
      <c r="D625" s="109" t="s">
        <v>47</v>
      </c>
      <c r="E625" s="114" t="s">
        <v>22</v>
      </c>
      <c r="F625" s="109" t="s">
        <v>1784</v>
      </c>
      <c r="G625" s="111" t="s">
        <v>1675</v>
      </c>
    </row>
    <row r="626" customFormat="false" ht="23.85" hidden="false" customHeight="false" outlineLevel="0" collapsed="false">
      <c r="A626" s="109" t="s">
        <v>92</v>
      </c>
      <c r="B626" s="109" t="s">
        <v>93</v>
      </c>
      <c r="C626" s="109" t="s">
        <v>377</v>
      </c>
      <c r="D626" s="109" t="s">
        <v>51</v>
      </c>
      <c r="E626" s="110" t="s">
        <v>18</v>
      </c>
      <c r="F626" s="109" t="s">
        <v>1785</v>
      </c>
      <c r="G626" s="111" t="s">
        <v>1735</v>
      </c>
    </row>
    <row r="627" customFormat="false" ht="15" hidden="false" customHeight="false" outlineLevel="0" collapsed="false">
      <c r="A627" s="109" t="s">
        <v>92</v>
      </c>
      <c r="B627" s="109" t="s">
        <v>93</v>
      </c>
      <c r="C627" s="109" t="s">
        <v>377</v>
      </c>
      <c r="D627" s="109" t="s">
        <v>55</v>
      </c>
      <c r="E627" s="114" t="s">
        <v>22</v>
      </c>
      <c r="F627" s="109" t="s">
        <v>1786</v>
      </c>
      <c r="G627" s="111" t="s">
        <v>1787</v>
      </c>
    </row>
    <row r="628" customFormat="false" ht="15" hidden="false" customHeight="false" outlineLevel="0" collapsed="false">
      <c r="A628" s="109" t="s">
        <v>92</v>
      </c>
      <c r="B628" s="109" t="s">
        <v>93</v>
      </c>
      <c r="C628" s="109" t="s">
        <v>377</v>
      </c>
      <c r="D628" s="109" t="s">
        <v>59</v>
      </c>
      <c r="E628" s="113" t="s">
        <v>24</v>
      </c>
      <c r="F628" s="109" t="s">
        <v>1788</v>
      </c>
      <c r="G628" s="109"/>
    </row>
    <row r="629" customFormat="false" ht="15" hidden="false" customHeight="false" outlineLevel="0" collapsed="false">
      <c r="A629" s="109" t="s">
        <v>92</v>
      </c>
      <c r="B629" s="109" t="s">
        <v>93</v>
      </c>
      <c r="C629" s="109" t="s">
        <v>377</v>
      </c>
      <c r="D629" s="109" t="s">
        <v>63</v>
      </c>
      <c r="E629" s="113" t="s">
        <v>24</v>
      </c>
      <c r="F629" s="109" t="s">
        <v>1789</v>
      </c>
      <c r="G629" s="109"/>
    </row>
    <row r="630" customFormat="false" ht="15" hidden="false" customHeight="false" outlineLevel="0" collapsed="false">
      <c r="A630" s="109" t="s">
        <v>92</v>
      </c>
      <c r="B630" s="109" t="s">
        <v>93</v>
      </c>
      <c r="C630" s="109" t="s">
        <v>377</v>
      </c>
      <c r="D630" s="109" t="s">
        <v>67</v>
      </c>
      <c r="E630" s="115" t="s">
        <v>20</v>
      </c>
      <c r="F630" s="109" t="s">
        <v>1790</v>
      </c>
      <c r="G630" s="111" t="s">
        <v>1777</v>
      </c>
    </row>
    <row r="631" customFormat="false" ht="15" hidden="false" customHeight="false" outlineLevel="0" collapsed="false">
      <c r="A631" s="109" t="s">
        <v>92</v>
      </c>
      <c r="B631" s="109" t="s">
        <v>93</v>
      </c>
      <c r="C631" s="109" t="s">
        <v>377</v>
      </c>
      <c r="D631" s="109" t="s">
        <v>71</v>
      </c>
      <c r="E631" s="115" t="s">
        <v>20</v>
      </c>
      <c r="F631" s="109" t="s">
        <v>1791</v>
      </c>
      <c r="G631" s="111" t="s">
        <v>1792</v>
      </c>
    </row>
    <row r="632" customFormat="false" ht="15" hidden="false" customHeight="false" outlineLevel="0" collapsed="false">
      <c r="A632" s="109" t="s">
        <v>92</v>
      </c>
      <c r="B632" s="109" t="s">
        <v>93</v>
      </c>
      <c r="C632" s="109" t="s">
        <v>379</v>
      </c>
      <c r="D632" s="109" t="s">
        <v>35</v>
      </c>
      <c r="E632" s="115" t="s">
        <v>20</v>
      </c>
      <c r="F632" s="109" t="s">
        <v>1793</v>
      </c>
      <c r="G632" s="111" t="s">
        <v>1794</v>
      </c>
    </row>
    <row r="633" customFormat="false" ht="15" hidden="false" customHeight="false" outlineLevel="0" collapsed="false">
      <c r="A633" s="109" t="s">
        <v>92</v>
      </c>
      <c r="B633" s="109" t="s">
        <v>93</v>
      </c>
      <c r="C633" s="109" t="s">
        <v>379</v>
      </c>
      <c r="D633" s="109" t="s">
        <v>39</v>
      </c>
      <c r="E633" s="115" t="s">
        <v>20</v>
      </c>
      <c r="F633" s="109" t="s">
        <v>1795</v>
      </c>
      <c r="G633" s="111" t="s">
        <v>1796</v>
      </c>
    </row>
    <row r="634" customFormat="false" ht="15" hidden="false" customHeight="false" outlineLevel="0" collapsed="false">
      <c r="A634" s="109" t="s">
        <v>92</v>
      </c>
      <c r="B634" s="109" t="s">
        <v>93</v>
      </c>
      <c r="C634" s="109" t="s">
        <v>379</v>
      </c>
      <c r="D634" s="109" t="s">
        <v>43</v>
      </c>
      <c r="E634" s="110" t="s">
        <v>18</v>
      </c>
      <c r="F634" s="109" t="s">
        <v>1797</v>
      </c>
      <c r="G634" s="111" t="s">
        <v>1673</v>
      </c>
    </row>
    <row r="635" customFormat="false" ht="15" hidden="false" customHeight="false" outlineLevel="0" collapsed="false">
      <c r="A635" s="109" t="s">
        <v>92</v>
      </c>
      <c r="B635" s="109" t="s">
        <v>93</v>
      </c>
      <c r="C635" s="109" t="s">
        <v>379</v>
      </c>
      <c r="D635" s="109" t="s">
        <v>47</v>
      </c>
      <c r="E635" s="113" t="s">
        <v>24</v>
      </c>
      <c r="F635" s="109" t="s">
        <v>1798</v>
      </c>
      <c r="G635" s="111" t="s">
        <v>1675</v>
      </c>
    </row>
    <row r="636" customFormat="false" ht="15" hidden="false" customHeight="false" outlineLevel="0" collapsed="false">
      <c r="A636" s="109" t="s">
        <v>92</v>
      </c>
      <c r="B636" s="109" t="s">
        <v>93</v>
      </c>
      <c r="C636" s="109" t="s">
        <v>379</v>
      </c>
      <c r="D636" s="109" t="s">
        <v>51</v>
      </c>
      <c r="E636" s="110" t="s">
        <v>18</v>
      </c>
      <c r="F636" s="109" t="s">
        <v>1799</v>
      </c>
      <c r="G636" s="111" t="s">
        <v>1800</v>
      </c>
    </row>
    <row r="637" customFormat="false" ht="23.85" hidden="false" customHeight="false" outlineLevel="0" collapsed="false">
      <c r="A637" s="109" t="s">
        <v>92</v>
      </c>
      <c r="B637" s="109" t="s">
        <v>93</v>
      </c>
      <c r="C637" s="109" t="s">
        <v>379</v>
      </c>
      <c r="D637" s="109" t="s">
        <v>55</v>
      </c>
      <c r="E637" s="112" t="s">
        <v>16</v>
      </c>
      <c r="F637" s="109" t="s">
        <v>1801</v>
      </c>
      <c r="G637" s="111" t="s">
        <v>1802</v>
      </c>
    </row>
    <row r="638" customFormat="false" ht="15" hidden="false" customHeight="false" outlineLevel="0" collapsed="false">
      <c r="A638" s="109" t="s">
        <v>92</v>
      </c>
      <c r="B638" s="109" t="s">
        <v>93</v>
      </c>
      <c r="C638" s="109" t="s">
        <v>379</v>
      </c>
      <c r="D638" s="109" t="s">
        <v>59</v>
      </c>
      <c r="E638" s="112" t="s">
        <v>16</v>
      </c>
      <c r="F638" s="109" t="s">
        <v>1803</v>
      </c>
      <c r="G638" s="111" t="s">
        <v>1479</v>
      </c>
    </row>
    <row r="639" customFormat="false" ht="23.85" hidden="false" customHeight="false" outlineLevel="0" collapsed="false">
      <c r="A639" s="109" t="s">
        <v>92</v>
      </c>
      <c r="B639" s="109" t="s">
        <v>93</v>
      </c>
      <c r="C639" s="109" t="s">
        <v>379</v>
      </c>
      <c r="D639" s="109" t="s">
        <v>63</v>
      </c>
      <c r="E639" s="114" t="s">
        <v>22</v>
      </c>
      <c r="F639" s="109" t="s">
        <v>1804</v>
      </c>
      <c r="G639" s="111" t="s">
        <v>1805</v>
      </c>
    </row>
    <row r="640" customFormat="false" ht="15" hidden="false" customHeight="false" outlineLevel="0" collapsed="false">
      <c r="A640" s="109" t="s">
        <v>92</v>
      </c>
      <c r="B640" s="109" t="s">
        <v>93</v>
      </c>
      <c r="C640" s="109" t="s">
        <v>379</v>
      </c>
      <c r="D640" s="109" t="s">
        <v>67</v>
      </c>
      <c r="E640" s="113" t="s">
        <v>24</v>
      </c>
      <c r="F640" s="109" t="s">
        <v>1806</v>
      </c>
      <c r="G640" s="109"/>
    </row>
    <row r="641" customFormat="false" ht="15" hidden="false" customHeight="false" outlineLevel="0" collapsed="false">
      <c r="A641" s="109" t="s">
        <v>92</v>
      </c>
      <c r="B641" s="109" t="s">
        <v>93</v>
      </c>
      <c r="C641" s="109" t="s">
        <v>379</v>
      </c>
      <c r="D641" s="109" t="s">
        <v>71</v>
      </c>
      <c r="E641" s="113" t="s">
        <v>24</v>
      </c>
      <c r="F641" s="109" t="s">
        <v>1807</v>
      </c>
      <c r="G641" s="109"/>
    </row>
    <row r="642" customFormat="false" ht="23.85" hidden="false" customHeight="false" outlineLevel="0" collapsed="false">
      <c r="A642" s="109" t="s">
        <v>92</v>
      </c>
      <c r="B642" s="109" t="s">
        <v>94</v>
      </c>
      <c r="C642" s="109" t="s">
        <v>404</v>
      </c>
      <c r="D642" s="109" t="s">
        <v>35</v>
      </c>
      <c r="E642" s="114" t="s">
        <v>22</v>
      </c>
      <c r="F642" s="109" t="s">
        <v>1808</v>
      </c>
      <c r="G642" s="111" t="s">
        <v>1809</v>
      </c>
    </row>
    <row r="643" customFormat="false" ht="23.85" hidden="false" customHeight="false" outlineLevel="0" collapsed="false">
      <c r="A643" s="109" t="s">
        <v>92</v>
      </c>
      <c r="B643" s="109" t="s">
        <v>94</v>
      </c>
      <c r="C643" s="109" t="s">
        <v>404</v>
      </c>
      <c r="D643" s="109" t="s">
        <v>39</v>
      </c>
      <c r="E643" s="112" t="s">
        <v>16</v>
      </c>
      <c r="F643" s="109" t="s">
        <v>1810</v>
      </c>
      <c r="G643" s="111" t="s">
        <v>1811</v>
      </c>
    </row>
    <row r="644" customFormat="false" ht="23.85" hidden="false" customHeight="false" outlineLevel="0" collapsed="false">
      <c r="A644" s="109" t="s">
        <v>92</v>
      </c>
      <c r="B644" s="109" t="s">
        <v>94</v>
      </c>
      <c r="C644" s="109" t="s">
        <v>404</v>
      </c>
      <c r="D644" s="109" t="s">
        <v>43</v>
      </c>
      <c r="E644" s="113" t="s">
        <v>24</v>
      </c>
      <c r="F644" s="109" t="s">
        <v>1812</v>
      </c>
      <c r="G644" s="111" t="s">
        <v>1564</v>
      </c>
    </row>
    <row r="645" customFormat="false" ht="15" hidden="false" customHeight="false" outlineLevel="0" collapsed="false">
      <c r="A645" s="109" t="s">
        <v>92</v>
      </c>
      <c r="B645" s="109" t="s">
        <v>94</v>
      </c>
      <c r="C645" s="109" t="s">
        <v>404</v>
      </c>
      <c r="D645" s="109" t="s">
        <v>47</v>
      </c>
      <c r="E645" s="114" t="s">
        <v>22</v>
      </c>
      <c r="F645" s="109" t="s">
        <v>1813</v>
      </c>
      <c r="G645" s="111" t="s">
        <v>1379</v>
      </c>
    </row>
    <row r="646" customFormat="false" ht="15" hidden="false" customHeight="false" outlineLevel="0" collapsed="false">
      <c r="A646" s="109" t="s">
        <v>92</v>
      </c>
      <c r="B646" s="109" t="s">
        <v>94</v>
      </c>
      <c r="C646" s="109" t="s">
        <v>404</v>
      </c>
      <c r="D646" s="109" t="s">
        <v>51</v>
      </c>
      <c r="E646" s="113" t="s">
        <v>24</v>
      </c>
      <c r="F646" s="109" t="s">
        <v>1814</v>
      </c>
      <c r="G646" s="111" t="s">
        <v>838</v>
      </c>
    </row>
    <row r="647" customFormat="false" ht="23.85" hidden="false" customHeight="false" outlineLevel="0" collapsed="false">
      <c r="A647" s="109" t="s">
        <v>92</v>
      </c>
      <c r="B647" s="109" t="s">
        <v>94</v>
      </c>
      <c r="C647" s="109" t="s">
        <v>404</v>
      </c>
      <c r="D647" s="109" t="s">
        <v>55</v>
      </c>
      <c r="E647" s="114" t="s">
        <v>22</v>
      </c>
      <c r="F647" s="109" t="s">
        <v>1815</v>
      </c>
      <c r="G647" s="111" t="s">
        <v>1816</v>
      </c>
    </row>
    <row r="648" customFormat="false" ht="15" hidden="false" customHeight="false" outlineLevel="0" collapsed="false">
      <c r="A648" s="109" t="s">
        <v>92</v>
      </c>
      <c r="B648" s="109" t="s">
        <v>94</v>
      </c>
      <c r="C648" s="109" t="s">
        <v>404</v>
      </c>
      <c r="D648" s="109" t="s">
        <v>59</v>
      </c>
      <c r="E648" s="113" t="s">
        <v>24</v>
      </c>
      <c r="F648" s="109" t="s">
        <v>1817</v>
      </c>
      <c r="G648" s="111" t="s">
        <v>1172</v>
      </c>
    </row>
    <row r="649" customFormat="false" ht="23.85" hidden="false" customHeight="false" outlineLevel="0" collapsed="false">
      <c r="A649" s="109" t="s">
        <v>92</v>
      </c>
      <c r="B649" s="109" t="s">
        <v>94</v>
      </c>
      <c r="C649" s="109" t="s">
        <v>404</v>
      </c>
      <c r="D649" s="109" t="s">
        <v>63</v>
      </c>
      <c r="E649" s="114" t="s">
        <v>22</v>
      </c>
      <c r="F649" s="109" t="s">
        <v>1818</v>
      </c>
      <c r="G649" s="111" t="s">
        <v>1384</v>
      </c>
    </row>
    <row r="650" customFormat="false" ht="15" hidden="false" customHeight="false" outlineLevel="0" collapsed="false">
      <c r="A650" s="109" t="s">
        <v>92</v>
      </c>
      <c r="B650" s="109" t="s">
        <v>94</v>
      </c>
      <c r="C650" s="109" t="s">
        <v>404</v>
      </c>
      <c r="D650" s="109" t="s">
        <v>67</v>
      </c>
      <c r="E650" s="113" t="s">
        <v>24</v>
      </c>
      <c r="F650" s="109" t="s">
        <v>1819</v>
      </c>
      <c r="G650" s="111" t="s">
        <v>1820</v>
      </c>
    </row>
    <row r="651" customFormat="false" ht="15" hidden="false" customHeight="false" outlineLevel="0" collapsed="false">
      <c r="A651" s="109" t="s">
        <v>92</v>
      </c>
      <c r="B651" s="109" t="s">
        <v>94</v>
      </c>
      <c r="C651" s="109" t="s">
        <v>404</v>
      </c>
      <c r="D651" s="109" t="s">
        <v>71</v>
      </c>
      <c r="E651" s="112" t="s">
        <v>16</v>
      </c>
      <c r="F651" s="109" t="s">
        <v>1821</v>
      </c>
      <c r="G651" s="111" t="s">
        <v>1822</v>
      </c>
    </row>
    <row r="652" customFormat="false" ht="23.85" hidden="false" customHeight="false" outlineLevel="0" collapsed="false">
      <c r="A652" s="109" t="s">
        <v>92</v>
      </c>
      <c r="B652" s="109" t="s">
        <v>94</v>
      </c>
      <c r="C652" s="109" t="s">
        <v>406</v>
      </c>
      <c r="D652" s="109" t="s">
        <v>35</v>
      </c>
      <c r="E652" s="114" t="s">
        <v>22</v>
      </c>
      <c r="F652" s="109" t="s">
        <v>1823</v>
      </c>
      <c r="G652" s="111" t="s">
        <v>1374</v>
      </c>
    </row>
    <row r="653" customFormat="false" ht="23.85" hidden="false" customHeight="false" outlineLevel="0" collapsed="false">
      <c r="A653" s="109" t="s">
        <v>92</v>
      </c>
      <c r="B653" s="109" t="s">
        <v>94</v>
      </c>
      <c r="C653" s="109" t="s">
        <v>406</v>
      </c>
      <c r="D653" s="109" t="s">
        <v>39</v>
      </c>
      <c r="E653" s="112" t="s">
        <v>16</v>
      </c>
      <c r="F653" s="109" t="s">
        <v>1824</v>
      </c>
      <c r="G653" s="111" t="s">
        <v>1376</v>
      </c>
    </row>
    <row r="654" customFormat="false" ht="23.85" hidden="false" customHeight="false" outlineLevel="0" collapsed="false">
      <c r="A654" s="109" t="s">
        <v>92</v>
      </c>
      <c r="B654" s="109" t="s">
        <v>94</v>
      </c>
      <c r="C654" s="109" t="s">
        <v>406</v>
      </c>
      <c r="D654" s="109" t="s">
        <v>43</v>
      </c>
      <c r="E654" s="115" t="s">
        <v>20</v>
      </c>
      <c r="F654" s="109" t="s">
        <v>1825</v>
      </c>
      <c r="G654" s="111" t="s">
        <v>1826</v>
      </c>
    </row>
    <row r="655" customFormat="false" ht="23.85" hidden="false" customHeight="false" outlineLevel="0" collapsed="false">
      <c r="A655" s="109" t="s">
        <v>92</v>
      </c>
      <c r="B655" s="109" t="s">
        <v>94</v>
      </c>
      <c r="C655" s="109" t="s">
        <v>406</v>
      </c>
      <c r="D655" s="109" t="s">
        <v>47</v>
      </c>
      <c r="E655" s="114" t="s">
        <v>22</v>
      </c>
      <c r="F655" s="109" t="s">
        <v>1827</v>
      </c>
      <c r="G655" s="111" t="s">
        <v>1379</v>
      </c>
    </row>
    <row r="656" customFormat="false" ht="23.85" hidden="false" customHeight="false" outlineLevel="0" collapsed="false">
      <c r="A656" s="109" t="s">
        <v>92</v>
      </c>
      <c r="B656" s="109" t="s">
        <v>94</v>
      </c>
      <c r="C656" s="109" t="s">
        <v>406</v>
      </c>
      <c r="D656" s="109" t="s">
        <v>51</v>
      </c>
      <c r="E656" s="114" t="s">
        <v>22</v>
      </c>
      <c r="F656" s="109" t="s">
        <v>1828</v>
      </c>
      <c r="G656" s="111" t="s">
        <v>1694</v>
      </c>
    </row>
    <row r="657" customFormat="false" ht="23.85" hidden="false" customHeight="false" outlineLevel="0" collapsed="false">
      <c r="A657" s="109" t="s">
        <v>92</v>
      </c>
      <c r="B657" s="109" t="s">
        <v>94</v>
      </c>
      <c r="C657" s="109" t="s">
        <v>406</v>
      </c>
      <c r="D657" s="109" t="s">
        <v>55</v>
      </c>
      <c r="E657" s="114" t="s">
        <v>22</v>
      </c>
      <c r="F657" s="109" t="s">
        <v>1829</v>
      </c>
      <c r="G657" s="111" t="s">
        <v>1477</v>
      </c>
    </row>
    <row r="658" customFormat="false" ht="15" hidden="false" customHeight="false" outlineLevel="0" collapsed="false">
      <c r="A658" s="109" t="s">
        <v>92</v>
      </c>
      <c r="B658" s="109" t="s">
        <v>94</v>
      </c>
      <c r="C658" s="109" t="s">
        <v>406</v>
      </c>
      <c r="D658" s="109" t="s">
        <v>59</v>
      </c>
      <c r="E658" s="113" t="s">
        <v>24</v>
      </c>
      <c r="F658" s="109" t="s">
        <v>1830</v>
      </c>
      <c r="G658" s="111" t="s">
        <v>1479</v>
      </c>
    </row>
    <row r="659" customFormat="false" ht="15" hidden="false" customHeight="false" outlineLevel="0" collapsed="false">
      <c r="A659" s="109" t="s">
        <v>92</v>
      </c>
      <c r="B659" s="109" t="s">
        <v>94</v>
      </c>
      <c r="C659" s="109" t="s">
        <v>406</v>
      </c>
      <c r="D659" s="109" t="s">
        <v>63</v>
      </c>
      <c r="E659" s="110" t="s">
        <v>18</v>
      </c>
      <c r="F659" s="109" t="s">
        <v>1831</v>
      </c>
      <c r="G659" s="111" t="s">
        <v>1157</v>
      </c>
    </row>
    <row r="660" customFormat="false" ht="15" hidden="false" customHeight="false" outlineLevel="0" collapsed="false">
      <c r="A660" s="109" t="s">
        <v>92</v>
      </c>
      <c r="B660" s="109" t="s">
        <v>94</v>
      </c>
      <c r="C660" s="109" t="s">
        <v>406</v>
      </c>
      <c r="D660" s="109" t="s">
        <v>67</v>
      </c>
      <c r="E660" s="112" t="s">
        <v>16</v>
      </c>
      <c r="F660" s="109" t="s">
        <v>1832</v>
      </c>
      <c r="G660" s="111" t="s">
        <v>1176</v>
      </c>
    </row>
    <row r="661" customFormat="false" ht="15" hidden="false" customHeight="false" outlineLevel="0" collapsed="false">
      <c r="A661" s="109" t="s">
        <v>92</v>
      </c>
      <c r="B661" s="109" t="s">
        <v>94</v>
      </c>
      <c r="C661" s="109" t="s">
        <v>406</v>
      </c>
      <c r="D661" s="109" t="s">
        <v>71</v>
      </c>
      <c r="E661" s="114" t="s">
        <v>22</v>
      </c>
      <c r="F661" s="109" t="s">
        <v>1833</v>
      </c>
      <c r="G661" s="111" t="s">
        <v>1222</v>
      </c>
    </row>
    <row r="662" customFormat="false" ht="23.85" hidden="false" customHeight="false" outlineLevel="0" collapsed="false">
      <c r="A662" s="109" t="s">
        <v>92</v>
      </c>
      <c r="B662" s="109" t="s">
        <v>94</v>
      </c>
      <c r="C662" s="109" t="s">
        <v>408</v>
      </c>
      <c r="D662" s="109" t="s">
        <v>35</v>
      </c>
      <c r="E662" s="115" t="s">
        <v>20</v>
      </c>
      <c r="F662" s="109" t="s">
        <v>1834</v>
      </c>
      <c r="G662" s="111" t="s">
        <v>1835</v>
      </c>
    </row>
    <row r="663" customFormat="false" ht="15" hidden="false" customHeight="false" outlineLevel="0" collapsed="false">
      <c r="A663" s="109" t="s">
        <v>92</v>
      </c>
      <c r="B663" s="109" t="s">
        <v>94</v>
      </c>
      <c r="C663" s="109" t="s">
        <v>408</v>
      </c>
      <c r="D663" s="109" t="s">
        <v>39</v>
      </c>
      <c r="E663" s="115" t="s">
        <v>20</v>
      </c>
      <c r="F663" s="109" t="s">
        <v>1836</v>
      </c>
      <c r="G663" s="111" t="s">
        <v>1837</v>
      </c>
    </row>
    <row r="664" customFormat="false" ht="15" hidden="false" customHeight="false" outlineLevel="0" collapsed="false">
      <c r="A664" s="109" t="s">
        <v>92</v>
      </c>
      <c r="B664" s="109" t="s">
        <v>94</v>
      </c>
      <c r="C664" s="109" t="s">
        <v>408</v>
      </c>
      <c r="D664" s="109" t="s">
        <v>43</v>
      </c>
      <c r="E664" s="115" t="s">
        <v>20</v>
      </c>
      <c r="F664" s="109" t="s">
        <v>1838</v>
      </c>
      <c r="G664" s="111" t="s">
        <v>1839</v>
      </c>
    </row>
    <row r="665" customFormat="false" ht="15" hidden="false" customHeight="false" outlineLevel="0" collapsed="false">
      <c r="A665" s="109" t="s">
        <v>92</v>
      </c>
      <c r="B665" s="109" t="s">
        <v>94</v>
      </c>
      <c r="C665" s="109" t="s">
        <v>408</v>
      </c>
      <c r="D665" s="109" t="s">
        <v>47</v>
      </c>
      <c r="E665" s="113" t="s">
        <v>24</v>
      </c>
      <c r="F665" s="109" t="s">
        <v>1840</v>
      </c>
      <c r="G665" s="111" t="s">
        <v>1379</v>
      </c>
    </row>
    <row r="666" customFormat="false" ht="15" hidden="false" customHeight="false" outlineLevel="0" collapsed="false">
      <c r="A666" s="109" t="s">
        <v>92</v>
      </c>
      <c r="B666" s="109" t="s">
        <v>94</v>
      </c>
      <c r="C666" s="109" t="s">
        <v>408</v>
      </c>
      <c r="D666" s="109" t="s">
        <v>51</v>
      </c>
      <c r="E666" s="113" t="s">
        <v>24</v>
      </c>
      <c r="F666" s="109" t="s">
        <v>1841</v>
      </c>
      <c r="G666" s="111" t="s">
        <v>1842</v>
      </c>
    </row>
    <row r="667" customFormat="false" ht="15" hidden="false" customHeight="false" outlineLevel="0" collapsed="false">
      <c r="A667" s="109" t="s">
        <v>92</v>
      </c>
      <c r="B667" s="109" t="s">
        <v>94</v>
      </c>
      <c r="C667" s="109" t="s">
        <v>408</v>
      </c>
      <c r="D667" s="109" t="s">
        <v>55</v>
      </c>
      <c r="E667" s="113" t="s">
        <v>24</v>
      </c>
      <c r="F667" s="109" t="s">
        <v>1843</v>
      </c>
      <c r="G667" s="109"/>
    </row>
    <row r="668" customFormat="false" ht="15" hidden="false" customHeight="false" outlineLevel="0" collapsed="false">
      <c r="A668" s="109" t="s">
        <v>92</v>
      </c>
      <c r="B668" s="109" t="s">
        <v>94</v>
      </c>
      <c r="C668" s="109" t="s">
        <v>408</v>
      </c>
      <c r="D668" s="109" t="s">
        <v>59</v>
      </c>
      <c r="E668" s="113" t="s">
        <v>24</v>
      </c>
      <c r="F668" s="109" t="s">
        <v>1844</v>
      </c>
      <c r="G668" s="109"/>
    </row>
    <row r="669" customFormat="false" ht="15" hidden="false" customHeight="false" outlineLevel="0" collapsed="false">
      <c r="A669" s="109" t="s">
        <v>92</v>
      </c>
      <c r="B669" s="109" t="s">
        <v>94</v>
      </c>
      <c r="C669" s="109" t="s">
        <v>408</v>
      </c>
      <c r="D669" s="109" t="s">
        <v>63</v>
      </c>
      <c r="E669" s="110" t="s">
        <v>18</v>
      </c>
      <c r="F669" s="109" t="s">
        <v>1845</v>
      </c>
      <c r="G669" s="111" t="s">
        <v>1157</v>
      </c>
    </row>
    <row r="670" customFormat="false" ht="15" hidden="false" customHeight="false" outlineLevel="0" collapsed="false">
      <c r="A670" s="109" t="s">
        <v>92</v>
      </c>
      <c r="B670" s="109" t="s">
        <v>94</v>
      </c>
      <c r="C670" s="109" t="s">
        <v>408</v>
      </c>
      <c r="D670" s="109" t="s">
        <v>67</v>
      </c>
      <c r="E670" s="113" t="s">
        <v>24</v>
      </c>
      <c r="F670" s="109" t="s">
        <v>1846</v>
      </c>
      <c r="G670" s="111" t="s">
        <v>1176</v>
      </c>
    </row>
    <row r="671" customFormat="false" ht="15" hidden="false" customHeight="false" outlineLevel="0" collapsed="false">
      <c r="A671" s="109" t="s">
        <v>92</v>
      </c>
      <c r="B671" s="109" t="s">
        <v>94</v>
      </c>
      <c r="C671" s="109" t="s">
        <v>408</v>
      </c>
      <c r="D671" s="109" t="s">
        <v>71</v>
      </c>
      <c r="E671" s="113" t="s">
        <v>24</v>
      </c>
      <c r="F671" s="109" t="s">
        <v>1847</v>
      </c>
      <c r="G671" s="109"/>
    </row>
    <row r="672" customFormat="false" ht="23.85" hidden="false" customHeight="false" outlineLevel="0" collapsed="false">
      <c r="A672" s="109" t="s">
        <v>92</v>
      </c>
      <c r="B672" s="109" t="s">
        <v>94</v>
      </c>
      <c r="C672" s="109" t="s">
        <v>409</v>
      </c>
      <c r="D672" s="109" t="s">
        <v>35</v>
      </c>
      <c r="E672" s="112" t="s">
        <v>16</v>
      </c>
      <c r="F672" s="109" t="s">
        <v>1848</v>
      </c>
      <c r="G672" s="111" t="s">
        <v>1179</v>
      </c>
    </row>
    <row r="673" customFormat="false" ht="23.85" hidden="false" customHeight="false" outlineLevel="0" collapsed="false">
      <c r="A673" s="109" t="s">
        <v>92</v>
      </c>
      <c r="B673" s="109" t="s">
        <v>94</v>
      </c>
      <c r="C673" s="109" t="s">
        <v>409</v>
      </c>
      <c r="D673" s="109" t="s">
        <v>39</v>
      </c>
      <c r="E673" s="115" t="s">
        <v>20</v>
      </c>
      <c r="F673" s="109" t="s">
        <v>1849</v>
      </c>
      <c r="G673" s="111" t="s">
        <v>1837</v>
      </c>
    </row>
    <row r="674" customFormat="false" ht="23.85" hidden="false" customHeight="false" outlineLevel="0" collapsed="false">
      <c r="A674" s="109" t="s">
        <v>92</v>
      </c>
      <c r="B674" s="109" t="s">
        <v>94</v>
      </c>
      <c r="C674" s="109" t="s">
        <v>409</v>
      </c>
      <c r="D674" s="109" t="s">
        <v>43</v>
      </c>
      <c r="E674" s="114" t="s">
        <v>22</v>
      </c>
      <c r="F674" s="109" t="s">
        <v>1850</v>
      </c>
      <c r="G674" s="111" t="s">
        <v>1003</v>
      </c>
    </row>
    <row r="675" customFormat="false" ht="15" hidden="false" customHeight="false" outlineLevel="0" collapsed="false">
      <c r="A675" s="109" t="s">
        <v>92</v>
      </c>
      <c r="B675" s="109" t="s">
        <v>94</v>
      </c>
      <c r="C675" s="109" t="s">
        <v>409</v>
      </c>
      <c r="D675" s="109" t="s">
        <v>47</v>
      </c>
      <c r="E675" s="113" t="s">
        <v>24</v>
      </c>
      <c r="F675" s="109" t="s">
        <v>1851</v>
      </c>
      <c r="G675" s="111" t="s">
        <v>1379</v>
      </c>
    </row>
    <row r="676" customFormat="false" ht="15" hidden="false" customHeight="false" outlineLevel="0" collapsed="false">
      <c r="A676" s="109" t="s">
        <v>92</v>
      </c>
      <c r="B676" s="109" t="s">
        <v>94</v>
      </c>
      <c r="C676" s="109" t="s">
        <v>409</v>
      </c>
      <c r="D676" s="109" t="s">
        <v>51</v>
      </c>
      <c r="E676" s="113" t="s">
        <v>24</v>
      </c>
      <c r="F676" s="109" t="s">
        <v>1852</v>
      </c>
      <c r="G676" s="109"/>
    </row>
    <row r="677" customFormat="false" ht="15" hidden="false" customHeight="false" outlineLevel="0" collapsed="false">
      <c r="A677" s="109" t="s">
        <v>92</v>
      </c>
      <c r="B677" s="109" t="s">
        <v>94</v>
      </c>
      <c r="C677" s="109" t="s">
        <v>409</v>
      </c>
      <c r="D677" s="109" t="s">
        <v>55</v>
      </c>
      <c r="E677" s="114" t="s">
        <v>22</v>
      </c>
      <c r="F677" s="109" t="s">
        <v>1853</v>
      </c>
      <c r="G677" s="111" t="s">
        <v>1854</v>
      </c>
    </row>
    <row r="678" customFormat="false" ht="15" hidden="false" customHeight="false" outlineLevel="0" collapsed="false">
      <c r="A678" s="109" t="s">
        <v>92</v>
      </c>
      <c r="B678" s="109" t="s">
        <v>94</v>
      </c>
      <c r="C678" s="109" t="s">
        <v>409</v>
      </c>
      <c r="D678" s="109" t="s">
        <v>59</v>
      </c>
      <c r="E678" s="113" t="s">
        <v>24</v>
      </c>
      <c r="F678" s="109" t="s">
        <v>1855</v>
      </c>
      <c r="G678" s="111" t="s">
        <v>1856</v>
      </c>
    </row>
    <row r="679" customFormat="false" ht="15" hidden="false" customHeight="false" outlineLevel="0" collapsed="false">
      <c r="A679" s="109" t="s">
        <v>92</v>
      </c>
      <c r="B679" s="109" t="s">
        <v>94</v>
      </c>
      <c r="C679" s="109" t="s">
        <v>409</v>
      </c>
      <c r="D679" s="109" t="s">
        <v>63</v>
      </c>
      <c r="E679" s="110" t="s">
        <v>18</v>
      </c>
      <c r="F679" s="109" t="s">
        <v>1857</v>
      </c>
      <c r="G679" s="111" t="s">
        <v>1157</v>
      </c>
    </row>
    <row r="680" customFormat="false" ht="23.85" hidden="false" customHeight="false" outlineLevel="0" collapsed="false">
      <c r="A680" s="109" t="s">
        <v>92</v>
      </c>
      <c r="B680" s="109" t="s">
        <v>94</v>
      </c>
      <c r="C680" s="109" t="s">
        <v>409</v>
      </c>
      <c r="D680" s="109" t="s">
        <v>67</v>
      </c>
      <c r="E680" s="114" t="s">
        <v>22</v>
      </c>
      <c r="F680" s="109" t="s">
        <v>1858</v>
      </c>
      <c r="G680" s="111" t="s">
        <v>1176</v>
      </c>
    </row>
    <row r="681" customFormat="false" ht="15" hidden="false" customHeight="false" outlineLevel="0" collapsed="false">
      <c r="A681" s="109" t="s">
        <v>92</v>
      </c>
      <c r="B681" s="109" t="s">
        <v>94</v>
      </c>
      <c r="C681" s="109" t="s">
        <v>409</v>
      </c>
      <c r="D681" s="109" t="s">
        <v>71</v>
      </c>
      <c r="E681" s="113" t="s">
        <v>24</v>
      </c>
      <c r="F681" s="109" t="s">
        <v>1859</v>
      </c>
      <c r="G681" s="111" t="s">
        <v>848</v>
      </c>
    </row>
    <row r="682" customFormat="false" ht="15" hidden="false" customHeight="false" outlineLevel="0" collapsed="false">
      <c r="A682" s="109" t="s">
        <v>92</v>
      </c>
      <c r="B682" s="109" t="s">
        <v>94</v>
      </c>
      <c r="C682" s="109" t="s">
        <v>411</v>
      </c>
      <c r="D682" s="109" t="s">
        <v>35</v>
      </c>
      <c r="E682" s="112" t="s">
        <v>16</v>
      </c>
      <c r="F682" s="109" t="s">
        <v>1860</v>
      </c>
      <c r="G682" s="111" t="s">
        <v>1861</v>
      </c>
    </row>
    <row r="683" customFormat="false" ht="23.85" hidden="false" customHeight="false" outlineLevel="0" collapsed="false">
      <c r="A683" s="109" t="s">
        <v>92</v>
      </c>
      <c r="B683" s="109" t="s">
        <v>94</v>
      </c>
      <c r="C683" s="109" t="s">
        <v>411</v>
      </c>
      <c r="D683" s="109" t="s">
        <v>39</v>
      </c>
      <c r="E683" s="115" t="s">
        <v>20</v>
      </c>
      <c r="F683" s="109" t="s">
        <v>1862</v>
      </c>
      <c r="G683" s="111" t="s">
        <v>1863</v>
      </c>
    </row>
    <row r="684" customFormat="false" ht="23.85" hidden="false" customHeight="false" outlineLevel="0" collapsed="false">
      <c r="A684" s="109" t="s">
        <v>92</v>
      </c>
      <c r="B684" s="109" t="s">
        <v>94</v>
      </c>
      <c r="C684" s="109" t="s">
        <v>411</v>
      </c>
      <c r="D684" s="109" t="s">
        <v>43</v>
      </c>
      <c r="E684" s="114" t="s">
        <v>22</v>
      </c>
      <c r="F684" s="109" t="s">
        <v>1864</v>
      </c>
      <c r="G684" s="111" t="s">
        <v>1196</v>
      </c>
    </row>
    <row r="685" customFormat="false" ht="23.85" hidden="false" customHeight="false" outlineLevel="0" collapsed="false">
      <c r="A685" s="109" t="s">
        <v>92</v>
      </c>
      <c r="B685" s="109" t="s">
        <v>94</v>
      </c>
      <c r="C685" s="109" t="s">
        <v>411</v>
      </c>
      <c r="D685" s="109" t="s">
        <v>47</v>
      </c>
      <c r="E685" s="112" t="s">
        <v>16</v>
      </c>
      <c r="F685" s="109" t="s">
        <v>1865</v>
      </c>
      <c r="G685" s="111" t="s">
        <v>1379</v>
      </c>
    </row>
    <row r="686" customFormat="false" ht="15" hidden="false" customHeight="false" outlineLevel="0" collapsed="false">
      <c r="A686" s="109" t="s">
        <v>92</v>
      </c>
      <c r="B686" s="109" t="s">
        <v>94</v>
      </c>
      <c r="C686" s="109" t="s">
        <v>411</v>
      </c>
      <c r="D686" s="109" t="s">
        <v>51</v>
      </c>
      <c r="E686" s="110" t="s">
        <v>18</v>
      </c>
      <c r="F686" s="109" t="s">
        <v>1866</v>
      </c>
      <c r="G686" s="111" t="s">
        <v>1867</v>
      </c>
    </row>
    <row r="687" customFormat="false" ht="23.85" hidden="false" customHeight="false" outlineLevel="0" collapsed="false">
      <c r="A687" s="109" t="s">
        <v>92</v>
      </c>
      <c r="B687" s="109" t="s">
        <v>94</v>
      </c>
      <c r="C687" s="109" t="s">
        <v>411</v>
      </c>
      <c r="D687" s="109" t="s">
        <v>55</v>
      </c>
      <c r="E687" s="114" t="s">
        <v>22</v>
      </c>
      <c r="F687" s="109" t="s">
        <v>1868</v>
      </c>
      <c r="G687" s="111" t="s">
        <v>1869</v>
      </c>
    </row>
    <row r="688" customFormat="false" ht="23.85" hidden="false" customHeight="false" outlineLevel="0" collapsed="false">
      <c r="A688" s="109" t="s">
        <v>92</v>
      </c>
      <c r="B688" s="109" t="s">
        <v>94</v>
      </c>
      <c r="C688" s="109" t="s">
        <v>411</v>
      </c>
      <c r="D688" s="109" t="s">
        <v>59</v>
      </c>
      <c r="E688" s="114" t="s">
        <v>22</v>
      </c>
      <c r="F688" s="109" t="s">
        <v>1870</v>
      </c>
      <c r="G688" s="111" t="s">
        <v>1479</v>
      </c>
    </row>
    <row r="689" customFormat="false" ht="23.85" hidden="false" customHeight="false" outlineLevel="0" collapsed="false">
      <c r="A689" s="109" t="s">
        <v>92</v>
      </c>
      <c r="B689" s="109" t="s">
        <v>94</v>
      </c>
      <c r="C689" s="109" t="s">
        <v>411</v>
      </c>
      <c r="D689" s="109" t="s">
        <v>63</v>
      </c>
      <c r="E689" s="112" t="s">
        <v>16</v>
      </c>
      <c r="F689" s="109" t="s">
        <v>1871</v>
      </c>
      <c r="G689" s="111" t="s">
        <v>1872</v>
      </c>
    </row>
    <row r="690" customFormat="false" ht="15" hidden="false" customHeight="false" outlineLevel="0" collapsed="false">
      <c r="A690" s="109" t="s">
        <v>92</v>
      </c>
      <c r="B690" s="109" t="s">
        <v>94</v>
      </c>
      <c r="C690" s="109" t="s">
        <v>411</v>
      </c>
      <c r="D690" s="109" t="s">
        <v>67</v>
      </c>
      <c r="E690" s="113" t="s">
        <v>24</v>
      </c>
      <c r="F690" s="109" t="s">
        <v>1873</v>
      </c>
      <c r="G690" s="109"/>
    </row>
    <row r="691" customFormat="false" ht="15" hidden="false" customHeight="false" outlineLevel="0" collapsed="false">
      <c r="A691" s="109" t="s">
        <v>92</v>
      </c>
      <c r="B691" s="109" t="s">
        <v>94</v>
      </c>
      <c r="C691" s="109" t="s">
        <v>411</v>
      </c>
      <c r="D691" s="109" t="s">
        <v>71</v>
      </c>
      <c r="E691" s="113" t="s">
        <v>24</v>
      </c>
      <c r="F691" s="109" t="s">
        <v>1874</v>
      </c>
      <c r="G691" s="109"/>
    </row>
    <row r="692" customFormat="false" ht="23.85" hidden="false" customHeight="false" outlineLevel="0" collapsed="false">
      <c r="A692" s="109" t="s">
        <v>92</v>
      </c>
      <c r="B692" s="109" t="s">
        <v>94</v>
      </c>
      <c r="C692" s="109" t="s">
        <v>413</v>
      </c>
      <c r="D692" s="109" t="s">
        <v>35</v>
      </c>
      <c r="E692" s="110" t="s">
        <v>18</v>
      </c>
      <c r="F692" s="109" t="s">
        <v>1875</v>
      </c>
      <c r="G692" s="111" t="s">
        <v>1876</v>
      </c>
    </row>
    <row r="693" customFormat="false" ht="23.85" hidden="false" customHeight="false" outlineLevel="0" collapsed="false">
      <c r="A693" s="109" t="s">
        <v>92</v>
      </c>
      <c r="B693" s="109" t="s">
        <v>94</v>
      </c>
      <c r="C693" s="109" t="s">
        <v>413</v>
      </c>
      <c r="D693" s="109" t="s">
        <v>39</v>
      </c>
      <c r="E693" s="115" t="s">
        <v>20</v>
      </c>
      <c r="F693" s="109" t="s">
        <v>1877</v>
      </c>
      <c r="G693" s="111" t="s">
        <v>1878</v>
      </c>
    </row>
    <row r="694" customFormat="false" ht="23.85" hidden="false" customHeight="false" outlineLevel="0" collapsed="false">
      <c r="A694" s="109" t="s">
        <v>92</v>
      </c>
      <c r="B694" s="109" t="s">
        <v>94</v>
      </c>
      <c r="C694" s="109" t="s">
        <v>413</v>
      </c>
      <c r="D694" s="109" t="s">
        <v>43</v>
      </c>
      <c r="E694" s="113" t="s">
        <v>24</v>
      </c>
      <c r="F694" s="109" t="s">
        <v>1879</v>
      </c>
      <c r="G694" s="111" t="s">
        <v>1035</v>
      </c>
    </row>
    <row r="695" customFormat="false" ht="23.85" hidden="false" customHeight="false" outlineLevel="0" collapsed="false">
      <c r="A695" s="109" t="s">
        <v>92</v>
      </c>
      <c r="B695" s="109" t="s">
        <v>94</v>
      </c>
      <c r="C695" s="109" t="s">
        <v>413</v>
      </c>
      <c r="D695" s="109" t="s">
        <v>47</v>
      </c>
      <c r="E695" s="114" t="s">
        <v>22</v>
      </c>
      <c r="F695" s="109" t="s">
        <v>1880</v>
      </c>
      <c r="G695" s="111" t="s">
        <v>1213</v>
      </c>
    </row>
    <row r="696" customFormat="false" ht="23.85" hidden="false" customHeight="false" outlineLevel="0" collapsed="false">
      <c r="A696" s="109" t="s">
        <v>92</v>
      </c>
      <c r="B696" s="109" t="s">
        <v>94</v>
      </c>
      <c r="C696" s="109" t="s">
        <v>413</v>
      </c>
      <c r="D696" s="109" t="s">
        <v>51</v>
      </c>
      <c r="E696" s="110" t="s">
        <v>18</v>
      </c>
      <c r="F696" s="109" t="s">
        <v>1881</v>
      </c>
      <c r="G696" s="111" t="s">
        <v>1882</v>
      </c>
    </row>
    <row r="697" customFormat="false" ht="15" hidden="false" customHeight="false" outlineLevel="0" collapsed="false">
      <c r="A697" s="109" t="s">
        <v>92</v>
      </c>
      <c r="B697" s="109" t="s">
        <v>94</v>
      </c>
      <c r="C697" s="109" t="s">
        <v>413</v>
      </c>
      <c r="D697" s="109" t="s">
        <v>55</v>
      </c>
      <c r="E697" s="113" t="s">
        <v>24</v>
      </c>
      <c r="F697" s="109" t="s">
        <v>1883</v>
      </c>
      <c r="G697" s="109"/>
    </row>
    <row r="698" customFormat="false" ht="23.85" hidden="false" customHeight="false" outlineLevel="0" collapsed="false">
      <c r="A698" s="109" t="s">
        <v>92</v>
      </c>
      <c r="B698" s="109" t="s">
        <v>94</v>
      </c>
      <c r="C698" s="109" t="s">
        <v>413</v>
      </c>
      <c r="D698" s="109" t="s">
        <v>59</v>
      </c>
      <c r="E698" s="110" t="s">
        <v>18</v>
      </c>
      <c r="F698" s="109" t="s">
        <v>1884</v>
      </c>
      <c r="G698" s="111" t="s">
        <v>1885</v>
      </c>
    </row>
    <row r="699" customFormat="false" ht="15" hidden="false" customHeight="false" outlineLevel="0" collapsed="false">
      <c r="A699" s="109" t="s">
        <v>92</v>
      </c>
      <c r="B699" s="109" t="s">
        <v>94</v>
      </c>
      <c r="C699" s="109" t="s">
        <v>413</v>
      </c>
      <c r="D699" s="109" t="s">
        <v>63</v>
      </c>
      <c r="E699" s="110" t="s">
        <v>18</v>
      </c>
      <c r="F699" s="109" t="s">
        <v>1886</v>
      </c>
      <c r="G699" s="111" t="s">
        <v>1157</v>
      </c>
    </row>
    <row r="700" customFormat="false" ht="15" hidden="false" customHeight="false" outlineLevel="0" collapsed="false">
      <c r="A700" s="109" t="s">
        <v>92</v>
      </c>
      <c r="B700" s="109" t="s">
        <v>94</v>
      </c>
      <c r="C700" s="109" t="s">
        <v>413</v>
      </c>
      <c r="D700" s="109" t="s">
        <v>67</v>
      </c>
      <c r="E700" s="113" t="s">
        <v>24</v>
      </c>
      <c r="F700" s="109" t="s">
        <v>1887</v>
      </c>
      <c r="G700" s="109"/>
    </row>
    <row r="701" customFormat="false" ht="15" hidden="false" customHeight="false" outlineLevel="0" collapsed="false">
      <c r="A701" s="109" t="s">
        <v>92</v>
      </c>
      <c r="B701" s="109" t="s">
        <v>94</v>
      </c>
      <c r="C701" s="109" t="s">
        <v>413</v>
      </c>
      <c r="D701" s="109" t="s">
        <v>71</v>
      </c>
      <c r="E701" s="113" t="s">
        <v>24</v>
      </c>
      <c r="F701" s="109" t="s">
        <v>1888</v>
      </c>
      <c r="G701" s="109"/>
    </row>
    <row r="702" customFormat="false" ht="23.85" hidden="false" customHeight="false" outlineLevel="0" collapsed="false">
      <c r="A702" s="109" t="s">
        <v>92</v>
      </c>
      <c r="B702" s="109" t="s">
        <v>95</v>
      </c>
      <c r="C702" s="109" t="s">
        <v>420</v>
      </c>
      <c r="D702" s="109" t="s">
        <v>35</v>
      </c>
      <c r="E702" s="114" t="s">
        <v>22</v>
      </c>
      <c r="F702" s="109" t="s">
        <v>1889</v>
      </c>
      <c r="G702" s="111" t="s">
        <v>1179</v>
      </c>
    </row>
    <row r="703" customFormat="false" ht="23.85" hidden="false" customHeight="false" outlineLevel="0" collapsed="false">
      <c r="A703" s="109" t="s">
        <v>92</v>
      </c>
      <c r="B703" s="109" t="s">
        <v>95</v>
      </c>
      <c r="C703" s="109" t="s">
        <v>420</v>
      </c>
      <c r="D703" s="109" t="s">
        <v>39</v>
      </c>
      <c r="E703" s="115" t="s">
        <v>20</v>
      </c>
      <c r="F703" s="109" t="s">
        <v>1890</v>
      </c>
      <c r="G703" s="111" t="s">
        <v>1891</v>
      </c>
    </row>
    <row r="704" customFormat="false" ht="23.85" hidden="false" customHeight="false" outlineLevel="0" collapsed="false">
      <c r="A704" s="109" t="s">
        <v>92</v>
      </c>
      <c r="B704" s="109" t="s">
        <v>95</v>
      </c>
      <c r="C704" s="109" t="s">
        <v>420</v>
      </c>
      <c r="D704" s="109" t="s">
        <v>43</v>
      </c>
      <c r="E704" s="113" t="s">
        <v>24</v>
      </c>
      <c r="F704" s="109" t="s">
        <v>1892</v>
      </c>
      <c r="G704" s="109"/>
    </row>
    <row r="705" customFormat="false" ht="23.85" hidden="false" customHeight="false" outlineLevel="0" collapsed="false">
      <c r="A705" s="109" t="s">
        <v>92</v>
      </c>
      <c r="B705" s="109" t="s">
        <v>95</v>
      </c>
      <c r="C705" s="109" t="s">
        <v>420</v>
      </c>
      <c r="D705" s="109" t="s">
        <v>47</v>
      </c>
      <c r="E705" s="114" t="s">
        <v>22</v>
      </c>
      <c r="F705" s="109" t="s">
        <v>1893</v>
      </c>
      <c r="G705" s="111" t="s">
        <v>1213</v>
      </c>
    </row>
    <row r="706" customFormat="false" ht="15" hidden="false" customHeight="false" outlineLevel="0" collapsed="false">
      <c r="A706" s="109" t="s">
        <v>92</v>
      </c>
      <c r="B706" s="109" t="s">
        <v>95</v>
      </c>
      <c r="C706" s="109" t="s">
        <v>420</v>
      </c>
      <c r="D706" s="109" t="s">
        <v>51</v>
      </c>
      <c r="E706" s="114" t="s">
        <v>22</v>
      </c>
      <c r="F706" s="109" t="s">
        <v>1894</v>
      </c>
      <c r="G706" s="111" t="s">
        <v>1895</v>
      </c>
    </row>
    <row r="707" customFormat="false" ht="15" hidden="false" customHeight="false" outlineLevel="0" collapsed="false">
      <c r="A707" s="109" t="s">
        <v>92</v>
      </c>
      <c r="B707" s="109" t="s">
        <v>95</v>
      </c>
      <c r="C707" s="109" t="s">
        <v>420</v>
      </c>
      <c r="D707" s="109" t="s">
        <v>55</v>
      </c>
      <c r="E707" s="110" t="s">
        <v>18</v>
      </c>
      <c r="F707" s="109" t="s">
        <v>1896</v>
      </c>
      <c r="G707" s="111" t="s">
        <v>1897</v>
      </c>
    </row>
    <row r="708" customFormat="false" ht="23.85" hidden="false" customHeight="false" outlineLevel="0" collapsed="false">
      <c r="A708" s="109" t="s">
        <v>92</v>
      </c>
      <c r="B708" s="109" t="s">
        <v>95</v>
      </c>
      <c r="C708" s="109" t="s">
        <v>420</v>
      </c>
      <c r="D708" s="109" t="s">
        <v>59</v>
      </c>
      <c r="E708" s="114" t="s">
        <v>22</v>
      </c>
      <c r="F708" s="109" t="s">
        <v>1898</v>
      </c>
      <c r="G708" s="111" t="s">
        <v>1155</v>
      </c>
    </row>
    <row r="709" customFormat="false" ht="15" hidden="false" customHeight="false" outlineLevel="0" collapsed="false">
      <c r="A709" s="109" t="s">
        <v>92</v>
      </c>
      <c r="B709" s="109" t="s">
        <v>95</v>
      </c>
      <c r="C709" s="109" t="s">
        <v>420</v>
      </c>
      <c r="D709" s="109" t="s">
        <v>63</v>
      </c>
      <c r="E709" s="110" t="s">
        <v>18</v>
      </c>
      <c r="F709" s="109" t="s">
        <v>1899</v>
      </c>
      <c r="G709" s="111" t="s">
        <v>1157</v>
      </c>
    </row>
    <row r="710" customFormat="false" ht="23.85" hidden="false" customHeight="false" outlineLevel="0" collapsed="false">
      <c r="A710" s="109" t="s">
        <v>92</v>
      </c>
      <c r="B710" s="109" t="s">
        <v>95</v>
      </c>
      <c r="C710" s="109" t="s">
        <v>420</v>
      </c>
      <c r="D710" s="109" t="s">
        <v>67</v>
      </c>
      <c r="E710" s="112" t="s">
        <v>16</v>
      </c>
      <c r="F710" s="109" t="s">
        <v>1900</v>
      </c>
      <c r="G710" s="111" t="s">
        <v>1176</v>
      </c>
    </row>
    <row r="711" customFormat="false" ht="23.85" hidden="false" customHeight="false" outlineLevel="0" collapsed="false">
      <c r="A711" s="109" t="s">
        <v>92</v>
      </c>
      <c r="B711" s="109" t="s">
        <v>95</v>
      </c>
      <c r="C711" s="109" t="s">
        <v>420</v>
      </c>
      <c r="D711" s="109" t="s">
        <v>71</v>
      </c>
      <c r="E711" s="114" t="s">
        <v>22</v>
      </c>
      <c r="F711" s="109" t="s">
        <v>1901</v>
      </c>
      <c r="G711" s="111" t="s">
        <v>1902</v>
      </c>
    </row>
    <row r="712" customFormat="false" ht="23.85" hidden="false" customHeight="false" outlineLevel="0" collapsed="false">
      <c r="A712" s="109" t="s">
        <v>92</v>
      </c>
      <c r="B712" s="109" t="s">
        <v>95</v>
      </c>
      <c r="C712" s="109" t="s">
        <v>422</v>
      </c>
      <c r="D712" s="109" t="s">
        <v>35</v>
      </c>
      <c r="E712" s="115" t="s">
        <v>20</v>
      </c>
      <c r="F712" s="109" t="s">
        <v>1903</v>
      </c>
      <c r="G712" s="111" t="s">
        <v>1904</v>
      </c>
    </row>
    <row r="713" customFormat="false" ht="23.85" hidden="false" customHeight="false" outlineLevel="0" collapsed="false">
      <c r="A713" s="109" t="s">
        <v>92</v>
      </c>
      <c r="B713" s="109" t="s">
        <v>95</v>
      </c>
      <c r="C713" s="109" t="s">
        <v>422</v>
      </c>
      <c r="D713" s="109" t="s">
        <v>39</v>
      </c>
      <c r="E713" s="114" t="s">
        <v>22</v>
      </c>
      <c r="F713" s="109" t="s">
        <v>1905</v>
      </c>
      <c r="G713" s="111" t="s">
        <v>1906</v>
      </c>
    </row>
    <row r="714" customFormat="false" ht="23.85" hidden="false" customHeight="false" outlineLevel="0" collapsed="false">
      <c r="A714" s="109" t="s">
        <v>92</v>
      </c>
      <c r="B714" s="109" t="s">
        <v>95</v>
      </c>
      <c r="C714" s="109" t="s">
        <v>422</v>
      </c>
      <c r="D714" s="109" t="s">
        <v>43</v>
      </c>
      <c r="E714" s="110" t="s">
        <v>18</v>
      </c>
      <c r="F714" s="109" t="s">
        <v>1907</v>
      </c>
      <c r="G714" s="111" t="s">
        <v>1908</v>
      </c>
    </row>
    <row r="715" customFormat="false" ht="23.85" hidden="false" customHeight="false" outlineLevel="0" collapsed="false">
      <c r="A715" s="109" t="s">
        <v>92</v>
      </c>
      <c r="B715" s="109" t="s">
        <v>95</v>
      </c>
      <c r="C715" s="109" t="s">
        <v>422</v>
      </c>
      <c r="D715" s="109" t="s">
        <v>47</v>
      </c>
      <c r="E715" s="114" t="s">
        <v>22</v>
      </c>
      <c r="F715" s="109" t="s">
        <v>1909</v>
      </c>
      <c r="G715" s="111" t="s">
        <v>1910</v>
      </c>
    </row>
    <row r="716" customFormat="false" ht="23.85" hidden="false" customHeight="false" outlineLevel="0" collapsed="false">
      <c r="A716" s="109" t="s">
        <v>92</v>
      </c>
      <c r="B716" s="109" t="s">
        <v>95</v>
      </c>
      <c r="C716" s="109" t="s">
        <v>422</v>
      </c>
      <c r="D716" s="109" t="s">
        <v>51</v>
      </c>
      <c r="E716" s="114" t="s">
        <v>22</v>
      </c>
      <c r="F716" s="109" t="s">
        <v>1911</v>
      </c>
      <c r="G716" s="111" t="s">
        <v>1584</v>
      </c>
    </row>
    <row r="717" customFormat="false" ht="23.85" hidden="false" customHeight="false" outlineLevel="0" collapsed="false">
      <c r="A717" s="109" t="s">
        <v>92</v>
      </c>
      <c r="B717" s="109" t="s">
        <v>95</v>
      </c>
      <c r="C717" s="109" t="s">
        <v>422</v>
      </c>
      <c r="D717" s="109" t="s">
        <v>55</v>
      </c>
      <c r="E717" s="112" t="s">
        <v>16</v>
      </c>
      <c r="F717" s="109" t="s">
        <v>1912</v>
      </c>
      <c r="G717" s="111" t="s">
        <v>1913</v>
      </c>
    </row>
    <row r="718" customFormat="false" ht="23.85" hidden="false" customHeight="false" outlineLevel="0" collapsed="false">
      <c r="A718" s="109" t="s">
        <v>92</v>
      </c>
      <c r="B718" s="109" t="s">
        <v>95</v>
      </c>
      <c r="C718" s="109" t="s">
        <v>422</v>
      </c>
      <c r="D718" s="109" t="s">
        <v>59</v>
      </c>
      <c r="E718" s="114" t="s">
        <v>22</v>
      </c>
      <c r="F718" s="109" t="s">
        <v>1914</v>
      </c>
      <c r="G718" s="111" t="s">
        <v>1915</v>
      </c>
    </row>
    <row r="719" customFormat="false" ht="23.85" hidden="false" customHeight="false" outlineLevel="0" collapsed="false">
      <c r="A719" s="109" t="s">
        <v>92</v>
      </c>
      <c r="B719" s="109" t="s">
        <v>95</v>
      </c>
      <c r="C719" s="109" t="s">
        <v>422</v>
      </c>
      <c r="D719" s="109" t="s">
        <v>63</v>
      </c>
      <c r="E719" s="114" t="s">
        <v>22</v>
      </c>
      <c r="F719" s="109" t="s">
        <v>1916</v>
      </c>
      <c r="G719" s="111" t="s">
        <v>1917</v>
      </c>
    </row>
    <row r="720" customFormat="false" ht="23.85" hidden="false" customHeight="false" outlineLevel="0" collapsed="false">
      <c r="A720" s="109" t="s">
        <v>92</v>
      </c>
      <c r="B720" s="109" t="s">
        <v>95</v>
      </c>
      <c r="C720" s="109" t="s">
        <v>422</v>
      </c>
      <c r="D720" s="109" t="s">
        <v>67</v>
      </c>
      <c r="E720" s="114" t="s">
        <v>22</v>
      </c>
      <c r="F720" s="109" t="s">
        <v>1918</v>
      </c>
      <c r="G720" s="111" t="s">
        <v>1919</v>
      </c>
    </row>
    <row r="721" customFormat="false" ht="15" hidden="false" customHeight="false" outlineLevel="0" collapsed="false">
      <c r="A721" s="109" t="s">
        <v>92</v>
      </c>
      <c r="B721" s="109" t="s">
        <v>95</v>
      </c>
      <c r="C721" s="109" t="s">
        <v>422</v>
      </c>
      <c r="D721" s="109" t="s">
        <v>71</v>
      </c>
      <c r="E721" s="113" t="s">
        <v>24</v>
      </c>
      <c r="F721" s="109" t="s">
        <v>1920</v>
      </c>
      <c r="G721" s="109"/>
    </row>
    <row r="722" customFormat="false" ht="23.85" hidden="false" customHeight="false" outlineLevel="0" collapsed="false">
      <c r="A722" s="109" t="s">
        <v>92</v>
      </c>
      <c r="B722" s="109" t="s">
        <v>95</v>
      </c>
      <c r="C722" s="109" t="s">
        <v>424</v>
      </c>
      <c r="D722" s="109" t="s">
        <v>35</v>
      </c>
      <c r="E722" s="114" t="s">
        <v>22</v>
      </c>
      <c r="F722" s="109" t="s">
        <v>1921</v>
      </c>
      <c r="G722" s="111" t="s">
        <v>1922</v>
      </c>
    </row>
    <row r="723" customFormat="false" ht="23.85" hidden="false" customHeight="false" outlineLevel="0" collapsed="false">
      <c r="A723" s="109" t="s">
        <v>92</v>
      </c>
      <c r="B723" s="109" t="s">
        <v>95</v>
      </c>
      <c r="C723" s="109" t="s">
        <v>424</v>
      </c>
      <c r="D723" s="109" t="s">
        <v>39</v>
      </c>
      <c r="E723" s="112" t="s">
        <v>16</v>
      </c>
      <c r="F723" s="109" t="s">
        <v>1923</v>
      </c>
      <c r="G723" s="111" t="s">
        <v>1924</v>
      </c>
    </row>
    <row r="724" customFormat="false" ht="23.85" hidden="false" customHeight="false" outlineLevel="0" collapsed="false">
      <c r="A724" s="109" t="s">
        <v>92</v>
      </c>
      <c r="B724" s="109" t="s">
        <v>95</v>
      </c>
      <c r="C724" s="109" t="s">
        <v>424</v>
      </c>
      <c r="D724" s="109" t="s">
        <v>43</v>
      </c>
      <c r="E724" s="112" t="s">
        <v>16</v>
      </c>
      <c r="F724" s="109" t="s">
        <v>1925</v>
      </c>
      <c r="G724" s="111" t="s">
        <v>1908</v>
      </c>
    </row>
    <row r="725" customFormat="false" ht="15" hidden="false" customHeight="false" outlineLevel="0" collapsed="false">
      <c r="A725" s="109" t="s">
        <v>92</v>
      </c>
      <c r="B725" s="109" t="s">
        <v>95</v>
      </c>
      <c r="C725" s="109" t="s">
        <v>424</v>
      </c>
      <c r="D725" s="109" t="s">
        <v>47</v>
      </c>
      <c r="E725" s="112" t="s">
        <v>16</v>
      </c>
      <c r="F725" s="109" t="s">
        <v>1926</v>
      </c>
      <c r="G725" s="111" t="s">
        <v>1910</v>
      </c>
    </row>
    <row r="726" customFormat="false" ht="15" hidden="false" customHeight="false" outlineLevel="0" collapsed="false">
      <c r="A726" s="109" t="s">
        <v>92</v>
      </c>
      <c r="B726" s="109" t="s">
        <v>95</v>
      </c>
      <c r="C726" s="109" t="s">
        <v>424</v>
      </c>
      <c r="D726" s="109" t="s">
        <v>51</v>
      </c>
      <c r="E726" s="112" t="s">
        <v>16</v>
      </c>
      <c r="F726" s="109" t="s">
        <v>1927</v>
      </c>
      <c r="G726" s="111" t="s">
        <v>1928</v>
      </c>
    </row>
    <row r="727" customFormat="false" ht="23.85" hidden="false" customHeight="false" outlineLevel="0" collapsed="false">
      <c r="A727" s="109" t="s">
        <v>92</v>
      </c>
      <c r="B727" s="109" t="s">
        <v>95</v>
      </c>
      <c r="C727" s="109" t="s">
        <v>424</v>
      </c>
      <c r="D727" s="109" t="s">
        <v>55</v>
      </c>
      <c r="E727" s="112" t="s">
        <v>16</v>
      </c>
      <c r="F727" s="109" t="s">
        <v>1929</v>
      </c>
      <c r="G727" s="111" t="s">
        <v>1930</v>
      </c>
    </row>
    <row r="728" customFormat="false" ht="23.85" hidden="false" customHeight="false" outlineLevel="0" collapsed="false">
      <c r="A728" s="109" t="s">
        <v>92</v>
      </c>
      <c r="B728" s="109" t="s">
        <v>95</v>
      </c>
      <c r="C728" s="109" t="s">
        <v>424</v>
      </c>
      <c r="D728" s="109" t="s">
        <v>59</v>
      </c>
      <c r="E728" s="110" t="s">
        <v>18</v>
      </c>
      <c r="F728" s="109" t="s">
        <v>1931</v>
      </c>
      <c r="G728" s="111" t="s">
        <v>1915</v>
      </c>
    </row>
    <row r="729" customFormat="false" ht="15" hidden="false" customHeight="false" outlineLevel="0" collapsed="false">
      <c r="A729" s="109" t="s">
        <v>92</v>
      </c>
      <c r="B729" s="109" t="s">
        <v>95</v>
      </c>
      <c r="C729" s="109" t="s">
        <v>424</v>
      </c>
      <c r="D729" s="109" t="s">
        <v>63</v>
      </c>
      <c r="E729" s="110" t="s">
        <v>18</v>
      </c>
      <c r="F729" s="109" t="s">
        <v>1932</v>
      </c>
      <c r="G729" s="111" t="s">
        <v>1933</v>
      </c>
    </row>
    <row r="730" customFormat="false" ht="15" hidden="false" customHeight="false" outlineLevel="0" collapsed="false">
      <c r="A730" s="109" t="s">
        <v>92</v>
      </c>
      <c r="B730" s="109" t="s">
        <v>95</v>
      </c>
      <c r="C730" s="109" t="s">
        <v>424</v>
      </c>
      <c r="D730" s="109" t="s">
        <v>67</v>
      </c>
      <c r="E730" s="112" t="s">
        <v>16</v>
      </c>
      <c r="F730" s="109" t="s">
        <v>1934</v>
      </c>
      <c r="G730" s="111" t="s">
        <v>1935</v>
      </c>
    </row>
    <row r="731" customFormat="false" ht="15" hidden="false" customHeight="false" outlineLevel="0" collapsed="false">
      <c r="A731" s="109" t="s">
        <v>92</v>
      </c>
      <c r="B731" s="109" t="s">
        <v>95</v>
      </c>
      <c r="C731" s="109" t="s">
        <v>424</v>
      </c>
      <c r="D731" s="109" t="s">
        <v>71</v>
      </c>
      <c r="E731" s="112" t="s">
        <v>16</v>
      </c>
      <c r="F731" s="109" t="s">
        <v>1936</v>
      </c>
      <c r="G731" s="111" t="s">
        <v>1937</v>
      </c>
    </row>
    <row r="732" customFormat="false" ht="15" hidden="false" customHeight="false" outlineLevel="0" collapsed="false">
      <c r="A732" s="109" t="s">
        <v>92</v>
      </c>
      <c r="B732" s="109" t="s">
        <v>95</v>
      </c>
      <c r="C732" s="109" t="s">
        <v>426</v>
      </c>
      <c r="D732" s="109" t="s">
        <v>35</v>
      </c>
      <c r="E732" s="110" t="s">
        <v>18</v>
      </c>
      <c r="F732" s="109" t="s">
        <v>1938</v>
      </c>
      <c r="G732" s="111" t="s">
        <v>1939</v>
      </c>
    </row>
    <row r="733" customFormat="false" ht="15" hidden="false" customHeight="false" outlineLevel="0" collapsed="false">
      <c r="A733" s="109" t="s">
        <v>92</v>
      </c>
      <c r="B733" s="109" t="s">
        <v>95</v>
      </c>
      <c r="C733" s="109" t="s">
        <v>426</v>
      </c>
      <c r="D733" s="109" t="s">
        <v>39</v>
      </c>
      <c r="E733" s="115" t="s">
        <v>20</v>
      </c>
      <c r="F733" s="109" t="s">
        <v>1940</v>
      </c>
      <c r="G733" s="111" t="s">
        <v>1941</v>
      </c>
    </row>
    <row r="734" customFormat="false" ht="15" hidden="false" customHeight="false" outlineLevel="0" collapsed="false">
      <c r="A734" s="109" t="s">
        <v>92</v>
      </c>
      <c r="B734" s="109" t="s">
        <v>95</v>
      </c>
      <c r="C734" s="109" t="s">
        <v>426</v>
      </c>
      <c r="D734" s="109" t="s">
        <v>43</v>
      </c>
      <c r="E734" s="115" t="s">
        <v>20</v>
      </c>
      <c r="F734" s="109" t="s">
        <v>1942</v>
      </c>
      <c r="G734" s="111" t="s">
        <v>1943</v>
      </c>
    </row>
    <row r="735" customFormat="false" ht="23.85" hidden="false" customHeight="false" outlineLevel="0" collapsed="false">
      <c r="A735" s="109" t="s">
        <v>92</v>
      </c>
      <c r="B735" s="109" t="s">
        <v>95</v>
      </c>
      <c r="C735" s="109" t="s">
        <v>426</v>
      </c>
      <c r="D735" s="109" t="s">
        <v>47</v>
      </c>
      <c r="E735" s="115" t="s">
        <v>20</v>
      </c>
      <c r="F735" s="109" t="s">
        <v>1944</v>
      </c>
      <c r="G735" s="111" t="s">
        <v>1945</v>
      </c>
    </row>
    <row r="736" customFormat="false" ht="15" hidden="false" customHeight="false" outlineLevel="0" collapsed="false">
      <c r="A736" s="109" t="s">
        <v>92</v>
      </c>
      <c r="B736" s="109" t="s">
        <v>95</v>
      </c>
      <c r="C736" s="109" t="s">
        <v>426</v>
      </c>
      <c r="D736" s="109" t="s">
        <v>51</v>
      </c>
      <c r="E736" s="115" t="s">
        <v>20</v>
      </c>
      <c r="F736" s="109" t="s">
        <v>1946</v>
      </c>
      <c r="G736" s="111" t="s">
        <v>1947</v>
      </c>
    </row>
    <row r="737" customFormat="false" ht="15" hidden="false" customHeight="false" outlineLevel="0" collapsed="false">
      <c r="A737" s="109" t="s">
        <v>92</v>
      </c>
      <c r="B737" s="109" t="s">
        <v>95</v>
      </c>
      <c r="C737" s="109" t="s">
        <v>426</v>
      </c>
      <c r="D737" s="109" t="s">
        <v>55</v>
      </c>
      <c r="E737" s="110" t="s">
        <v>18</v>
      </c>
      <c r="F737" s="109" t="s">
        <v>1948</v>
      </c>
      <c r="G737" s="111" t="s">
        <v>1949</v>
      </c>
    </row>
    <row r="738" customFormat="false" ht="15" hidden="false" customHeight="false" outlineLevel="0" collapsed="false">
      <c r="A738" s="109" t="s">
        <v>92</v>
      </c>
      <c r="B738" s="109" t="s">
        <v>95</v>
      </c>
      <c r="C738" s="109" t="s">
        <v>426</v>
      </c>
      <c r="D738" s="109" t="s">
        <v>59</v>
      </c>
      <c r="E738" s="110" t="s">
        <v>18</v>
      </c>
      <c r="F738" s="109" t="s">
        <v>1950</v>
      </c>
      <c r="G738" s="111" t="s">
        <v>1951</v>
      </c>
    </row>
    <row r="739" customFormat="false" ht="15" hidden="false" customHeight="false" outlineLevel="0" collapsed="false">
      <c r="A739" s="109" t="s">
        <v>92</v>
      </c>
      <c r="B739" s="109" t="s">
        <v>95</v>
      </c>
      <c r="C739" s="109" t="s">
        <v>426</v>
      </c>
      <c r="D739" s="109" t="s">
        <v>63</v>
      </c>
      <c r="E739" s="113" t="s">
        <v>24</v>
      </c>
      <c r="F739" s="109" t="s">
        <v>1952</v>
      </c>
      <c r="G739" s="109"/>
    </row>
    <row r="740" customFormat="false" ht="23.85" hidden="false" customHeight="false" outlineLevel="0" collapsed="false">
      <c r="A740" s="109" t="s">
        <v>92</v>
      </c>
      <c r="B740" s="109" t="s">
        <v>95</v>
      </c>
      <c r="C740" s="109" t="s">
        <v>426</v>
      </c>
      <c r="D740" s="109" t="s">
        <v>67</v>
      </c>
      <c r="E740" s="110" t="s">
        <v>18</v>
      </c>
      <c r="F740" s="109" t="s">
        <v>1953</v>
      </c>
      <c r="G740" s="111" t="s">
        <v>1954</v>
      </c>
    </row>
    <row r="741" customFormat="false" ht="15" hidden="false" customHeight="false" outlineLevel="0" collapsed="false">
      <c r="A741" s="109" t="s">
        <v>92</v>
      </c>
      <c r="B741" s="109" t="s">
        <v>95</v>
      </c>
      <c r="C741" s="109" t="s">
        <v>426</v>
      </c>
      <c r="D741" s="109" t="s">
        <v>71</v>
      </c>
      <c r="E741" s="113" t="s">
        <v>24</v>
      </c>
      <c r="F741" s="109" t="s">
        <v>1955</v>
      </c>
      <c r="G741" s="109"/>
    </row>
    <row r="742" customFormat="false" ht="23.85" hidden="false" customHeight="false" outlineLevel="0" collapsed="false">
      <c r="A742" s="109" t="s">
        <v>92</v>
      </c>
      <c r="B742" s="109" t="s">
        <v>95</v>
      </c>
      <c r="C742" s="109" t="s">
        <v>428</v>
      </c>
      <c r="D742" s="109" t="s">
        <v>35</v>
      </c>
      <c r="E742" s="115" t="s">
        <v>20</v>
      </c>
      <c r="F742" s="109" t="s">
        <v>1956</v>
      </c>
      <c r="G742" s="111" t="s">
        <v>1957</v>
      </c>
    </row>
    <row r="743" customFormat="false" ht="15" hidden="false" customHeight="false" outlineLevel="0" collapsed="false">
      <c r="A743" s="109" t="s">
        <v>92</v>
      </c>
      <c r="B743" s="109" t="s">
        <v>95</v>
      </c>
      <c r="C743" s="109" t="s">
        <v>428</v>
      </c>
      <c r="D743" s="109" t="s">
        <v>39</v>
      </c>
      <c r="E743" s="115" t="s">
        <v>20</v>
      </c>
      <c r="F743" s="109" t="s">
        <v>1958</v>
      </c>
      <c r="G743" s="111" t="s">
        <v>1959</v>
      </c>
    </row>
    <row r="744" customFormat="false" ht="23.85" hidden="false" customHeight="false" outlineLevel="0" collapsed="false">
      <c r="A744" s="109" t="s">
        <v>92</v>
      </c>
      <c r="B744" s="109" t="s">
        <v>95</v>
      </c>
      <c r="C744" s="109" t="s">
        <v>428</v>
      </c>
      <c r="D744" s="109" t="s">
        <v>43</v>
      </c>
      <c r="E744" s="110" t="s">
        <v>18</v>
      </c>
      <c r="F744" s="109" t="s">
        <v>1960</v>
      </c>
      <c r="G744" s="111" t="s">
        <v>1961</v>
      </c>
    </row>
    <row r="745" customFormat="false" ht="23.85" hidden="false" customHeight="false" outlineLevel="0" collapsed="false">
      <c r="A745" s="109" t="s">
        <v>92</v>
      </c>
      <c r="B745" s="109" t="s">
        <v>95</v>
      </c>
      <c r="C745" s="109" t="s">
        <v>428</v>
      </c>
      <c r="D745" s="109" t="s">
        <v>47</v>
      </c>
      <c r="E745" s="115" t="s">
        <v>20</v>
      </c>
      <c r="F745" s="109" t="s">
        <v>1962</v>
      </c>
      <c r="G745" s="111" t="s">
        <v>1963</v>
      </c>
    </row>
    <row r="746" customFormat="false" ht="23.85" hidden="false" customHeight="false" outlineLevel="0" collapsed="false">
      <c r="A746" s="109" t="s">
        <v>92</v>
      </c>
      <c r="B746" s="109" t="s">
        <v>95</v>
      </c>
      <c r="C746" s="109" t="s">
        <v>428</v>
      </c>
      <c r="D746" s="109" t="s">
        <v>51</v>
      </c>
      <c r="E746" s="115" t="s">
        <v>20</v>
      </c>
      <c r="F746" s="109" t="s">
        <v>1964</v>
      </c>
      <c r="G746" s="111" t="s">
        <v>1965</v>
      </c>
    </row>
    <row r="747" customFormat="false" ht="15" hidden="false" customHeight="false" outlineLevel="0" collapsed="false">
      <c r="A747" s="109" t="s">
        <v>92</v>
      </c>
      <c r="B747" s="109" t="s">
        <v>95</v>
      </c>
      <c r="C747" s="109" t="s">
        <v>428</v>
      </c>
      <c r="D747" s="109" t="s">
        <v>55</v>
      </c>
      <c r="E747" s="113" t="s">
        <v>24</v>
      </c>
      <c r="F747" s="109" t="s">
        <v>1966</v>
      </c>
      <c r="G747" s="109"/>
    </row>
    <row r="748" customFormat="false" ht="23.85" hidden="false" customHeight="false" outlineLevel="0" collapsed="false">
      <c r="A748" s="109" t="s">
        <v>92</v>
      </c>
      <c r="B748" s="109" t="s">
        <v>95</v>
      </c>
      <c r="C748" s="109" t="s">
        <v>428</v>
      </c>
      <c r="D748" s="109" t="s">
        <v>59</v>
      </c>
      <c r="E748" s="110" t="s">
        <v>18</v>
      </c>
      <c r="F748" s="109" t="s">
        <v>1967</v>
      </c>
      <c r="G748" s="111" t="s">
        <v>1479</v>
      </c>
    </row>
    <row r="749" customFormat="false" ht="15" hidden="false" customHeight="false" outlineLevel="0" collapsed="false">
      <c r="A749" s="109" t="s">
        <v>92</v>
      </c>
      <c r="B749" s="109" t="s">
        <v>95</v>
      </c>
      <c r="C749" s="109" t="s">
        <v>428</v>
      </c>
      <c r="D749" s="109" t="s">
        <v>63</v>
      </c>
      <c r="E749" s="114" t="s">
        <v>22</v>
      </c>
      <c r="F749" s="109" t="s">
        <v>1968</v>
      </c>
      <c r="G749" s="111" t="s">
        <v>1969</v>
      </c>
    </row>
    <row r="750" customFormat="false" ht="23.85" hidden="false" customHeight="false" outlineLevel="0" collapsed="false">
      <c r="A750" s="109" t="s">
        <v>92</v>
      </c>
      <c r="B750" s="109" t="s">
        <v>95</v>
      </c>
      <c r="C750" s="109" t="s">
        <v>428</v>
      </c>
      <c r="D750" s="109" t="s">
        <v>67</v>
      </c>
      <c r="E750" s="112" t="s">
        <v>16</v>
      </c>
      <c r="F750" s="109" t="s">
        <v>1970</v>
      </c>
      <c r="G750" s="111" t="s">
        <v>930</v>
      </c>
    </row>
    <row r="751" customFormat="false" ht="15" hidden="false" customHeight="false" outlineLevel="0" collapsed="false">
      <c r="A751" s="109" t="s">
        <v>92</v>
      </c>
      <c r="B751" s="109" t="s">
        <v>95</v>
      </c>
      <c r="C751" s="109" t="s">
        <v>428</v>
      </c>
      <c r="D751" s="109" t="s">
        <v>71</v>
      </c>
      <c r="E751" s="113" t="s">
        <v>24</v>
      </c>
      <c r="F751" s="109" t="s">
        <v>1971</v>
      </c>
      <c r="G751" s="109"/>
    </row>
    <row r="752" customFormat="false" ht="23.85" hidden="false" customHeight="false" outlineLevel="0" collapsed="false">
      <c r="A752" s="109" t="s">
        <v>96</v>
      </c>
      <c r="B752" s="109" t="s">
        <v>97</v>
      </c>
      <c r="C752" s="109" t="s">
        <v>430</v>
      </c>
      <c r="D752" s="109" t="s">
        <v>35</v>
      </c>
      <c r="E752" s="115" t="s">
        <v>20</v>
      </c>
      <c r="F752" s="109" t="s">
        <v>1972</v>
      </c>
      <c r="G752" s="111" t="s">
        <v>1973</v>
      </c>
    </row>
    <row r="753" customFormat="false" ht="23.85" hidden="false" customHeight="false" outlineLevel="0" collapsed="false">
      <c r="A753" s="109" t="s">
        <v>96</v>
      </c>
      <c r="B753" s="109" t="s">
        <v>97</v>
      </c>
      <c r="C753" s="109" t="s">
        <v>430</v>
      </c>
      <c r="D753" s="109" t="s">
        <v>39</v>
      </c>
      <c r="E753" s="112" t="s">
        <v>16</v>
      </c>
      <c r="F753" s="109" t="s">
        <v>1974</v>
      </c>
      <c r="G753" s="111" t="s">
        <v>1975</v>
      </c>
    </row>
    <row r="754" customFormat="false" ht="15" hidden="false" customHeight="false" outlineLevel="0" collapsed="false">
      <c r="A754" s="109" t="s">
        <v>96</v>
      </c>
      <c r="B754" s="109" t="s">
        <v>97</v>
      </c>
      <c r="C754" s="109" t="s">
        <v>430</v>
      </c>
      <c r="D754" s="109" t="s">
        <v>43</v>
      </c>
      <c r="E754" s="112" t="s">
        <v>16</v>
      </c>
      <c r="F754" s="109" t="s">
        <v>1976</v>
      </c>
      <c r="G754" s="111" t="s">
        <v>1977</v>
      </c>
    </row>
    <row r="755" customFormat="false" ht="15" hidden="false" customHeight="false" outlineLevel="0" collapsed="false">
      <c r="A755" s="109" t="s">
        <v>96</v>
      </c>
      <c r="B755" s="109" t="s">
        <v>97</v>
      </c>
      <c r="C755" s="109" t="s">
        <v>430</v>
      </c>
      <c r="D755" s="109" t="s">
        <v>47</v>
      </c>
      <c r="E755" s="112" t="s">
        <v>16</v>
      </c>
      <c r="F755" s="109" t="s">
        <v>1978</v>
      </c>
      <c r="G755" s="111" t="s">
        <v>1979</v>
      </c>
    </row>
    <row r="756" customFormat="false" ht="15" hidden="false" customHeight="false" outlineLevel="0" collapsed="false">
      <c r="A756" s="109" t="s">
        <v>96</v>
      </c>
      <c r="B756" s="109" t="s">
        <v>97</v>
      </c>
      <c r="C756" s="109" t="s">
        <v>430</v>
      </c>
      <c r="D756" s="109" t="s">
        <v>51</v>
      </c>
      <c r="E756" s="110" t="s">
        <v>18</v>
      </c>
      <c r="F756" s="109" t="s">
        <v>1980</v>
      </c>
      <c r="G756" s="111" t="s">
        <v>1981</v>
      </c>
    </row>
    <row r="757" customFormat="false" ht="15" hidden="false" customHeight="false" outlineLevel="0" collapsed="false">
      <c r="A757" s="109" t="s">
        <v>96</v>
      </c>
      <c r="B757" s="109" t="s">
        <v>97</v>
      </c>
      <c r="C757" s="109" t="s">
        <v>430</v>
      </c>
      <c r="D757" s="109" t="s">
        <v>55</v>
      </c>
      <c r="E757" s="112" t="s">
        <v>16</v>
      </c>
      <c r="F757" s="109" t="s">
        <v>1982</v>
      </c>
      <c r="G757" s="111" t="s">
        <v>1983</v>
      </c>
    </row>
    <row r="758" customFormat="false" ht="23.85" hidden="false" customHeight="false" outlineLevel="0" collapsed="false">
      <c r="A758" s="109" t="s">
        <v>96</v>
      </c>
      <c r="B758" s="109" t="s">
        <v>97</v>
      </c>
      <c r="C758" s="109" t="s">
        <v>430</v>
      </c>
      <c r="D758" s="109" t="s">
        <v>59</v>
      </c>
      <c r="E758" s="112" t="s">
        <v>16</v>
      </c>
      <c r="F758" s="109" t="s">
        <v>1984</v>
      </c>
      <c r="G758" s="111" t="s">
        <v>992</v>
      </c>
    </row>
    <row r="759" customFormat="false" ht="15" hidden="false" customHeight="false" outlineLevel="0" collapsed="false">
      <c r="A759" s="109" t="s">
        <v>96</v>
      </c>
      <c r="B759" s="109" t="s">
        <v>97</v>
      </c>
      <c r="C759" s="109" t="s">
        <v>430</v>
      </c>
      <c r="D759" s="109" t="s">
        <v>63</v>
      </c>
      <c r="E759" s="112" t="s">
        <v>16</v>
      </c>
      <c r="F759" s="109" t="s">
        <v>1985</v>
      </c>
      <c r="G759" s="111" t="s">
        <v>1986</v>
      </c>
    </row>
    <row r="760" customFormat="false" ht="23.85" hidden="false" customHeight="false" outlineLevel="0" collapsed="false">
      <c r="A760" s="109" t="s">
        <v>96</v>
      </c>
      <c r="B760" s="109" t="s">
        <v>97</v>
      </c>
      <c r="C760" s="109" t="s">
        <v>430</v>
      </c>
      <c r="D760" s="109" t="s">
        <v>67</v>
      </c>
      <c r="E760" s="112" t="s">
        <v>16</v>
      </c>
      <c r="F760" s="109" t="s">
        <v>1987</v>
      </c>
      <c r="G760" s="111" t="s">
        <v>1988</v>
      </c>
    </row>
    <row r="761" customFormat="false" ht="23.85" hidden="false" customHeight="false" outlineLevel="0" collapsed="false">
      <c r="A761" s="109" t="s">
        <v>96</v>
      </c>
      <c r="B761" s="109" t="s">
        <v>97</v>
      </c>
      <c r="C761" s="109" t="s">
        <v>430</v>
      </c>
      <c r="D761" s="109" t="s">
        <v>71</v>
      </c>
      <c r="E761" s="112" t="s">
        <v>16</v>
      </c>
      <c r="F761" s="109" t="s">
        <v>1989</v>
      </c>
      <c r="G761" s="111" t="s">
        <v>1990</v>
      </c>
    </row>
    <row r="762" customFormat="false" ht="15" hidden="false" customHeight="false" outlineLevel="0" collapsed="false">
      <c r="A762" s="109" t="s">
        <v>96</v>
      </c>
      <c r="B762" s="109" t="s">
        <v>97</v>
      </c>
      <c r="C762" s="109" t="s">
        <v>432</v>
      </c>
      <c r="D762" s="109" t="s">
        <v>35</v>
      </c>
      <c r="E762" s="115" t="s">
        <v>20</v>
      </c>
      <c r="F762" s="109" t="s">
        <v>1991</v>
      </c>
      <c r="G762" s="111" t="s">
        <v>1992</v>
      </c>
    </row>
    <row r="763" customFormat="false" ht="15" hidden="false" customHeight="false" outlineLevel="0" collapsed="false">
      <c r="A763" s="109" t="s">
        <v>96</v>
      </c>
      <c r="B763" s="109" t="s">
        <v>97</v>
      </c>
      <c r="C763" s="109" t="s">
        <v>432</v>
      </c>
      <c r="D763" s="109" t="s">
        <v>39</v>
      </c>
      <c r="E763" s="112" t="s">
        <v>16</v>
      </c>
      <c r="F763" s="109" t="s">
        <v>1993</v>
      </c>
      <c r="G763" s="111" t="s">
        <v>1975</v>
      </c>
    </row>
    <row r="764" customFormat="false" ht="23.85" hidden="false" customHeight="false" outlineLevel="0" collapsed="false">
      <c r="A764" s="109" t="s">
        <v>96</v>
      </c>
      <c r="B764" s="109" t="s">
        <v>97</v>
      </c>
      <c r="C764" s="109" t="s">
        <v>432</v>
      </c>
      <c r="D764" s="109" t="s">
        <v>43</v>
      </c>
      <c r="E764" s="112" t="s">
        <v>16</v>
      </c>
      <c r="F764" s="109" t="s">
        <v>1994</v>
      </c>
      <c r="G764" s="111" t="s">
        <v>1977</v>
      </c>
    </row>
    <row r="765" customFormat="false" ht="15" hidden="false" customHeight="false" outlineLevel="0" collapsed="false">
      <c r="A765" s="109" t="s">
        <v>96</v>
      </c>
      <c r="B765" s="109" t="s">
        <v>97</v>
      </c>
      <c r="C765" s="109" t="s">
        <v>432</v>
      </c>
      <c r="D765" s="109" t="s">
        <v>47</v>
      </c>
      <c r="E765" s="112" t="s">
        <v>16</v>
      </c>
      <c r="F765" s="109" t="s">
        <v>1995</v>
      </c>
      <c r="G765" s="111" t="s">
        <v>1996</v>
      </c>
    </row>
    <row r="766" customFormat="false" ht="15" hidden="false" customHeight="false" outlineLevel="0" collapsed="false">
      <c r="A766" s="109" t="s">
        <v>96</v>
      </c>
      <c r="B766" s="109" t="s">
        <v>97</v>
      </c>
      <c r="C766" s="109" t="s">
        <v>432</v>
      </c>
      <c r="D766" s="109" t="s">
        <v>51</v>
      </c>
      <c r="E766" s="110" t="s">
        <v>18</v>
      </c>
      <c r="F766" s="109" t="s">
        <v>1997</v>
      </c>
      <c r="G766" s="111" t="s">
        <v>1981</v>
      </c>
    </row>
    <row r="767" customFormat="false" ht="23.85" hidden="false" customHeight="false" outlineLevel="0" collapsed="false">
      <c r="A767" s="109" t="s">
        <v>96</v>
      </c>
      <c r="B767" s="109" t="s">
        <v>97</v>
      </c>
      <c r="C767" s="109" t="s">
        <v>432</v>
      </c>
      <c r="D767" s="109" t="s">
        <v>55</v>
      </c>
      <c r="E767" s="112" t="s">
        <v>16</v>
      </c>
      <c r="F767" s="109" t="s">
        <v>1998</v>
      </c>
      <c r="G767" s="111" t="s">
        <v>1999</v>
      </c>
    </row>
    <row r="768" customFormat="false" ht="23.85" hidden="false" customHeight="false" outlineLevel="0" collapsed="false">
      <c r="A768" s="109" t="s">
        <v>96</v>
      </c>
      <c r="B768" s="109" t="s">
        <v>97</v>
      </c>
      <c r="C768" s="109" t="s">
        <v>432</v>
      </c>
      <c r="D768" s="109" t="s">
        <v>59</v>
      </c>
      <c r="E768" s="114" t="s">
        <v>22</v>
      </c>
      <c r="F768" s="109" t="s">
        <v>2000</v>
      </c>
      <c r="G768" s="111" t="s">
        <v>1479</v>
      </c>
    </row>
    <row r="769" customFormat="false" ht="15" hidden="false" customHeight="false" outlineLevel="0" collapsed="false">
      <c r="A769" s="109" t="s">
        <v>96</v>
      </c>
      <c r="B769" s="109" t="s">
        <v>97</v>
      </c>
      <c r="C769" s="109" t="s">
        <v>432</v>
      </c>
      <c r="D769" s="109" t="s">
        <v>63</v>
      </c>
      <c r="E769" s="112" t="s">
        <v>16</v>
      </c>
      <c r="F769" s="109" t="s">
        <v>2001</v>
      </c>
      <c r="G769" s="111" t="s">
        <v>1986</v>
      </c>
    </row>
    <row r="770" customFormat="false" ht="15" hidden="false" customHeight="false" outlineLevel="0" collapsed="false">
      <c r="A770" s="109" t="s">
        <v>96</v>
      </c>
      <c r="B770" s="109" t="s">
        <v>97</v>
      </c>
      <c r="C770" s="109" t="s">
        <v>432</v>
      </c>
      <c r="D770" s="109" t="s">
        <v>67</v>
      </c>
      <c r="E770" s="112" t="s">
        <v>16</v>
      </c>
      <c r="F770" s="109" t="s">
        <v>2002</v>
      </c>
      <c r="G770" s="111" t="s">
        <v>1988</v>
      </c>
    </row>
    <row r="771" customFormat="false" ht="15" hidden="false" customHeight="false" outlineLevel="0" collapsed="false">
      <c r="A771" s="109" t="s">
        <v>96</v>
      </c>
      <c r="B771" s="109" t="s">
        <v>97</v>
      </c>
      <c r="C771" s="109" t="s">
        <v>432</v>
      </c>
      <c r="D771" s="109" t="s">
        <v>71</v>
      </c>
      <c r="E771" s="112" t="s">
        <v>16</v>
      </c>
      <c r="F771" s="109" t="s">
        <v>2003</v>
      </c>
      <c r="G771" s="111" t="s">
        <v>916</v>
      </c>
    </row>
    <row r="772" customFormat="false" ht="15" hidden="false" customHeight="false" outlineLevel="0" collapsed="false">
      <c r="A772" s="109" t="s">
        <v>96</v>
      </c>
      <c r="B772" s="109" t="s">
        <v>97</v>
      </c>
      <c r="C772" s="109" t="s">
        <v>434</v>
      </c>
      <c r="D772" s="109" t="s">
        <v>35</v>
      </c>
      <c r="E772" s="115" t="s">
        <v>20</v>
      </c>
      <c r="F772" s="109" t="s">
        <v>2004</v>
      </c>
      <c r="G772" s="111" t="s">
        <v>1992</v>
      </c>
    </row>
    <row r="773" customFormat="false" ht="23.85" hidden="false" customHeight="false" outlineLevel="0" collapsed="false">
      <c r="A773" s="109" t="s">
        <v>96</v>
      </c>
      <c r="B773" s="109" t="s">
        <v>97</v>
      </c>
      <c r="C773" s="109" t="s">
        <v>434</v>
      </c>
      <c r="D773" s="109" t="s">
        <v>39</v>
      </c>
      <c r="E773" s="112" t="s">
        <v>16</v>
      </c>
      <c r="F773" s="109" t="s">
        <v>2005</v>
      </c>
      <c r="G773" s="111" t="s">
        <v>2006</v>
      </c>
    </row>
    <row r="774" customFormat="false" ht="23.85" hidden="false" customHeight="false" outlineLevel="0" collapsed="false">
      <c r="A774" s="109" t="s">
        <v>96</v>
      </c>
      <c r="B774" s="109" t="s">
        <v>97</v>
      </c>
      <c r="C774" s="109" t="s">
        <v>434</v>
      </c>
      <c r="D774" s="109" t="s">
        <v>43</v>
      </c>
      <c r="E774" s="114" t="s">
        <v>22</v>
      </c>
      <c r="F774" s="109" t="s">
        <v>2007</v>
      </c>
      <c r="G774" s="111" t="s">
        <v>1977</v>
      </c>
    </row>
    <row r="775" customFormat="false" ht="23.85" hidden="false" customHeight="false" outlineLevel="0" collapsed="false">
      <c r="A775" s="109" t="s">
        <v>96</v>
      </c>
      <c r="B775" s="109" t="s">
        <v>97</v>
      </c>
      <c r="C775" s="109" t="s">
        <v>434</v>
      </c>
      <c r="D775" s="109" t="s">
        <v>47</v>
      </c>
      <c r="E775" s="115" t="s">
        <v>20</v>
      </c>
      <c r="F775" s="109" t="s">
        <v>2008</v>
      </c>
      <c r="G775" s="111" t="s">
        <v>2009</v>
      </c>
    </row>
    <row r="776" customFormat="false" ht="23.85" hidden="false" customHeight="false" outlineLevel="0" collapsed="false">
      <c r="A776" s="109" t="s">
        <v>96</v>
      </c>
      <c r="B776" s="109" t="s">
        <v>97</v>
      </c>
      <c r="C776" s="109" t="s">
        <v>434</v>
      </c>
      <c r="D776" s="109" t="s">
        <v>51</v>
      </c>
      <c r="E776" s="114" t="s">
        <v>22</v>
      </c>
      <c r="F776" s="109" t="s">
        <v>2010</v>
      </c>
      <c r="G776" s="111" t="s">
        <v>1981</v>
      </c>
    </row>
    <row r="777" customFormat="false" ht="23.85" hidden="false" customHeight="false" outlineLevel="0" collapsed="false">
      <c r="A777" s="109" t="s">
        <v>96</v>
      </c>
      <c r="B777" s="109" t="s">
        <v>97</v>
      </c>
      <c r="C777" s="109" t="s">
        <v>434</v>
      </c>
      <c r="D777" s="109" t="s">
        <v>55</v>
      </c>
      <c r="E777" s="114" t="s">
        <v>22</v>
      </c>
      <c r="F777" s="109" t="s">
        <v>2011</v>
      </c>
      <c r="G777" s="111" t="s">
        <v>2012</v>
      </c>
    </row>
    <row r="778" customFormat="false" ht="15" hidden="false" customHeight="false" outlineLevel="0" collapsed="false">
      <c r="A778" s="109" t="s">
        <v>96</v>
      </c>
      <c r="B778" s="109" t="s">
        <v>97</v>
      </c>
      <c r="C778" s="109" t="s">
        <v>434</v>
      </c>
      <c r="D778" s="109" t="s">
        <v>59</v>
      </c>
      <c r="E778" s="114" t="s">
        <v>22</v>
      </c>
      <c r="F778" s="109" t="s">
        <v>2013</v>
      </c>
      <c r="G778" s="111" t="s">
        <v>1155</v>
      </c>
    </row>
    <row r="779" customFormat="false" ht="23.85" hidden="false" customHeight="false" outlineLevel="0" collapsed="false">
      <c r="A779" s="109" t="s">
        <v>96</v>
      </c>
      <c r="B779" s="109" t="s">
        <v>97</v>
      </c>
      <c r="C779" s="109" t="s">
        <v>434</v>
      </c>
      <c r="D779" s="109" t="s">
        <v>63</v>
      </c>
      <c r="E779" s="114" t="s">
        <v>22</v>
      </c>
      <c r="F779" s="109" t="s">
        <v>2014</v>
      </c>
      <c r="G779" s="111" t="s">
        <v>2015</v>
      </c>
    </row>
    <row r="780" customFormat="false" ht="23.85" hidden="false" customHeight="false" outlineLevel="0" collapsed="false">
      <c r="A780" s="109" t="s">
        <v>96</v>
      </c>
      <c r="B780" s="109" t="s">
        <v>97</v>
      </c>
      <c r="C780" s="109" t="s">
        <v>434</v>
      </c>
      <c r="D780" s="109" t="s">
        <v>67</v>
      </c>
      <c r="E780" s="114" t="s">
        <v>22</v>
      </c>
      <c r="F780" s="109" t="s">
        <v>2016</v>
      </c>
      <c r="G780" s="111" t="s">
        <v>1988</v>
      </c>
    </row>
    <row r="781" customFormat="false" ht="15" hidden="false" customHeight="false" outlineLevel="0" collapsed="false">
      <c r="A781" s="109" t="s">
        <v>96</v>
      </c>
      <c r="B781" s="109" t="s">
        <v>97</v>
      </c>
      <c r="C781" s="109" t="s">
        <v>434</v>
      </c>
      <c r="D781" s="109" t="s">
        <v>71</v>
      </c>
      <c r="E781" s="113" t="s">
        <v>24</v>
      </c>
      <c r="F781" s="109" t="s">
        <v>2017</v>
      </c>
      <c r="G781" s="111" t="s">
        <v>916</v>
      </c>
    </row>
    <row r="782" customFormat="false" ht="23.85" hidden="false" customHeight="false" outlineLevel="0" collapsed="false">
      <c r="A782" s="109" t="s">
        <v>96</v>
      </c>
      <c r="B782" s="109" t="s">
        <v>97</v>
      </c>
      <c r="C782" s="109" t="s">
        <v>436</v>
      </c>
      <c r="D782" s="109" t="s">
        <v>35</v>
      </c>
      <c r="E782" s="115" t="s">
        <v>20</v>
      </c>
      <c r="F782" s="109" t="s">
        <v>2018</v>
      </c>
      <c r="G782" s="111" t="s">
        <v>1992</v>
      </c>
    </row>
    <row r="783" customFormat="false" ht="23.85" hidden="false" customHeight="false" outlineLevel="0" collapsed="false">
      <c r="A783" s="109" t="s">
        <v>96</v>
      </c>
      <c r="B783" s="109" t="s">
        <v>97</v>
      </c>
      <c r="C783" s="109" t="s">
        <v>436</v>
      </c>
      <c r="D783" s="109" t="s">
        <v>39</v>
      </c>
      <c r="E783" s="114" t="s">
        <v>22</v>
      </c>
      <c r="F783" s="109" t="s">
        <v>2019</v>
      </c>
      <c r="G783" s="111" t="s">
        <v>1975</v>
      </c>
    </row>
    <row r="784" customFormat="false" ht="23.85" hidden="false" customHeight="false" outlineLevel="0" collapsed="false">
      <c r="A784" s="109" t="s">
        <v>96</v>
      </c>
      <c r="B784" s="109" t="s">
        <v>97</v>
      </c>
      <c r="C784" s="109" t="s">
        <v>436</v>
      </c>
      <c r="D784" s="109" t="s">
        <v>43</v>
      </c>
      <c r="E784" s="114" t="s">
        <v>22</v>
      </c>
      <c r="F784" s="109" t="s">
        <v>2020</v>
      </c>
      <c r="G784" s="111" t="s">
        <v>1977</v>
      </c>
    </row>
    <row r="785" customFormat="false" ht="15" hidden="false" customHeight="false" outlineLevel="0" collapsed="false">
      <c r="A785" s="109" t="s">
        <v>96</v>
      </c>
      <c r="B785" s="109" t="s">
        <v>97</v>
      </c>
      <c r="C785" s="109" t="s">
        <v>436</v>
      </c>
      <c r="D785" s="109" t="s">
        <v>47</v>
      </c>
      <c r="E785" s="112" t="s">
        <v>16</v>
      </c>
      <c r="F785" s="109" t="s">
        <v>2021</v>
      </c>
      <c r="G785" s="111" t="s">
        <v>1996</v>
      </c>
    </row>
    <row r="786" customFormat="false" ht="15" hidden="false" customHeight="false" outlineLevel="0" collapsed="false">
      <c r="A786" s="109" t="s">
        <v>96</v>
      </c>
      <c r="B786" s="109" t="s">
        <v>97</v>
      </c>
      <c r="C786" s="109" t="s">
        <v>436</v>
      </c>
      <c r="D786" s="109" t="s">
        <v>51</v>
      </c>
      <c r="E786" s="110" t="s">
        <v>18</v>
      </c>
      <c r="F786" s="109" t="s">
        <v>2022</v>
      </c>
      <c r="G786" s="111" t="s">
        <v>2023</v>
      </c>
    </row>
    <row r="787" customFormat="false" ht="15" hidden="false" customHeight="false" outlineLevel="0" collapsed="false">
      <c r="A787" s="109" t="s">
        <v>96</v>
      </c>
      <c r="B787" s="109" t="s">
        <v>97</v>
      </c>
      <c r="C787" s="109" t="s">
        <v>436</v>
      </c>
      <c r="D787" s="109" t="s">
        <v>55</v>
      </c>
      <c r="E787" s="112" t="s">
        <v>16</v>
      </c>
      <c r="F787" s="109" t="s">
        <v>2024</v>
      </c>
      <c r="G787" s="111" t="s">
        <v>2025</v>
      </c>
    </row>
    <row r="788" customFormat="false" ht="23.85" hidden="false" customHeight="false" outlineLevel="0" collapsed="false">
      <c r="A788" s="109" t="s">
        <v>96</v>
      </c>
      <c r="B788" s="109" t="s">
        <v>97</v>
      </c>
      <c r="C788" s="109" t="s">
        <v>436</v>
      </c>
      <c r="D788" s="109" t="s">
        <v>59</v>
      </c>
      <c r="E788" s="112" t="s">
        <v>16</v>
      </c>
      <c r="F788" s="109" t="s">
        <v>2026</v>
      </c>
      <c r="G788" s="111" t="s">
        <v>992</v>
      </c>
    </row>
    <row r="789" customFormat="false" ht="15" hidden="false" customHeight="false" outlineLevel="0" collapsed="false">
      <c r="A789" s="109" t="s">
        <v>96</v>
      </c>
      <c r="B789" s="109" t="s">
        <v>97</v>
      </c>
      <c r="C789" s="109" t="s">
        <v>436</v>
      </c>
      <c r="D789" s="109" t="s">
        <v>63</v>
      </c>
      <c r="E789" s="112" t="s">
        <v>16</v>
      </c>
      <c r="F789" s="109" t="s">
        <v>2027</v>
      </c>
      <c r="G789" s="111" t="s">
        <v>1986</v>
      </c>
    </row>
    <row r="790" customFormat="false" ht="15" hidden="false" customHeight="false" outlineLevel="0" collapsed="false">
      <c r="A790" s="109" t="s">
        <v>96</v>
      </c>
      <c r="B790" s="109" t="s">
        <v>97</v>
      </c>
      <c r="C790" s="109" t="s">
        <v>436</v>
      </c>
      <c r="D790" s="109" t="s">
        <v>67</v>
      </c>
      <c r="E790" s="112" t="s">
        <v>16</v>
      </c>
      <c r="F790" s="109" t="s">
        <v>2028</v>
      </c>
      <c r="G790" s="111" t="s">
        <v>1988</v>
      </c>
    </row>
    <row r="791" customFormat="false" ht="15" hidden="false" customHeight="false" outlineLevel="0" collapsed="false">
      <c r="A791" s="109" t="s">
        <v>96</v>
      </c>
      <c r="B791" s="109" t="s">
        <v>97</v>
      </c>
      <c r="C791" s="109" t="s">
        <v>436</v>
      </c>
      <c r="D791" s="109" t="s">
        <v>71</v>
      </c>
      <c r="E791" s="112" t="s">
        <v>16</v>
      </c>
      <c r="F791" s="109" t="s">
        <v>2029</v>
      </c>
      <c r="G791" s="111" t="s">
        <v>2030</v>
      </c>
    </row>
    <row r="792" customFormat="false" ht="23.85" hidden="false" customHeight="false" outlineLevel="0" collapsed="false">
      <c r="A792" s="109" t="s">
        <v>96</v>
      </c>
      <c r="B792" s="109" t="s">
        <v>97</v>
      </c>
      <c r="C792" s="109" t="s">
        <v>438</v>
      </c>
      <c r="D792" s="109" t="s">
        <v>35</v>
      </c>
      <c r="E792" s="112" t="s">
        <v>16</v>
      </c>
      <c r="F792" s="109" t="s">
        <v>2031</v>
      </c>
      <c r="G792" s="111" t="s">
        <v>2032</v>
      </c>
    </row>
    <row r="793" customFormat="false" ht="15" hidden="false" customHeight="false" outlineLevel="0" collapsed="false">
      <c r="A793" s="109" t="s">
        <v>96</v>
      </c>
      <c r="B793" s="109" t="s">
        <v>97</v>
      </c>
      <c r="C793" s="109" t="s">
        <v>438</v>
      </c>
      <c r="D793" s="109" t="s">
        <v>39</v>
      </c>
      <c r="E793" s="112" t="s">
        <v>16</v>
      </c>
      <c r="F793" s="109" t="s">
        <v>2033</v>
      </c>
      <c r="G793" s="111" t="s">
        <v>2034</v>
      </c>
    </row>
    <row r="794" customFormat="false" ht="23.85" hidden="false" customHeight="false" outlineLevel="0" collapsed="false">
      <c r="A794" s="109" t="s">
        <v>96</v>
      </c>
      <c r="B794" s="109" t="s">
        <v>97</v>
      </c>
      <c r="C794" s="109" t="s">
        <v>438</v>
      </c>
      <c r="D794" s="109" t="s">
        <v>43</v>
      </c>
      <c r="E794" s="112" t="s">
        <v>16</v>
      </c>
      <c r="F794" s="109" t="s">
        <v>2035</v>
      </c>
      <c r="G794" s="111" t="s">
        <v>1977</v>
      </c>
    </row>
    <row r="795" customFormat="false" ht="23.85" hidden="false" customHeight="false" outlineLevel="0" collapsed="false">
      <c r="A795" s="109" t="s">
        <v>96</v>
      </c>
      <c r="B795" s="109" t="s">
        <v>97</v>
      </c>
      <c r="C795" s="109" t="s">
        <v>438</v>
      </c>
      <c r="D795" s="109" t="s">
        <v>47</v>
      </c>
      <c r="E795" s="114" t="s">
        <v>22</v>
      </c>
      <c r="F795" s="109" t="s">
        <v>2036</v>
      </c>
      <c r="G795" s="111" t="s">
        <v>2037</v>
      </c>
    </row>
    <row r="796" customFormat="false" ht="23.85" hidden="false" customHeight="false" outlineLevel="0" collapsed="false">
      <c r="A796" s="109" t="s">
        <v>96</v>
      </c>
      <c r="B796" s="109" t="s">
        <v>97</v>
      </c>
      <c r="C796" s="109" t="s">
        <v>438</v>
      </c>
      <c r="D796" s="109" t="s">
        <v>51</v>
      </c>
      <c r="E796" s="110" t="s">
        <v>18</v>
      </c>
      <c r="F796" s="109" t="s">
        <v>2038</v>
      </c>
      <c r="G796" s="111" t="s">
        <v>1981</v>
      </c>
    </row>
    <row r="797" customFormat="false" ht="15" hidden="false" customHeight="false" outlineLevel="0" collapsed="false">
      <c r="A797" s="109" t="s">
        <v>96</v>
      </c>
      <c r="B797" s="109" t="s">
        <v>97</v>
      </c>
      <c r="C797" s="109" t="s">
        <v>438</v>
      </c>
      <c r="D797" s="109" t="s">
        <v>55</v>
      </c>
      <c r="E797" s="112" t="s">
        <v>16</v>
      </c>
      <c r="F797" s="109" t="s">
        <v>2039</v>
      </c>
      <c r="G797" s="111" t="s">
        <v>1983</v>
      </c>
    </row>
    <row r="798" customFormat="false" ht="23.85" hidden="false" customHeight="false" outlineLevel="0" collapsed="false">
      <c r="A798" s="109" t="s">
        <v>96</v>
      </c>
      <c r="B798" s="109" t="s">
        <v>97</v>
      </c>
      <c r="C798" s="109" t="s">
        <v>438</v>
      </c>
      <c r="D798" s="109" t="s">
        <v>59</v>
      </c>
      <c r="E798" s="114" t="s">
        <v>22</v>
      </c>
      <c r="F798" s="109" t="s">
        <v>2040</v>
      </c>
      <c r="G798" s="111" t="s">
        <v>2041</v>
      </c>
    </row>
    <row r="799" customFormat="false" ht="15" hidden="false" customHeight="false" outlineLevel="0" collapsed="false">
      <c r="A799" s="109" t="s">
        <v>96</v>
      </c>
      <c r="B799" s="109" t="s">
        <v>97</v>
      </c>
      <c r="C799" s="109" t="s">
        <v>438</v>
      </c>
      <c r="D799" s="109" t="s">
        <v>63</v>
      </c>
      <c r="E799" s="110" t="s">
        <v>18</v>
      </c>
      <c r="F799" s="109" t="s">
        <v>2042</v>
      </c>
      <c r="G799" s="111" t="s">
        <v>1805</v>
      </c>
    </row>
    <row r="800" customFormat="false" ht="23.85" hidden="false" customHeight="false" outlineLevel="0" collapsed="false">
      <c r="A800" s="109" t="s">
        <v>96</v>
      </c>
      <c r="B800" s="109" t="s">
        <v>97</v>
      </c>
      <c r="C800" s="109" t="s">
        <v>438</v>
      </c>
      <c r="D800" s="109" t="s">
        <v>67</v>
      </c>
      <c r="E800" s="110" t="s">
        <v>18</v>
      </c>
      <c r="F800" s="109" t="s">
        <v>2043</v>
      </c>
      <c r="G800" s="111" t="s">
        <v>1743</v>
      </c>
    </row>
    <row r="801" customFormat="false" ht="23.85" hidden="false" customHeight="false" outlineLevel="0" collapsed="false">
      <c r="A801" s="109" t="s">
        <v>96</v>
      </c>
      <c r="B801" s="109" t="s">
        <v>97</v>
      </c>
      <c r="C801" s="109" t="s">
        <v>438</v>
      </c>
      <c r="D801" s="109" t="s">
        <v>71</v>
      </c>
      <c r="E801" s="114" t="s">
        <v>22</v>
      </c>
      <c r="F801" s="109" t="s">
        <v>2044</v>
      </c>
      <c r="G801" s="111" t="s">
        <v>949</v>
      </c>
    </row>
    <row r="802" customFormat="false" ht="15" hidden="false" customHeight="false" outlineLevel="0" collapsed="false">
      <c r="A802" s="109" t="s">
        <v>96</v>
      </c>
      <c r="B802" s="109" t="s">
        <v>97</v>
      </c>
      <c r="C802" s="109" t="s">
        <v>440</v>
      </c>
      <c r="D802" s="109" t="s">
        <v>35</v>
      </c>
      <c r="E802" s="115" t="s">
        <v>20</v>
      </c>
      <c r="F802" s="109" t="s">
        <v>2045</v>
      </c>
      <c r="G802" s="111" t="s">
        <v>2046</v>
      </c>
    </row>
    <row r="803" customFormat="false" ht="15" hidden="false" customHeight="false" outlineLevel="0" collapsed="false">
      <c r="A803" s="109" t="s">
        <v>96</v>
      </c>
      <c r="B803" s="109" t="s">
        <v>97</v>
      </c>
      <c r="C803" s="109" t="s">
        <v>440</v>
      </c>
      <c r="D803" s="109" t="s">
        <v>39</v>
      </c>
      <c r="E803" s="115" t="s">
        <v>20</v>
      </c>
      <c r="F803" s="109" t="s">
        <v>2047</v>
      </c>
      <c r="G803" s="111" t="s">
        <v>2048</v>
      </c>
    </row>
    <row r="804" customFormat="false" ht="23.85" hidden="false" customHeight="false" outlineLevel="0" collapsed="false">
      <c r="A804" s="109" t="s">
        <v>96</v>
      </c>
      <c r="B804" s="109" t="s">
        <v>97</v>
      </c>
      <c r="C804" s="109" t="s">
        <v>440</v>
      </c>
      <c r="D804" s="109" t="s">
        <v>43</v>
      </c>
      <c r="E804" s="112" t="s">
        <v>16</v>
      </c>
      <c r="F804" s="109" t="s">
        <v>2049</v>
      </c>
      <c r="G804" s="111" t="s">
        <v>1977</v>
      </c>
    </row>
    <row r="805" customFormat="false" ht="15" hidden="false" customHeight="false" outlineLevel="0" collapsed="false">
      <c r="A805" s="109" t="s">
        <v>96</v>
      </c>
      <c r="B805" s="109" t="s">
        <v>97</v>
      </c>
      <c r="C805" s="109" t="s">
        <v>440</v>
      </c>
      <c r="D805" s="109" t="s">
        <v>47</v>
      </c>
      <c r="E805" s="113" t="s">
        <v>24</v>
      </c>
      <c r="F805" s="109" t="s">
        <v>2050</v>
      </c>
      <c r="G805" s="109"/>
    </row>
    <row r="806" customFormat="false" ht="15" hidden="false" customHeight="false" outlineLevel="0" collapsed="false">
      <c r="A806" s="109" t="s">
        <v>96</v>
      </c>
      <c r="B806" s="109" t="s">
        <v>97</v>
      </c>
      <c r="C806" s="109" t="s">
        <v>440</v>
      </c>
      <c r="D806" s="109" t="s">
        <v>51</v>
      </c>
      <c r="E806" s="110" t="s">
        <v>18</v>
      </c>
      <c r="F806" s="109" t="s">
        <v>2051</v>
      </c>
      <c r="G806" s="111" t="s">
        <v>1981</v>
      </c>
    </row>
    <row r="807" customFormat="false" ht="15" hidden="false" customHeight="false" outlineLevel="0" collapsed="false">
      <c r="A807" s="109" t="s">
        <v>96</v>
      </c>
      <c r="B807" s="109" t="s">
        <v>97</v>
      </c>
      <c r="C807" s="109" t="s">
        <v>440</v>
      </c>
      <c r="D807" s="109" t="s">
        <v>55</v>
      </c>
      <c r="E807" s="112" t="s">
        <v>16</v>
      </c>
      <c r="F807" s="109" t="s">
        <v>2052</v>
      </c>
      <c r="G807" s="111" t="s">
        <v>2012</v>
      </c>
    </row>
    <row r="808" customFormat="false" ht="15" hidden="false" customHeight="false" outlineLevel="0" collapsed="false">
      <c r="A808" s="109" t="s">
        <v>96</v>
      </c>
      <c r="B808" s="109" t="s">
        <v>97</v>
      </c>
      <c r="C808" s="109" t="s">
        <v>440</v>
      </c>
      <c r="D808" s="109" t="s">
        <v>59</v>
      </c>
      <c r="E808" s="114" t="s">
        <v>22</v>
      </c>
      <c r="F808" s="109" t="s">
        <v>2053</v>
      </c>
      <c r="G808" s="111" t="s">
        <v>2041</v>
      </c>
    </row>
    <row r="809" customFormat="false" ht="15" hidden="false" customHeight="false" outlineLevel="0" collapsed="false">
      <c r="A809" s="109" t="s">
        <v>96</v>
      </c>
      <c r="B809" s="109" t="s">
        <v>97</v>
      </c>
      <c r="C809" s="109" t="s">
        <v>440</v>
      </c>
      <c r="D809" s="109" t="s">
        <v>63</v>
      </c>
      <c r="E809" s="114" t="s">
        <v>22</v>
      </c>
      <c r="F809" s="109" t="s">
        <v>2054</v>
      </c>
      <c r="G809" s="111" t="s">
        <v>1805</v>
      </c>
    </row>
    <row r="810" customFormat="false" ht="23.85" hidden="false" customHeight="false" outlineLevel="0" collapsed="false">
      <c r="A810" s="109" t="s">
        <v>96</v>
      </c>
      <c r="B810" s="109" t="s">
        <v>97</v>
      </c>
      <c r="C810" s="109" t="s">
        <v>440</v>
      </c>
      <c r="D810" s="109" t="s">
        <v>67</v>
      </c>
      <c r="E810" s="110" t="s">
        <v>18</v>
      </c>
      <c r="F810" s="109" t="s">
        <v>2055</v>
      </c>
      <c r="G810" s="111" t="s">
        <v>1743</v>
      </c>
    </row>
    <row r="811" customFormat="false" ht="15" hidden="false" customHeight="false" outlineLevel="0" collapsed="false">
      <c r="A811" s="109" t="s">
        <v>96</v>
      </c>
      <c r="B811" s="109" t="s">
        <v>97</v>
      </c>
      <c r="C811" s="109" t="s">
        <v>440</v>
      </c>
      <c r="D811" s="109" t="s">
        <v>71</v>
      </c>
      <c r="E811" s="113" t="s">
        <v>24</v>
      </c>
      <c r="F811" s="109" t="s">
        <v>2056</v>
      </c>
      <c r="G811" s="109"/>
    </row>
    <row r="812" customFormat="false" ht="15" hidden="false" customHeight="false" outlineLevel="0" collapsed="false">
      <c r="A812" s="109" t="s">
        <v>96</v>
      </c>
      <c r="B812" s="109" t="s">
        <v>97</v>
      </c>
      <c r="C812" s="109" t="s">
        <v>442</v>
      </c>
      <c r="D812" s="109" t="s">
        <v>35</v>
      </c>
      <c r="E812" s="112" t="s">
        <v>16</v>
      </c>
      <c r="F812" s="109" t="s">
        <v>2057</v>
      </c>
      <c r="G812" s="111" t="s">
        <v>2058</v>
      </c>
    </row>
    <row r="813" customFormat="false" ht="15" hidden="false" customHeight="false" outlineLevel="0" collapsed="false">
      <c r="A813" s="109" t="s">
        <v>96</v>
      </c>
      <c r="B813" s="109" t="s">
        <v>97</v>
      </c>
      <c r="C813" s="109" t="s">
        <v>442</v>
      </c>
      <c r="D813" s="109" t="s">
        <v>39</v>
      </c>
      <c r="E813" s="112" t="s">
        <v>16</v>
      </c>
      <c r="F813" s="109" t="s">
        <v>2059</v>
      </c>
      <c r="G813" s="111" t="s">
        <v>1975</v>
      </c>
    </row>
    <row r="814" customFormat="false" ht="15" hidden="false" customHeight="false" outlineLevel="0" collapsed="false">
      <c r="A814" s="109" t="s">
        <v>96</v>
      </c>
      <c r="B814" s="109" t="s">
        <v>97</v>
      </c>
      <c r="C814" s="109" t="s">
        <v>442</v>
      </c>
      <c r="D814" s="109" t="s">
        <v>43</v>
      </c>
      <c r="E814" s="112" t="s">
        <v>16</v>
      </c>
      <c r="F814" s="109" t="s">
        <v>2060</v>
      </c>
      <c r="G814" s="111" t="s">
        <v>1196</v>
      </c>
    </row>
    <row r="815" customFormat="false" ht="15" hidden="false" customHeight="false" outlineLevel="0" collapsed="false">
      <c r="A815" s="109" t="s">
        <v>96</v>
      </c>
      <c r="B815" s="109" t="s">
        <v>97</v>
      </c>
      <c r="C815" s="109" t="s">
        <v>442</v>
      </c>
      <c r="D815" s="109" t="s">
        <v>47</v>
      </c>
      <c r="E815" s="112" t="s">
        <v>16</v>
      </c>
      <c r="F815" s="109" t="s">
        <v>2061</v>
      </c>
      <c r="G815" s="111" t="s">
        <v>1979</v>
      </c>
    </row>
    <row r="816" customFormat="false" ht="23.85" hidden="false" customHeight="false" outlineLevel="0" collapsed="false">
      <c r="A816" s="109" t="s">
        <v>96</v>
      </c>
      <c r="B816" s="109" t="s">
        <v>97</v>
      </c>
      <c r="C816" s="109" t="s">
        <v>442</v>
      </c>
      <c r="D816" s="109" t="s">
        <v>51</v>
      </c>
      <c r="E816" s="112" t="s">
        <v>16</v>
      </c>
      <c r="F816" s="109" t="s">
        <v>2062</v>
      </c>
      <c r="G816" s="111" t="s">
        <v>1981</v>
      </c>
    </row>
    <row r="817" customFormat="false" ht="15" hidden="false" customHeight="false" outlineLevel="0" collapsed="false">
      <c r="A817" s="109" t="s">
        <v>96</v>
      </c>
      <c r="B817" s="109" t="s">
        <v>97</v>
      </c>
      <c r="C817" s="109" t="s">
        <v>442</v>
      </c>
      <c r="D817" s="109" t="s">
        <v>55</v>
      </c>
      <c r="E817" s="116" t="s">
        <v>26</v>
      </c>
      <c r="F817" s="109" t="s">
        <v>2063</v>
      </c>
      <c r="G817" s="109"/>
    </row>
    <row r="818" customFormat="false" ht="15" hidden="false" customHeight="false" outlineLevel="0" collapsed="false">
      <c r="A818" s="109" t="s">
        <v>96</v>
      </c>
      <c r="B818" s="109" t="s">
        <v>97</v>
      </c>
      <c r="C818" s="109" t="s">
        <v>442</v>
      </c>
      <c r="D818" s="109" t="s">
        <v>59</v>
      </c>
      <c r="E818" s="112" t="s">
        <v>16</v>
      </c>
      <c r="F818" s="109" t="s">
        <v>2064</v>
      </c>
      <c r="G818" s="111" t="s">
        <v>1172</v>
      </c>
    </row>
    <row r="819" customFormat="false" ht="15" hidden="false" customHeight="false" outlineLevel="0" collapsed="false">
      <c r="A819" s="109" t="s">
        <v>96</v>
      </c>
      <c r="B819" s="109" t="s">
        <v>97</v>
      </c>
      <c r="C819" s="109" t="s">
        <v>442</v>
      </c>
      <c r="D819" s="109" t="s">
        <v>63</v>
      </c>
      <c r="E819" s="112" t="s">
        <v>16</v>
      </c>
      <c r="F819" s="109" t="s">
        <v>2065</v>
      </c>
      <c r="G819" s="111" t="s">
        <v>1986</v>
      </c>
    </row>
    <row r="820" customFormat="false" ht="15" hidden="false" customHeight="false" outlineLevel="0" collapsed="false">
      <c r="A820" s="109" t="s">
        <v>96</v>
      </c>
      <c r="B820" s="109" t="s">
        <v>97</v>
      </c>
      <c r="C820" s="109" t="s">
        <v>442</v>
      </c>
      <c r="D820" s="109" t="s">
        <v>67</v>
      </c>
      <c r="E820" s="112" t="s">
        <v>16</v>
      </c>
      <c r="F820" s="109" t="s">
        <v>2066</v>
      </c>
      <c r="G820" s="111" t="s">
        <v>1988</v>
      </c>
    </row>
    <row r="821" customFormat="false" ht="15" hidden="false" customHeight="false" outlineLevel="0" collapsed="false">
      <c r="A821" s="109" t="s">
        <v>96</v>
      </c>
      <c r="B821" s="109" t="s">
        <v>97</v>
      </c>
      <c r="C821" s="109" t="s">
        <v>442</v>
      </c>
      <c r="D821" s="109" t="s">
        <v>71</v>
      </c>
      <c r="E821" s="114" t="s">
        <v>22</v>
      </c>
      <c r="F821" s="109" t="s">
        <v>2067</v>
      </c>
      <c r="G821" s="111" t="s">
        <v>2068</v>
      </c>
    </row>
    <row r="822" customFormat="false" ht="15" hidden="false" customHeight="false" outlineLevel="0" collapsed="false">
      <c r="A822" s="109" t="s">
        <v>96</v>
      </c>
      <c r="B822" s="109" t="s">
        <v>98</v>
      </c>
      <c r="C822" s="109" t="s">
        <v>454</v>
      </c>
      <c r="D822" s="109" t="s">
        <v>35</v>
      </c>
      <c r="E822" s="112" t="s">
        <v>16</v>
      </c>
      <c r="F822" s="109" t="s">
        <v>2069</v>
      </c>
      <c r="G822" s="111" t="s">
        <v>2070</v>
      </c>
    </row>
    <row r="823" customFormat="false" ht="15" hidden="false" customHeight="false" outlineLevel="0" collapsed="false">
      <c r="A823" s="109" t="s">
        <v>96</v>
      </c>
      <c r="B823" s="109" t="s">
        <v>98</v>
      </c>
      <c r="C823" s="109" t="s">
        <v>454</v>
      </c>
      <c r="D823" s="109" t="s">
        <v>39</v>
      </c>
      <c r="E823" s="114" t="s">
        <v>22</v>
      </c>
      <c r="F823" s="109" t="s">
        <v>2071</v>
      </c>
      <c r="G823" s="111" t="s">
        <v>2072</v>
      </c>
    </row>
    <row r="824" customFormat="false" ht="15" hidden="false" customHeight="false" outlineLevel="0" collapsed="false">
      <c r="A824" s="109" t="s">
        <v>96</v>
      </c>
      <c r="B824" s="109" t="s">
        <v>98</v>
      </c>
      <c r="C824" s="109" t="s">
        <v>454</v>
      </c>
      <c r="D824" s="109" t="s">
        <v>43</v>
      </c>
      <c r="E824" s="112" t="s">
        <v>16</v>
      </c>
      <c r="F824" s="109" t="s">
        <v>2073</v>
      </c>
      <c r="G824" s="111" t="s">
        <v>834</v>
      </c>
    </row>
    <row r="825" customFormat="false" ht="23.85" hidden="false" customHeight="false" outlineLevel="0" collapsed="false">
      <c r="A825" s="109" t="s">
        <v>96</v>
      </c>
      <c r="B825" s="109" t="s">
        <v>98</v>
      </c>
      <c r="C825" s="109" t="s">
        <v>454</v>
      </c>
      <c r="D825" s="109" t="s">
        <v>47</v>
      </c>
      <c r="E825" s="114" t="s">
        <v>22</v>
      </c>
      <c r="F825" s="109" t="s">
        <v>2074</v>
      </c>
      <c r="G825" s="111" t="s">
        <v>922</v>
      </c>
    </row>
    <row r="826" customFormat="false" ht="23.85" hidden="false" customHeight="false" outlineLevel="0" collapsed="false">
      <c r="A826" s="109" t="s">
        <v>96</v>
      </c>
      <c r="B826" s="109" t="s">
        <v>98</v>
      </c>
      <c r="C826" s="109" t="s">
        <v>454</v>
      </c>
      <c r="D826" s="109" t="s">
        <v>51</v>
      </c>
      <c r="E826" s="112" t="s">
        <v>16</v>
      </c>
      <c r="F826" s="109" t="s">
        <v>2075</v>
      </c>
      <c r="G826" s="111" t="s">
        <v>2076</v>
      </c>
    </row>
    <row r="827" customFormat="false" ht="15" hidden="false" customHeight="false" outlineLevel="0" collapsed="false">
      <c r="A827" s="109" t="s">
        <v>96</v>
      </c>
      <c r="B827" s="109" t="s">
        <v>98</v>
      </c>
      <c r="C827" s="109" t="s">
        <v>454</v>
      </c>
      <c r="D827" s="109" t="s">
        <v>55</v>
      </c>
      <c r="E827" s="112" t="s">
        <v>16</v>
      </c>
      <c r="F827" s="109" t="s">
        <v>2077</v>
      </c>
      <c r="G827" s="111" t="s">
        <v>2078</v>
      </c>
    </row>
    <row r="828" customFormat="false" ht="23.85" hidden="false" customHeight="false" outlineLevel="0" collapsed="false">
      <c r="A828" s="109" t="s">
        <v>96</v>
      </c>
      <c r="B828" s="109" t="s">
        <v>98</v>
      </c>
      <c r="C828" s="109" t="s">
        <v>454</v>
      </c>
      <c r="D828" s="109" t="s">
        <v>59</v>
      </c>
      <c r="E828" s="112" t="s">
        <v>16</v>
      </c>
      <c r="F828" s="109" t="s">
        <v>2079</v>
      </c>
      <c r="G828" s="111" t="s">
        <v>945</v>
      </c>
    </row>
    <row r="829" customFormat="false" ht="15" hidden="false" customHeight="false" outlineLevel="0" collapsed="false">
      <c r="A829" s="109" t="s">
        <v>96</v>
      </c>
      <c r="B829" s="109" t="s">
        <v>98</v>
      </c>
      <c r="C829" s="109" t="s">
        <v>454</v>
      </c>
      <c r="D829" s="109" t="s">
        <v>63</v>
      </c>
      <c r="E829" s="113" t="s">
        <v>24</v>
      </c>
      <c r="F829" s="109" t="s">
        <v>2080</v>
      </c>
      <c r="G829" s="109"/>
    </row>
    <row r="830" customFormat="false" ht="23.85" hidden="false" customHeight="false" outlineLevel="0" collapsed="false">
      <c r="A830" s="109" t="s">
        <v>96</v>
      </c>
      <c r="B830" s="109" t="s">
        <v>98</v>
      </c>
      <c r="C830" s="109" t="s">
        <v>454</v>
      </c>
      <c r="D830" s="109" t="s">
        <v>67</v>
      </c>
      <c r="E830" s="114" t="s">
        <v>22</v>
      </c>
      <c r="F830" s="109" t="s">
        <v>2081</v>
      </c>
      <c r="G830" s="111" t="s">
        <v>2082</v>
      </c>
    </row>
    <row r="831" customFormat="false" ht="23.85" hidden="false" customHeight="false" outlineLevel="0" collapsed="false">
      <c r="A831" s="109" t="s">
        <v>96</v>
      </c>
      <c r="B831" s="109" t="s">
        <v>98</v>
      </c>
      <c r="C831" s="109" t="s">
        <v>454</v>
      </c>
      <c r="D831" s="109" t="s">
        <v>71</v>
      </c>
      <c r="E831" s="114" t="s">
        <v>22</v>
      </c>
      <c r="F831" s="109" t="s">
        <v>2083</v>
      </c>
      <c r="G831" s="111" t="s">
        <v>949</v>
      </c>
    </row>
    <row r="832" customFormat="false" ht="15" hidden="false" customHeight="false" outlineLevel="0" collapsed="false">
      <c r="A832" s="109" t="s">
        <v>96</v>
      </c>
      <c r="B832" s="109" t="s">
        <v>98</v>
      </c>
      <c r="C832" s="109" t="s">
        <v>456</v>
      </c>
      <c r="D832" s="109" t="s">
        <v>35</v>
      </c>
      <c r="E832" s="112" t="s">
        <v>16</v>
      </c>
      <c r="F832" s="109" t="s">
        <v>2084</v>
      </c>
      <c r="G832" s="111" t="s">
        <v>2070</v>
      </c>
    </row>
    <row r="833" customFormat="false" ht="15" hidden="false" customHeight="false" outlineLevel="0" collapsed="false">
      <c r="A833" s="109" t="s">
        <v>96</v>
      </c>
      <c r="B833" s="109" t="s">
        <v>98</v>
      </c>
      <c r="C833" s="109" t="s">
        <v>456</v>
      </c>
      <c r="D833" s="109" t="s">
        <v>39</v>
      </c>
      <c r="E833" s="115" t="s">
        <v>20</v>
      </c>
      <c r="F833" s="109" t="s">
        <v>2085</v>
      </c>
      <c r="G833" s="111" t="s">
        <v>2086</v>
      </c>
    </row>
    <row r="834" customFormat="false" ht="15" hidden="false" customHeight="false" outlineLevel="0" collapsed="false">
      <c r="A834" s="109" t="s">
        <v>96</v>
      </c>
      <c r="B834" s="109" t="s">
        <v>98</v>
      </c>
      <c r="C834" s="109" t="s">
        <v>456</v>
      </c>
      <c r="D834" s="109" t="s">
        <v>43</v>
      </c>
      <c r="E834" s="112" t="s">
        <v>16</v>
      </c>
      <c r="F834" s="109" t="s">
        <v>2087</v>
      </c>
      <c r="G834" s="111" t="s">
        <v>834</v>
      </c>
    </row>
    <row r="835" customFormat="false" ht="15" hidden="false" customHeight="false" outlineLevel="0" collapsed="false">
      <c r="A835" s="109" t="s">
        <v>96</v>
      </c>
      <c r="B835" s="109" t="s">
        <v>98</v>
      </c>
      <c r="C835" s="109" t="s">
        <v>456</v>
      </c>
      <c r="D835" s="109" t="s">
        <v>47</v>
      </c>
      <c r="E835" s="112" t="s">
        <v>16</v>
      </c>
      <c r="F835" s="109" t="s">
        <v>2088</v>
      </c>
      <c r="G835" s="111" t="s">
        <v>1979</v>
      </c>
    </row>
    <row r="836" customFormat="false" ht="15" hidden="false" customHeight="false" outlineLevel="0" collapsed="false">
      <c r="A836" s="109" t="s">
        <v>96</v>
      </c>
      <c r="B836" s="109" t="s">
        <v>98</v>
      </c>
      <c r="C836" s="109" t="s">
        <v>456</v>
      </c>
      <c r="D836" s="109" t="s">
        <v>51</v>
      </c>
      <c r="E836" s="112" t="s">
        <v>16</v>
      </c>
      <c r="F836" s="109" t="s">
        <v>2089</v>
      </c>
      <c r="G836" s="111" t="s">
        <v>838</v>
      </c>
    </row>
    <row r="837" customFormat="false" ht="15" hidden="false" customHeight="false" outlineLevel="0" collapsed="false">
      <c r="A837" s="109" t="s">
        <v>96</v>
      </c>
      <c r="B837" s="109" t="s">
        <v>98</v>
      </c>
      <c r="C837" s="109" t="s">
        <v>456</v>
      </c>
      <c r="D837" s="109" t="s">
        <v>55</v>
      </c>
      <c r="E837" s="112" t="s">
        <v>16</v>
      </c>
      <c r="F837" s="109" t="s">
        <v>2090</v>
      </c>
      <c r="G837" s="111" t="s">
        <v>1395</v>
      </c>
    </row>
    <row r="838" customFormat="false" ht="15" hidden="false" customHeight="false" outlineLevel="0" collapsed="false">
      <c r="A838" s="109" t="s">
        <v>96</v>
      </c>
      <c r="B838" s="109" t="s">
        <v>98</v>
      </c>
      <c r="C838" s="109" t="s">
        <v>456</v>
      </c>
      <c r="D838" s="109" t="s">
        <v>59</v>
      </c>
      <c r="E838" s="112" t="s">
        <v>16</v>
      </c>
      <c r="F838" s="109" t="s">
        <v>2091</v>
      </c>
      <c r="G838" s="111" t="s">
        <v>945</v>
      </c>
    </row>
    <row r="839" customFormat="false" ht="15" hidden="false" customHeight="false" outlineLevel="0" collapsed="false">
      <c r="A839" s="109" t="s">
        <v>96</v>
      </c>
      <c r="B839" s="109" t="s">
        <v>98</v>
      </c>
      <c r="C839" s="109" t="s">
        <v>456</v>
      </c>
      <c r="D839" s="109" t="s">
        <v>63</v>
      </c>
      <c r="E839" s="112" t="s">
        <v>16</v>
      </c>
      <c r="F839" s="109" t="s">
        <v>2092</v>
      </c>
      <c r="G839" s="111" t="s">
        <v>2093</v>
      </c>
    </row>
    <row r="840" customFormat="false" ht="15" hidden="false" customHeight="false" outlineLevel="0" collapsed="false">
      <c r="A840" s="109" t="s">
        <v>96</v>
      </c>
      <c r="B840" s="109" t="s">
        <v>98</v>
      </c>
      <c r="C840" s="109" t="s">
        <v>456</v>
      </c>
      <c r="D840" s="109" t="s">
        <v>67</v>
      </c>
      <c r="E840" s="112" t="s">
        <v>16</v>
      </c>
      <c r="F840" s="109" t="s">
        <v>2094</v>
      </c>
      <c r="G840" s="111" t="s">
        <v>1045</v>
      </c>
    </row>
    <row r="841" customFormat="false" ht="15" hidden="false" customHeight="false" outlineLevel="0" collapsed="false">
      <c r="A841" s="109" t="s">
        <v>96</v>
      </c>
      <c r="B841" s="109" t="s">
        <v>98</v>
      </c>
      <c r="C841" s="109" t="s">
        <v>456</v>
      </c>
      <c r="D841" s="109" t="s">
        <v>71</v>
      </c>
      <c r="E841" s="112" t="s">
        <v>16</v>
      </c>
      <c r="F841" s="109" t="s">
        <v>2095</v>
      </c>
      <c r="G841" s="111" t="s">
        <v>884</v>
      </c>
    </row>
    <row r="842" customFormat="false" ht="15" hidden="false" customHeight="false" outlineLevel="0" collapsed="false">
      <c r="A842" s="109" t="s">
        <v>96</v>
      </c>
      <c r="B842" s="109" t="s">
        <v>98</v>
      </c>
      <c r="C842" s="109" t="s">
        <v>458</v>
      </c>
      <c r="D842" s="109" t="s">
        <v>35</v>
      </c>
      <c r="E842" s="112" t="s">
        <v>16</v>
      </c>
      <c r="F842" s="109" t="s">
        <v>2096</v>
      </c>
      <c r="G842" s="111" t="s">
        <v>951</v>
      </c>
    </row>
    <row r="843" customFormat="false" ht="15" hidden="false" customHeight="false" outlineLevel="0" collapsed="false">
      <c r="A843" s="109" t="s">
        <v>96</v>
      </c>
      <c r="B843" s="109" t="s">
        <v>98</v>
      </c>
      <c r="C843" s="109" t="s">
        <v>458</v>
      </c>
      <c r="D843" s="109" t="s">
        <v>39</v>
      </c>
      <c r="E843" s="115" t="s">
        <v>20</v>
      </c>
      <c r="F843" s="109" t="s">
        <v>2097</v>
      </c>
      <c r="G843" s="111" t="s">
        <v>2086</v>
      </c>
    </row>
    <row r="844" customFormat="false" ht="15" hidden="false" customHeight="false" outlineLevel="0" collapsed="false">
      <c r="A844" s="109" t="s">
        <v>96</v>
      </c>
      <c r="B844" s="109" t="s">
        <v>98</v>
      </c>
      <c r="C844" s="109" t="s">
        <v>458</v>
      </c>
      <c r="D844" s="109" t="s">
        <v>43</v>
      </c>
      <c r="E844" s="112" t="s">
        <v>16</v>
      </c>
      <c r="F844" s="109" t="s">
        <v>2098</v>
      </c>
      <c r="G844" s="111" t="s">
        <v>834</v>
      </c>
    </row>
    <row r="845" customFormat="false" ht="15" hidden="false" customHeight="false" outlineLevel="0" collapsed="false">
      <c r="A845" s="109" t="s">
        <v>96</v>
      </c>
      <c r="B845" s="109" t="s">
        <v>98</v>
      </c>
      <c r="C845" s="109" t="s">
        <v>458</v>
      </c>
      <c r="D845" s="109" t="s">
        <v>47</v>
      </c>
      <c r="E845" s="112" t="s">
        <v>16</v>
      </c>
      <c r="F845" s="109" t="s">
        <v>2099</v>
      </c>
      <c r="G845" s="111" t="s">
        <v>2100</v>
      </c>
    </row>
    <row r="846" customFormat="false" ht="23.85" hidden="false" customHeight="false" outlineLevel="0" collapsed="false">
      <c r="A846" s="109" t="s">
        <v>96</v>
      </c>
      <c r="B846" s="109" t="s">
        <v>98</v>
      </c>
      <c r="C846" s="109" t="s">
        <v>458</v>
      </c>
      <c r="D846" s="109" t="s">
        <v>51</v>
      </c>
      <c r="E846" s="112" t="s">
        <v>16</v>
      </c>
      <c r="F846" s="109" t="s">
        <v>2101</v>
      </c>
      <c r="G846" s="111" t="s">
        <v>958</v>
      </c>
    </row>
    <row r="847" customFormat="false" ht="15" hidden="false" customHeight="false" outlineLevel="0" collapsed="false">
      <c r="A847" s="109" t="s">
        <v>96</v>
      </c>
      <c r="B847" s="109" t="s">
        <v>98</v>
      </c>
      <c r="C847" s="109" t="s">
        <v>458</v>
      </c>
      <c r="D847" s="109" t="s">
        <v>55</v>
      </c>
      <c r="E847" s="112" t="s">
        <v>16</v>
      </c>
      <c r="F847" s="109" t="s">
        <v>2102</v>
      </c>
      <c r="G847" s="111" t="s">
        <v>1435</v>
      </c>
    </row>
    <row r="848" customFormat="false" ht="15" hidden="false" customHeight="false" outlineLevel="0" collapsed="false">
      <c r="A848" s="109" t="s">
        <v>96</v>
      </c>
      <c r="B848" s="109" t="s">
        <v>98</v>
      </c>
      <c r="C848" s="109" t="s">
        <v>458</v>
      </c>
      <c r="D848" s="109" t="s">
        <v>59</v>
      </c>
      <c r="E848" s="112" t="s">
        <v>16</v>
      </c>
      <c r="F848" s="109" t="s">
        <v>2103</v>
      </c>
      <c r="G848" s="111" t="s">
        <v>945</v>
      </c>
    </row>
    <row r="849" customFormat="false" ht="15" hidden="false" customHeight="false" outlineLevel="0" collapsed="false">
      <c r="A849" s="109" t="s">
        <v>96</v>
      </c>
      <c r="B849" s="109" t="s">
        <v>98</v>
      </c>
      <c r="C849" s="109" t="s">
        <v>458</v>
      </c>
      <c r="D849" s="109" t="s">
        <v>63</v>
      </c>
      <c r="E849" s="110" t="s">
        <v>18</v>
      </c>
      <c r="F849" s="109" t="s">
        <v>2104</v>
      </c>
      <c r="G849" s="111" t="s">
        <v>962</v>
      </c>
    </row>
    <row r="850" customFormat="false" ht="23.85" hidden="false" customHeight="false" outlineLevel="0" collapsed="false">
      <c r="A850" s="109" t="s">
        <v>96</v>
      </c>
      <c r="B850" s="109" t="s">
        <v>98</v>
      </c>
      <c r="C850" s="109" t="s">
        <v>458</v>
      </c>
      <c r="D850" s="109" t="s">
        <v>67</v>
      </c>
      <c r="E850" s="112" t="s">
        <v>16</v>
      </c>
      <c r="F850" s="109" t="s">
        <v>2105</v>
      </c>
      <c r="G850" s="111" t="s">
        <v>846</v>
      </c>
    </row>
    <row r="851" customFormat="false" ht="15" hidden="false" customHeight="false" outlineLevel="0" collapsed="false">
      <c r="A851" s="109" t="s">
        <v>96</v>
      </c>
      <c r="B851" s="109" t="s">
        <v>98</v>
      </c>
      <c r="C851" s="109" t="s">
        <v>458</v>
      </c>
      <c r="D851" s="109" t="s">
        <v>71</v>
      </c>
      <c r="E851" s="113" t="s">
        <v>24</v>
      </c>
      <c r="F851" s="109" t="s">
        <v>2106</v>
      </c>
      <c r="G851" s="111" t="s">
        <v>2107</v>
      </c>
    </row>
    <row r="852" customFormat="false" ht="23.85" hidden="false" customHeight="false" outlineLevel="0" collapsed="false">
      <c r="A852" s="109" t="s">
        <v>96</v>
      </c>
      <c r="B852" s="109" t="s">
        <v>98</v>
      </c>
      <c r="C852" s="109" t="s">
        <v>460</v>
      </c>
      <c r="D852" s="109" t="s">
        <v>35</v>
      </c>
      <c r="E852" s="114" t="s">
        <v>22</v>
      </c>
      <c r="F852" s="109" t="s">
        <v>2108</v>
      </c>
      <c r="G852" s="111" t="s">
        <v>2109</v>
      </c>
    </row>
    <row r="853" customFormat="false" ht="15" hidden="false" customHeight="false" outlineLevel="0" collapsed="false">
      <c r="A853" s="109" t="s">
        <v>96</v>
      </c>
      <c r="B853" s="109" t="s">
        <v>98</v>
      </c>
      <c r="C853" s="109" t="s">
        <v>460</v>
      </c>
      <c r="D853" s="109" t="s">
        <v>39</v>
      </c>
      <c r="E853" s="112" t="s">
        <v>16</v>
      </c>
      <c r="F853" s="109" t="s">
        <v>2110</v>
      </c>
      <c r="G853" s="111" t="s">
        <v>2111</v>
      </c>
    </row>
    <row r="854" customFormat="false" ht="23.85" hidden="false" customHeight="false" outlineLevel="0" collapsed="false">
      <c r="A854" s="109" t="s">
        <v>96</v>
      </c>
      <c r="B854" s="109" t="s">
        <v>98</v>
      </c>
      <c r="C854" s="109" t="s">
        <v>460</v>
      </c>
      <c r="D854" s="109" t="s">
        <v>43</v>
      </c>
      <c r="E854" s="112" t="s">
        <v>16</v>
      </c>
      <c r="F854" s="109" t="s">
        <v>2112</v>
      </c>
      <c r="G854" s="111" t="s">
        <v>2113</v>
      </c>
    </row>
    <row r="855" customFormat="false" ht="23.85" hidden="false" customHeight="false" outlineLevel="0" collapsed="false">
      <c r="A855" s="109" t="s">
        <v>96</v>
      </c>
      <c r="B855" s="109" t="s">
        <v>98</v>
      </c>
      <c r="C855" s="109" t="s">
        <v>460</v>
      </c>
      <c r="D855" s="109" t="s">
        <v>47</v>
      </c>
      <c r="E855" s="112" t="s">
        <v>16</v>
      </c>
      <c r="F855" s="109" t="s">
        <v>2114</v>
      </c>
      <c r="G855" s="111" t="s">
        <v>2115</v>
      </c>
    </row>
    <row r="856" customFormat="false" ht="23.85" hidden="false" customHeight="false" outlineLevel="0" collapsed="false">
      <c r="A856" s="109" t="s">
        <v>96</v>
      </c>
      <c r="B856" s="109" t="s">
        <v>98</v>
      </c>
      <c r="C856" s="109" t="s">
        <v>460</v>
      </c>
      <c r="D856" s="109" t="s">
        <v>51</v>
      </c>
      <c r="E856" s="112" t="s">
        <v>16</v>
      </c>
      <c r="F856" s="109" t="s">
        <v>2116</v>
      </c>
      <c r="G856" s="111" t="s">
        <v>2076</v>
      </c>
    </row>
    <row r="857" customFormat="false" ht="15" hidden="false" customHeight="false" outlineLevel="0" collapsed="false">
      <c r="A857" s="109" t="s">
        <v>96</v>
      </c>
      <c r="B857" s="109" t="s">
        <v>98</v>
      </c>
      <c r="C857" s="109" t="s">
        <v>460</v>
      </c>
      <c r="D857" s="109" t="s">
        <v>55</v>
      </c>
      <c r="E857" s="112" t="s">
        <v>16</v>
      </c>
      <c r="F857" s="109" t="s">
        <v>2117</v>
      </c>
      <c r="G857" s="111" t="s">
        <v>2118</v>
      </c>
    </row>
    <row r="858" customFormat="false" ht="15" hidden="false" customHeight="false" outlineLevel="0" collapsed="false">
      <c r="A858" s="109" t="s">
        <v>96</v>
      </c>
      <c r="B858" s="109" t="s">
        <v>98</v>
      </c>
      <c r="C858" s="109" t="s">
        <v>460</v>
      </c>
      <c r="D858" s="109" t="s">
        <v>59</v>
      </c>
      <c r="E858" s="112" t="s">
        <v>16</v>
      </c>
      <c r="F858" s="109" t="s">
        <v>2119</v>
      </c>
      <c r="G858" s="111" t="s">
        <v>992</v>
      </c>
    </row>
    <row r="859" customFormat="false" ht="15" hidden="false" customHeight="false" outlineLevel="0" collapsed="false">
      <c r="A859" s="109" t="s">
        <v>96</v>
      </c>
      <c r="B859" s="109" t="s">
        <v>98</v>
      </c>
      <c r="C859" s="109" t="s">
        <v>460</v>
      </c>
      <c r="D859" s="109" t="s">
        <v>63</v>
      </c>
      <c r="E859" s="114" t="s">
        <v>22</v>
      </c>
      <c r="F859" s="109" t="s">
        <v>2120</v>
      </c>
      <c r="G859" s="111" t="s">
        <v>2121</v>
      </c>
    </row>
    <row r="860" customFormat="false" ht="23.85" hidden="false" customHeight="false" outlineLevel="0" collapsed="false">
      <c r="A860" s="109" t="s">
        <v>96</v>
      </c>
      <c r="B860" s="109" t="s">
        <v>98</v>
      </c>
      <c r="C860" s="109" t="s">
        <v>460</v>
      </c>
      <c r="D860" s="109" t="s">
        <v>67</v>
      </c>
      <c r="E860" s="114" t="s">
        <v>22</v>
      </c>
      <c r="F860" s="109" t="s">
        <v>2122</v>
      </c>
      <c r="G860" s="111" t="s">
        <v>2123</v>
      </c>
    </row>
    <row r="861" customFormat="false" ht="15" hidden="false" customHeight="false" outlineLevel="0" collapsed="false">
      <c r="A861" s="109" t="s">
        <v>96</v>
      </c>
      <c r="B861" s="109" t="s">
        <v>98</v>
      </c>
      <c r="C861" s="109" t="s">
        <v>460</v>
      </c>
      <c r="D861" s="109" t="s">
        <v>71</v>
      </c>
      <c r="E861" s="112" t="s">
        <v>16</v>
      </c>
      <c r="F861" s="109" t="s">
        <v>2124</v>
      </c>
      <c r="G861" s="111" t="s">
        <v>998</v>
      </c>
    </row>
    <row r="862" customFormat="false" ht="15" hidden="false" customHeight="false" outlineLevel="0" collapsed="false">
      <c r="A862" s="109" t="s">
        <v>96</v>
      </c>
      <c r="B862" s="109" t="s">
        <v>98</v>
      </c>
      <c r="C862" s="109" t="s">
        <v>462</v>
      </c>
      <c r="D862" s="109" t="s">
        <v>35</v>
      </c>
      <c r="E862" s="115" t="s">
        <v>20</v>
      </c>
      <c r="F862" s="109" t="s">
        <v>2125</v>
      </c>
      <c r="G862" s="111" t="s">
        <v>2126</v>
      </c>
    </row>
    <row r="863" customFormat="false" ht="15" hidden="false" customHeight="false" outlineLevel="0" collapsed="false">
      <c r="A863" s="109" t="s">
        <v>96</v>
      </c>
      <c r="B863" s="109" t="s">
        <v>98</v>
      </c>
      <c r="C863" s="109" t="s">
        <v>462</v>
      </c>
      <c r="D863" s="109" t="s">
        <v>39</v>
      </c>
      <c r="E863" s="115" t="s">
        <v>20</v>
      </c>
      <c r="F863" s="109" t="s">
        <v>2127</v>
      </c>
      <c r="G863" s="111" t="s">
        <v>2128</v>
      </c>
    </row>
    <row r="864" customFormat="false" ht="23.85" hidden="false" customHeight="false" outlineLevel="0" collapsed="false">
      <c r="A864" s="109" t="s">
        <v>96</v>
      </c>
      <c r="B864" s="109" t="s">
        <v>98</v>
      </c>
      <c r="C864" s="109" t="s">
        <v>462</v>
      </c>
      <c r="D864" s="109" t="s">
        <v>43</v>
      </c>
      <c r="E864" s="114" t="s">
        <v>22</v>
      </c>
      <c r="F864" s="109" t="s">
        <v>2129</v>
      </c>
      <c r="G864" s="111" t="s">
        <v>2113</v>
      </c>
    </row>
    <row r="865" customFormat="false" ht="23.85" hidden="false" customHeight="false" outlineLevel="0" collapsed="false">
      <c r="A865" s="109" t="s">
        <v>96</v>
      </c>
      <c r="B865" s="109" t="s">
        <v>98</v>
      </c>
      <c r="C865" s="109" t="s">
        <v>462</v>
      </c>
      <c r="D865" s="109" t="s">
        <v>47</v>
      </c>
      <c r="E865" s="115" t="s">
        <v>20</v>
      </c>
      <c r="F865" s="109" t="s">
        <v>2130</v>
      </c>
      <c r="G865" s="111" t="s">
        <v>1963</v>
      </c>
    </row>
    <row r="866" customFormat="false" ht="23.85" hidden="false" customHeight="false" outlineLevel="0" collapsed="false">
      <c r="A866" s="109" t="s">
        <v>96</v>
      </c>
      <c r="B866" s="109" t="s">
        <v>98</v>
      </c>
      <c r="C866" s="109" t="s">
        <v>462</v>
      </c>
      <c r="D866" s="109" t="s">
        <v>51</v>
      </c>
      <c r="E866" s="110" t="s">
        <v>18</v>
      </c>
      <c r="F866" s="109" t="s">
        <v>2131</v>
      </c>
      <c r="G866" s="111" t="s">
        <v>2132</v>
      </c>
    </row>
    <row r="867" customFormat="false" ht="15" hidden="false" customHeight="false" outlineLevel="0" collapsed="false">
      <c r="A867" s="109" t="s">
        <v>96</v>
      </c>
      <c r="B867" s="109" t="s">
        <v>98</v>
      </c>
      <c r="C867" s="109" t="s">
        <v>462</v>
      </c>
      <c r="D867" s="109" t="s">
        <v>55</v>
      </c>
      <c r="E867" s="115" t="s">
        <v>20</v>
      </c>
      <c r="F867" s="109" t="s">
        <v>2133</v>
      </c>
      <c r="G867" s="111" t="s">
        <v>2134</v>
      </c>
    </row>
    <row r="868" customFormat="false" ht="23.85" hidden="false" customHeight="false" outlineLevel="0" collapsed="false">
      <c r="A868" s="109" t="s">
        <v>96</v>
      </c>
      <c r="B868" s="109" t="s">
        <v>98</v>
      </c>
      <c r="C868" s="109" t="s">
        <v>462</v>
      </c>
      <c r="D868" s="109" t="s">
        <v>59</v>
      </c>
      <c r="E868" s="112" t="s">
        <v>16</v>
      </c>
      <c r="F868" s="109" t="s">
        <v>2135</v>
      </c>
      <c r="G868" s="111" t="s">
        <v>945</v>
      </c>
    </row>
    <row r="869" customFormat="false" ht="23.85" hidden="false" customHeight="false" outlineLevel="0" collapsed="false">
      <c r="A869" s="109" t="s">
        <v>96</v>
      </c>
      <c r="B869" s="109" t="s">
        <v>98</v>
      </c>
      <c r="C869" s="109" t="s">
        <v>462</v>
      </c>
      <c r="D869" s="109" t="s">
        <v>63</v>
      </c>
      <c r="E869" s="110" t="s">
        <v>18</v>
      </c>
      <c r="F869" s="109" t="s">
        <v>2136</v>
      </c>
      <c r="G869" s="111" t="s">
        <v>2137</v>
      </c>
    </row>
    <row r="870" customFormat="false" ht="15" hidden="false" customHeight="false" outlineLevel="0" collapsed="false">
      <c r="A870" s="109" t="s">
        <v>96</v>
      </c>
      <c r="B870" s="109" t="s">
        <v>98</v>
      </c>
      <c r="C870" s="109" t="s">
        <v>462</v>
      </c>
      <c r="D870" s="109" t="s">
        <v>67</v>
      </c>
      <c r="E870" s="110" t="s">
        <v>18</v>
      </c>
      <c r="F870" s="109" t="s">
        <v>2138</v>
      </c>
      <c r="G870" s="111" t="s">
        <v>2139</v>
      </c>
    </row>
    <row r="871" customFormat="false" ht="15" hidden="false" customHeight="false" outlineLevel="0" collapsed="false">
      <c r="A871" s="109" t="s">
        <v>96</v>
      </c>
      <c r="B871" s="109" t="s">
        <v>98</v>
      </c>
      <c r="C871" s="109" t="s">
        <v>462</v>
      </c>
      <c r="D871" s="109" t="s">
        <v>71</v>
      </c>
      <c r="E871" s="113" t="s">
        <v>24</v>
      </c>
      <c r="F871" s="109" t="s">
        <v>2140</v>
      </c>
      <c r="G871" s="109"/>
    </row>
    <row r="872" customFormat="false" ht="15" hidden="false" customHeight="false" outlineLevel="0" collapsed="false">
      <c r="A872" s="109" t="s">
        <v>96</v>
      </c>
      <c r="B872" s="109" t="s">
        <v>98</v>
      </c>
      <c r="C872" s="109" t="s">
        <v>464</v>
      </c>
      <c r="D872" s="109" t="s">
        <v>35</v>
      </c>
      <c r="E872" s="112" t="s">
        <v>16</v>
      </c>
      <c r="F872" s="109" t="s">
        <v>2141</v>
      </c>
      <c r="G872" s="111" t="s">
        <v>2142</v>
      </c>
    </row>
    <row r="873" customFormat="false" ht="15" hidden="false" customHeight="false" outlineLevel="0" collapsed="false">
      <c r="A873" s="109" t="s">
        <v>96</v>
      </c>
      <c r="B873" s="109" t="s">
        <v>98</v>
      </c>
      <c r="C873" s="109" t="s">
        <v>464</v>
      </c>
      <c r="D873" s="109" t="s">
        <v>39</v>
      </c>
      <c r="E873" s="115" t="s">
        <v>20</v>
      </c>
      <c r="F873" s="109" t="s">
        <v>2143</v>
      </c>
      <c r="G873" s="111" t="s">
        <v>2128</v>
      </c>
    </row>
    <row r="874" customFormat="false" ht="23.85" hidden="false" customHeight="false" outlineLevel="0" collapsed="false">
      <c r="A874" s="109" t="s">
        <v>96</v>
      </c>
      <c r="B874" s="109" t="s">
        <v>98</v>
      </c>
      <c r="C874" s="109" t="s">
        <v>464</v>
      </c>
      <c r="D874" s="109" t="s">
        <v>43</v>
      </c>
      <c r="E874" s="115" t="s">
        <v>20</v>
      </c>
      <c r="F874" s="109" t="s">
        <v>2144</v>
      </c>
      <c r="G874" s="111" t="s">
        <v>2145</v>
      </c>
    </row>
    <row r="875" customFormat="false" ht="15" hidden="false" customHeight="false" outlineLevel="0" collapsed="false">
      <c r="A875" s="109" t="s">
        <v>96</v>
      </c>
      <c r="B875" s="109" t="s">
        <v>98</v>
      </c>
      <c r="C875" s="109" t="s">
        <v>464</v>
      </c>
      <c r="D875" s="109" t="s">
        <v>47</v>
      </c>
      <c r="E875" s="115" t="s">
        <v>20</v>
      </c>
      <c r="F875" s="109" t="s">
        <v>2146</v>
      </c>
      <c r="G875" s="111" t="s">
        <v>1963</v>
      </c>
    </row>
    <row r="876" customFormat="false" ht="15" hidden="false" customHeight="false" outlineLevel="0" collapsed="false">
      <c r="A876" s="109" t="s">
        <v>96</v>
      </c>
      <c r="B876" s="109" t="s">
        <v>98</v>
      </c>
      <c r="C876" s="109" t="s">
        <v>464</v>
      </c>
      <c r="D876" s="109" t="s">
        <v>51</v>
      </c>
      <c r="E876" s="110" t="s">
        <v>18</v>
      </c>
      <c r="F876" s="109" t="s">
        <v>2147</v>
      </c>
      <c r="G876" s="111" t="s">
        <v>2132</v>
      </c>
    </row>
    <row r="877" customFormat="false" ht="23.85" hidden="false" customHeight="false" outlineLevel="0" collapsed="false">
      <c r="A877" s="109" t="s">
        <v>96</v>
      </c>
      <c r="B877" s="109" t="s">
        <v>98</v>
      </c>
      <c r="C877" s="109" t="s">
        <v>464</v>
      </c>
      <c r="D877" s="109" t="s">
        <v>55</v>
      </c>
      <c r="E877" s="114" t="s">
        <v>22</v>
      </c>
      <c r="F877" s="109" t="s">
        <v>2148</v>
      </c>
      <c r="G877" s="111" t="s">
        <v>1586</v>
      </c>
    </row>
    <row r="878" customFormat="false" ht="15" hidden="false" customHeight="false" outlineLevel="0" collapsed="false">
      <c r="A878" s="109" t="s">
        <v>96</v>
      </c>
      <c r="B878" s="109" t="s">
        <v>98</v>
      </c>
      <c r="C878" s="109" t="s">
        <v>464</v>
      </c>
      <c r="D878" s="109" t="s">
        <v>59</v>
      </c>
      <c r="E878" s="113" t="s">
        <v>24</v>
      </c>
      <c r="F878" s="109" t="s">
        <v>2149</v>
      </c>
      <c r="G878" s="109"/>
    </row>
    <row r="879" customFormat="false" ht="15" hidden="false" customHeight="false" outlineLevel="0" collapsed="false">
      <c r="A879" s="109" t="s">
        <v>96</v>
      </c>
      <c r="B879" s="109" t="s">
        <v>98</v>
      </c>
      <c r="C879" s="109" t="s">
        <v>464</v>
      </c>
      <c r="D879" s="109" t="s">
        <v>63</v>
      </c>
      <c r="E879" s="113" t="s">
        <v>24</v>
      </c>
      <c r="F879" s="109" t="s">
        <v>2150</v>
      </c>
      <c r="G879" s="111" t="s">
        <v>2137</v>
      </c>
    </row>
    <row r="880" customFormat="false" ht="15" hidden="false" customHeight="false" outlineLevel="0" collapsed="false">
      <c r="A880" s="109" t="s">
        <v>96</v>
      </c>
      <c r="B880" s="109" t="s">
        <v>98</v>
      </c>
      <c r="C880" s="109" t="s">
        <v>464</v>
      </c>
      <c r="D880" s="109" t="s">
        <v>67</v>
      </c>
      <c r="E880" s="113" t="s">
        <v>24</v>
      </c>
      <c r="F880" s="109" t="s">
        <v>2151</v>
      </c>
      <c r="G880" s="111" t="s">
        <v>2139</v>
      </c>
    </row>
    <row r="881" customFormat="false" ht="15" hidden="false" customHeight="false" outlineLevel="0" collapsed="false">
      <c r="A881" s="109" t="s">
        <v>96</v>
      </c>
      <c r="B881" s="109" t="s">
        <v>98</v>
      </c>
      <c r="C881" s="109" t="s">
        <v>464</v>
      </c>
      <c r="D881" s="109" t="s">
        <v>71</v>
      </c>
      <c r="E881" s="113" t="s">
        <v>24</v>
      </c>
      <c r="F881" s="109" t="s">
        <v>2152</v>
      </c>
      <c r="G881" s="109"/>
    </row>
    <row r="882" customFormat="false" ht="15" hidden="false" customHeight="false" outlineLevel="0" collapsed="false">
      <c r="A882" s="109" t="s">
        <v>96</v>
      </c>
      <c r="B882" s="109" t="s">
        <v>98</v>
      </c>
      <c r="C882" s="109" t="s">
        <v>466</v>
      </c>
      <c r="D882" s="109" t="s">
        <v>35</v>
      </c>
      <c r="E882" s="114" t="s">
        <v>22</v>
      </c>
      <c r="F882" s="109" t="s">
        <v>2153</v>
      </c>
      <c r="G882" s="111" t="s">
        <v>2154</v>
      </c>
    </row>
    <row r="883" customFormat="false" ht="23.85" hidden="false" customHeight="false" outlineLevel="0" collapsed="false">
      <c r="A883" s="109" t="s">
        <v>96</v>
      </c>
      <c r="B883" s="109" t="s">
        <v>98</v>
      </c>
      <c r="C883" s="109" t="s">
        <v>466</v>
      </c>
      <c r="D883" s="109" t="s">
        <v>39</v>
      </c>
      <c r="E883" s="112" t="s">
        <v>16</v>
      </c>
      <c r="F883" s="109" t="s">
        <v>2155</v>
      </c>
      <c r="G883" s="111" t="s">
        <v>2156</v>
      </c>
    </row>
    <row r="884" customFormat="false" ht="15" hidden="false" customHeight="false" outlineLevel="0" collapsed="false">
      <c r="A884" s="109" t="s">
        <v>96</v>
      </c>
      <c r="B884" s="109" t="s">
        <v>98</v>
      </c>
      <c r="C884" s="109" t="s">
        <v>466</v>
      </c>
      <c r="D884" s="109" t="s">
        <v>43</v>
      </c>
      <c r="E884" s="114" t="s">
        <v>22</v>
      </c>
      <c r="F884" s="109" t="s">
        <v>2157</v>
      </c>
      <c r="G884" s="111" t="s">
        <v>2113</v>
      </c>
    </row>
    <row r="885" customFormat="false" ht="15" hidden="false" customHeight="false" outlineLevel="0" collapsed="false">
      <c r="A885" s="109" t="s">
        <v>96</v>
      </c>
      <c r="B885" s="109" t="s">
        <v>98</v>
      </c>
      <c r="C885" s="109" t="s">
        <v>466</v>
      </c>
      <c r="D885" s="109" t="s">
        <v>47</v>
      </c>
      <c r="E885" s="114" t="s">
        <v>22</v>
      </c>
      <c r="F885" s="109" t="s">
        <v>2158</v>
      </c>
      <c r="G885" s="111" t="s">
        <v>2115</v>
      </c>
    </row>
    <row r="886" customFormat="false" ht="15" hidden="false" customHeight="false" outlineLevel="0" collapsed="false">
      <c r="A886" s="109" t="s">
        <v>96</v>
      </c>
      <c r="B886" s="109" t="s">
        <v>98</v>
      </c>
      <c r="C886" s="109" t="s">
        <v>466</v>
      </c>
      <c r="D886" s="109" t="s">
        <v>51</v>
      </c>
      <c r="E886" s="112" t="s">
        <v>16</v>
      </c>
      <c r="F886" s="109" t="s">
        <v>2159</v>
      </c>
      <c r="G886" s="111" t="s">
        <v>2076</v>
      </c>
    </row>
    <row r="887" customFormat="false" ht="15" hidden="false" customHeight="false" outlineLevel="0" collapsed="false">
      <c r="A887" s="109" t="s">
        <v>96</v>
      </c>
      <c r="B887" s="109" t="s">
        <v>98</v>
      </c>
      <c r="C887" s="109" t="s">
        <v>466</v>
      </c>
      <c r="D887" s="109" t="s">
        <v>55</v>
      </c>
      <c r="E887" s="112" t="s">
        <v>16</v>
      </c>
      <c r="F887" s="109" t="s">
        <v>2160</v>
      </c>
      <c r="G887" s="111" t="s">
        <v>2078</v>
      </c>
    </row>
    <row r="888" customFormat="false" ht="15" hidden="false" customHeight="false" outlineLevel="0" collapsed="false">
      <c r="A888" s="109" t="s">
        <v>96</v>
      </c>
      <c r="B888" s="109" t="s">
        <v>98</v>
      </c>
      <c r="C888" s="109" t="s">
        <v>466</v>
      </c>
      <c r="D888" s="109" t="s">
        <v>59</v>
      </c>
      <c r="E888" s="114" t="s">
        <v>22</v>
      </c>
      <c r="F888" s="109" t="s">
        <v>2161</v>
      </c>
      <c r="G888" s="111" t="s">
        <v>2162</v>
      </c>
    </row>
    <row r="889" customFormat="false" ht="15" hidden="false" customHeight="false" outlineLevel="0" collapsed="false">
      <c r="A889" s="109" t="s">
        <v>96</v>
      </c>
      <c r="B889" s="109" t="s">
        <v>98</v>
      </c>
      <c r="C889" s="109" t="s">
        <v>466</v>
      </c>
      <c r="D889" s="109" t="s">
        <v>63</v>
      </c>
      <c r="E889" s="114" t="s">
        <v>22</v>
      </c>
      <c r="F889" s="109" t="s">
        <v>2163</v>
      </c>
      <c r="G889" s="109"/>
    </row>
    <row r="890" customFormat="false" ht="15" hidden="false" customHeight="false" outlineLevel="0" collapsed="false">
      <c r="A890" s="109" t="s">
        <v>96</v>
      </c>
      <c r="B890" s="109" t="s">
        <v>98</v>
      </c>
      <c r="C890" s="109" t="s">
        <v>466</v>
      </c>
      <c r="D890" s="109" t="s">
        <v>67</v>
      </c>
      <c r="E890" s="114" t="s">
        <v>22</v>
      </c>
      <c r="F890" s="109" t="s">
        <v>2164</v>
      </c>
      <c r="G890" s="109"/>
    </row>
    <row r="891" customFormat="false" ht="15" hidden="false" customHeight="false" outlineLevel="0" collapsed="false">
      <c r="A891" s="109" t="s">
        <v>96</v>
      </c>
      <c r="B891" s="109" t="s">
        <v>98</v>
      </c>
      <c r="C891" s="109" t="s">
        <v>466</v>
      </c>
      <c r="D891" s="109" t="s">
        <v>71</v>
      </c>
      <c r="E891" s="114" t="s">
        <v>22</v>
      </c>
      <c r="F891" s="109" t="s">
        <v>2165</v>
      </c>
      <c r="G891" s="111" t="s">
        <v>2166</v>
      </c>
    </row>
    <row r="892" customFormat="false" ht="23.85" hidden="false" customHeight="false" outlineLevel="0" collapsed="false">
      <c r="A892" s="109" t="s">
        <v>96</v>
      </c>
      <c r="B892" s="109" t="s">
        <v>98</v>
      </c>
      <c r="C892" s="109" t="s">
        <v>468</v>
      </c>
      <c r="D892" s="109" t="s">
        <v>35</v>
      </c>
      <c r="E892" s="115" t="s">
        <v>20</v>
      </c>
      <c r="F892" s="109" t="s">
        <v>2167</v>
      </c>
      <c r="G892" s="111" t="s">
        <v>2168</v>
      </c>
    </row>
    <row r="893" customFormat="false" ht="23.85" hidden="false" customHeight="false" outlineLevel="0" collapsed="false">
      <c r="A893" s="109" t="s">
        <v>96</v>
      </c>
      <c r="B893" s="109" t="s">
        <v>98</v>
      </c>
      <c r="C893" s="109" t="s">
        <v>468</v>
      </c>
      <c r="D893" s="109" t="s">
        <v>39</v>
      </c>
      <c r="E893" s="112" t="s">
        <v>16</v>
      </c>
      <c r="F893" s="109" t="s">
        <v>2169</v>
      </c>
      <c r="G893" s="111" t="s">
        <v>1975</v>
      </c>
    </row>
    <row r="894" customFormat="false" ht="23.85" hidden="false" customHeight="false" outlineLevel="0" collapsed="false">
      <c r="A894" s="109" t="s">
        <v>96</v>
      </c>
      <c r="B894" s="109" t="s">
        <v>98</v>
      </c>
      <c r="C894" s="109" t="s">
        <v>468</v>
      </c>
      <c r="D894" s="109" t="s">
        <v>43</v>
      </c>
      <c r="E894" s="112" t="s">
        <v>16</v>
      </c>
      <c r="F894" s="109" t="s">
        <v>2170</v>
      </c>
      <c r="G894" s="111" t="s">
        <v>1977</v>
      </c>
    </row>
    <row r="895" customFormat="false" ht="23.85" hidden="false" customHeight="false" outlineLevel="0" collapsed="false">
      <c r="A895" s="109" t="s">
        <v>96</v>
      </c>
      <c r="B895" s="109" t="s">
        <v>98</v>
      </c>
      <c r="C895" s="109" t="s">
        <v>468</v>
      </c>
      <c r="D895" s="109" t="s">
        <v>47</v>
      </c>
      <c r="E895" s="112" t="s">
        <v>16</v>
      </c>
      <c r="F895" s="109" t="s">
        <v>2171</v>
      </c>
      <c r="G895" s="111" t="s">
        <v>1979</v>
      </c>
    </row>
    <row r="896" customFormat="false" ht="23.85" hidden="false" customHeight="false" outlineLevel="0" collapsed="false">
      <c r="A896" s="109" t="s">
        <v>96</v>
      </c>
      <c r="B896" s="109" t="s">
        <v>98</v>
      </c>
      <c r="C896" s="109" t="s">
        <v>468</v>
      </c>
      <c r="D896" s="109" t="s">
        <v>51</v>
      </c>
      <c r="E896" s="110" t="s">
        <v>18</v>
      </c>
      <c r="F896" s="109" t="s">
        <v>2172</v>
      </c>
      <c r="G896" s="111" t="s">
        <v>1981</v>
      </c>
    </row>
    <row r="897" customFormat="false" ht="23.85" hidden="false" customHeight="false" outlineLevel="0" collapsed="false">
      <c r="A897" s="109" t="s">
        <v>96</v>
      </c>
      <c r="B897" s="109" t="s">
        <v>98</v>
      </c>
      <c r="C897" s="109" t="s">
        <v>468</v>
      </c>
      <c r="D897" s="109" t="s">
        <v>55</v>
      </c>
      <c r="E897" s="112" t="s">
        <v>16</v>
      </c>
      <c r="F897" s="109" t="s">
        <v>2173</v>
      </c>
      <c r="G897" s="111" t="s">
        <v>1983</v>
      </c>
    </row>
    <row r="898" customFormat="false" ht="23.85" hidden="false" customHeight="false" outlineLevel="0" collapsed="false">
      <c r="A898" s="109" t="s">
        <v>96</v>
      </c>
      <c r="B898" s="109" t="s">
        <v>98</v>
      </c>
      <c r="C898" s="109" t="s">
        <v>468</v>
      </c>
      <c r="D898" s="109" t="s">
        <v>59</v>
      </c>
      <c r="E898" s="114" t="s">
        <v>22</v>
      </c>
      <c r="F898" s="109" t="s">
        <v>2174</v>
      </c>
      <c r="G898" s="111" t="s">
        <v>992</v>
      </c>
    </row>
    <row r="899" customFormat="false" ht="23.85" hidden="false" customHeight="false" outlineLevel="0" collapsed="false">
      <c r="A899" s="109" t="s">
        <v>96</v>
      </c>
      <c r="B899" s="109" t="s">
        <v>98</v>
      </c>
      <c r="C899" s="109" t="s">
        <v>468</v>
      </c>
      <c r="D899" s="109" t="s">
        <v>63</v>
      </c>
      <c r="E899" s="113" t="s">
        <v>24</v>
      </c>
      <c r="F899" s="109" t="s">
        <v>2175</v>
      </c>
      <c r="G899" s="109"/>
    </row>
    <row r="900" customFormat="false" ht="23.85" hidden="false" customHeight="false" outlineLevel="0" collapsed="false">
      <c r="A900" s="109" t="s">
        <v>96</v>
      </c>
      <c r="B900" s="109" t="s">
        <v>98</v>
      </c>
      <c r="C900" s="109" t="s">
        <v>468</v>
      </c>
      <c r="D900" s="109" t="s">
        <v>67</v>
      </c>
      <c r="E900" s="114" t="s">
        <v>22</v>
      </c>
      <c r="F900" s="109" t="s">
        <v>2176</v>
      </c>
      <c r="G900" s="111" t="s">
        <v>1988</v>
      </c>
    </row>
    <row r="901" customFormat="false" ht="23.85" hidden="false" customHeight="false" outlineLevel="0" collapsed="false">
      <c r="A901" s="109" t="s">
        <v>96</v>
      </c>
      <c r="B901" s="109" t="s">
        <v>98</v>
      </c>
      <c r="C901" s="109" t="s">
        <v>468</v>
      </c>
      <c r="D901" s="109" t="s">
        <v>71</v>
      </c>
      <c r="E901" s="113" t="s">
        <v>24</v>
      </c>
      <c r="F901" s="109" t="s">
        <v>2177</v>
      </c>
      <c r="G901" s="111" t="s">
        <v>2107</v>
      </c>
    </row>
    <row r="902" customFormat="false" ht="15" hidden="false" customHeight="false" outlineLevel="0" collapsed="false">
      <c r="A902" s="109" t="s">
        <v>96</v>
      </c>
      <c r="B902" s="109" t="s">
        <v>98</v>
      </c>
      <c r="C902" s="109" t="s">
        <v>470</v>
      </c>
      <c r="D902" s="109" t="s">
        <v>35</v>
      </c>
      <c r="E902" s="112" t="s">
        <v>16</v>
      </c>
      <c r="F902" s="109" t="s">
        <v>2178</v>
      </c>
      <c r="G902" s="111" t="s">
        <v>2179</v>
      </c>
    </row>
    <row r="903" customFormat="false" ht="15" hidden="false" customHeight="false" outlineLevel="0" collapsed="false">
      <c r="A903" s="109" t="s">
        <v>96</v>
      </c>
      <c r="B903" s="109" t="s">
        <v>98</v>
      </c>
      <c r="C903" s="109" t="s">
        <v>470</v>
      </c>
      <c r="D903" s="109" t="s">
        <v>39</v>
      </c>
      <c r="E903" s="112" t="s">
        <v>16</v>
      </c>
      <c r="F903" s="109" t="s">
        <v>2180</v>
      </c>
      <c r="G903" s="111" t="s">
        <v>2181</v>
      </c>
    </row>
    <row r="904" customFormat="false" ht="15" hidden="false" customHeight="false" outlineLevel="0" collapsed="false">
      <c r="A904" s="109" t="s">
        <v>96</v>
      </c>
      <c r="B904" s="109" t="s">
        <v>98</v>
      </c>
      <c r="C904" s="109" t="s">
        <v>470</v>
      </c>
      <c r="D904" s="109" t="s">
        <v>43</v>
      </c>
      <c r="E904" s="115" t="s">
        <v>20</v>
      </c>
      <c r="F904" s="109" t="s">
        <v>2182</v>
      </c>
      <c r="G904" s="111" t="s">
        <v>2183</v>
      </c>
    </row>
    <row r="905" customFormat="false" ht="15" hidden="false" customHeight="false" outlineLevel="0" collapsed="false">
      <c r="A905" s="109" t="s">
        <v>96</v>
      </c>
      <c r="B905" s="109" t="s">
        <v>98</v>
      </c>
      <c r="C905" s="109" t="s">
        <v>470</v>
      </c>
      <c r="D905" s="109" t="s">
        <v>47</v>
      </c>
      <c r="E905" s="115" t="s">
        <v>20</v>
      </c>
      <c r="F905" s="109" t="s">
        <v>2184</v>
      </c>
      <c r="G905" s="111" t="s">
        <v>2185</v>
      </c>
    </row>
    <row r="906" customFormat="false" ht="15" hidden="false" customHeight="false" outlineLevel="0" collapsed="false">
      <c r="A906" s="109" t="s">
        <v>96</v>
      </c>
      <c r="B906" s="109" t="s">
        <v>98</v>
      </c>
      <c r="C906" s="109" t="s">
        <v>470</v>
      </c>
      <c r="D906" s="109" t="s">
        <v>51</v>
      </c>
      <c r="E906" s="110" t="s">
        <v>18</v>
      </c>
      <c r="F906" s="109" t="s">
        <v>2186</v>
      </c>
      <c r="G906" s="111" t="s">
        <v>2132</v>
      </c>
    </row>
    <row r="907" customFormat="false" ht="15" hidden="false" customHeight="false" outlineLevel="0" collapsed="false">
      <c r="A907" s="109" t="s">
        <v>96</v>
      </c>
      <c r="B907" s="109" t="s">
        <v>98</v>
      </c>
      <c r="C907" s="109" t="s">
        <v>470</v>
      </c>
      <c r="D907" s="109" t="s">
        <v>55</v>
      </c>
      <c r="E907" s="114" t="s">
        <v>22</v>
      </c>
      <c r="F907" s="109" t="s">
        <v>2187</v>
      </c>
      <c r="G907" s="109"/>
    </row>
    <row r="908" customFormat="false" ht="15" hidden="false" customHeight="false" outlineLevel="0" collapsed="false">
      <c r="A908" s="109" t="s">
        <v>96</v>
      </c>
      <c r="B908" s="109" t="s">
        <v>98</v>
      </c>
      <c r="C908" s="109" t="s">
        <v>470</v>
      </c>
      <c r="D908" s="109" t="s">
        <v>59</v>
      </c>
      <c r="E908" s="112" t="s">
        <v>16</v>
      </c>
      <c r="F908" s="109" t="s">
        <v>2188</v>
      </c>
      <c r="G908" s="111" t="s">
        <v>945</v>
      </c>
    </row>
    <row r="909" customFormat="false" ht="15" hidden="false" customHeight="false" outlineLevel="0" collapsed="false">
      <c r="A909" s="109" t="s">
        <v>96</v>
      </c>
      <c r="B909" s="109" t="s">
        <v>98</v>
      </c>
      <c r="C909" s="109" t="s">
        <v>470</v>
      </c>
      <c r="D909" s="109" t="s">
        <v>63</v>
      </c>
      <c r="E909" s="114" t="s">
        <v>22</v>
      </c>
      <c r="F909" s="109" t="s">
        <v>2189</v>
      </c>
      <c r="G909" s="111" t="s">
        <v>2190</v>
      </c>
    </row>
    <row r="910" customFormat="false" ht="15" hidden="false" customHeight="false" outlineLevel="0" collapsed="false">
      <c r="A910" s="109" t="s">
        <v>96</v>
      </c>
      <c r="B910" s="109" t="s">
        <v>98</v>
      </c>
      <c r="C910" s="109" t="s">
        <v>470</v>
      </c>
      <c r="D910" s="109" t="s">
        <v>67</v>
      </c>
      <c r="E910" s="112" t="s">
        <v>16</v>
      </c>
      <c r="F910" s="109" t="s">
        <v>2191</v>
      </c>
      <c r="G910" s="111" t="s">
        <v>2192</v>
      </c>
    </row>
    <row r="911" customFormat="false" ht="15" hidden="false" customHeight="false" outlineLevel="0" collapsed="false">
      <c r="A911" s="109" t="s">
        <v>96</v>
      </c>
      <c r="B911" s="109" t="s">
        <v>98</v>
      </c>
      <c r="C911" s="109" t="s">
        <v>470</v>
      </c>
      <c r="D911" s="109" t="s">
        <v>71</v>
      </c>
      <c r="E911" s="114" t="s">
        <v>22</v>
      </c>
      <c r="F911" s="109" t="s">
        <v>2193</v>
      </c>
      <c r="G911" s="111" t="s">
        <v>1727</v>
      </c>
    </row>
    <row r="912" customFormat="false" ht="23.85" hidden="false" customHeight="false" outlineLevel="0" collapsed="false">
      <c r="A912" s="109" t="s">
        <v>96</v>
      </c>
      <c r="B912" s="109" t="s">
        <v>99</v>
      </c>
      <c r="C912" s="109" t="s">
        <v>818</v>
      </c>
      <c r="D912" s="109" t="s">
        <v>35</v>
      </c>
      <c r="E912" s="109" t="s">
        <v>28</v>
      </c>
      <c r="F912" s="109" t="s">
        <v>2194</v>
      </c>
      <c r="G912" s="111" t="s">
        <v>2195</v>
      </c>
    </row>
    <row r="913" customFormat="false" ht="15" hidden="false" customHeight="false" outlineLevel="0" collapsed="false">
      <c r="A913" s="109" t="s">
        <v>96</v>
      </c>
      <c r="B913" s="109" t="s">
        <v>99</v>
      </c>
      <c r="C913" s="109" t="s">
        <v>818</v>
      </c>
      <c r="D913" s="109" t="s">
        <v>39</v>
      </c>
      <c r="E913" s="109" t="s">
        <v>28</v>
      </c>
      <c r="F913" s="109" t="s">
        <v>2196</v>
      </c>
      <c r="G913" s="111" t="s">
        <v>2197</v>
      </c>
    </row>
    <row r="914" customFormat="false" ht="15" hidden="false" customHeight="false" outlineLevel="0" collapsed="false">
      <c r="A914" s="109" t="s">
        <v>96</v>
      </c>
      <c r="B914" s="109" t="s">
        <v>99</v>
      </c>
      <c r="C914" s="109" t="s">
        <v>818</v>
      </c>
      <c r="D914" s="109" t="s">
        <v>43</v>
      </c>
      <c r="E914" s="109" t="s">
        <v>28</v>
      </c>
      <c r="F914" s="109" t="s">
        <v>2198</v>
      </c>
      <c r="G914" s="111" t="s">
        <v>1035</v>
      </c>
    </row>
    <row r="915" customFormat="false" ht="23.85" hidden="false" customHeight="false" outlineLevel="0" collapsed="false">
      <c r="A915" s="109" t="s">
        <v>96</v>
      </c>
      <c r="B915" s="109" t="s">
        <v>99</v>
      </c>
      <c r="C915" s="109" t="s">
        <v>818</v>
      </c>
      <c r="D915" s="109" t="s">
        <v>47</v>
      </c>
      <c r="E915" s="109" t="s">
        <v>28</v>
      </c>
      <c r="F915" s="109" t="s">
        <v>2199</v>
      </c>
      <c r="G915" s="111" t="s">
        <v>2200</v>
      </c>
    </row>
    <row r="916" customFormat="false" ht="23.85" hidden="false" customHeight="false" outlineLevel="0" collapsed="false">
      <c r="A916" s="109" t="s">
        <v>96</v>
      </c>
      <c r="B916" s="109" t="s">
        <v>99</v>
      </c>
      <c r="C916" s="109" t="s">
        <v>818</v>
      </c>
      <c r="D916" s="109" t="s">
        <v>51</v>
      </c>
      <c r="E916" s="109" t="s">
        <v>28</v>
      </c>
      <c r="F916" s="109" t="s">
        <v>2201</v>
      </c>
      <c r="G916" s="111" t="s">
        <v>2202</v>
      </c>
    </row>
    <row r="917" customFormat="false" ht="15" hidden="false" customHeight="false" outlineLevel="0" collapsed="false">
      <c r="A917" s="109" t="s">
        <v>96</v>
      </c>
      <c r="B917" s="109" t="s">
        <v>99</v>
      </c>
      <c r="C917" s="109" t="s">
        <v>818</v>
      </c>
      <c r="D917" s="109" t="s">
        <v>55</v>
      </c>
      <c r="E917" s="109" t="s">
        <v>28</v>
      </c>
      <c r="F917" s="109" t="s">
        <v>2203</v>
      </c>
      <c r="G917" s="111" t="s">
        <v>2204</v>
      </c>
    </row>
    <row r="918" customFormat="false" ht="15" hidden="false" customHeight="false" outlineLevel="0" collapsed="false">
      <c r="A918" s="109" t="s">
        <v>96</v>
      </c>
      <c r="B918" s="109" t="s">
        <v>99</v>
      </c>
      <c r="C918" s="109" t="s">
        <v>818</v>
      </c>
      <c r="D918" s="109" t="s">
        <v>59</v>
      </c>
      <c r="E918" s="109" t="s">
        <v>28</v>
      </c>
      <c r="F918" s="109" t="s">
        <v>2205</v>
      </c>
      <c r="G918" s="111" t="s">
        <v>2206</v>
      </c>
    </row>
    <row r="919" customFormat="false" ht="23.85" hidden="false" customHeight="false" outlineLevel="0" collapsed="false">
      <c r="A919" s="109" t="s">
        <v>96</v>
      </c>
      <c r="B919" s="109" t="s">
        <v>99</v>
      </c>
      <c r="C919" s="109" t="s">
        <v>818</v>
      </c>
      <c r="D919" s="109" t="s">
        <v>63</v>
      </c>
      <c r="E919" s="109" t="s">
        <v>28</v>
      </c>
      <c r="F919" s="109" t="s">
        <v>2207</v>
      </c>
      <c r="G919" s="111" t="s">
        <v>2208</v>
      </c>
    </row>
    <row r="920" customFormat="false" ht="15" hidden="false" customHeight="false" outlineLevel="0" collapsed="false">
      <c r="A920" s="109" t="s">
        <v>96</v>
      </c>
      <c r="B920" s="109" t="s">
        <v>99</v>
      </c>
      <c r="C920" s="109" t="s">
        <v>818</v>
      </c>
      <c r="D920" s="109" t="s">
        <v>67</v>
      </c>
      <c r="E920" s="109" t="s">
        <v>28</v>
      </c>
      <c r="F920" s="109" t="s">
        <v>2209</v>
      </c>
      <c r="G920" s="111" t="s">
        <v>2210</v>
      </c>
    </row>
    <row r="921" customFormat="false" ht="15" hidden="false" customHeight="false" outlineLevel="0" collapsed="false">
      <c r="A921" s="109" t="s">
        <v>96</v>
      </c>
      <c r="B921" s="109" t="s">
        <v>99</v>
      </c>
      <c r="C921" s="109" t="s">
        <v>818</v>
      </c>
      <c r="D921" s="109" t="s">
        <v>71</v>
      </c>
      <c r="E921" s="109" t="s">
        <v>28</v>
      </c>
      <c r="F921" s="109" t="s">
        <v>2211</v>
      </c>
      <c r="G921" s="111" t="s">
        <v>848</v>
      </c>
    </row>
    <row r="922" customFormat="false" ht="23.85" hidden="false" customHeight="false" outlineLevel="0" collapsed="false">
      <c r="A922" s="109" t="s">
        <v>96</v>
      </c>
      <c r="B922" s="109" t="s">
        <v>99</v>
      </c>
      <c r="C922" s="109" t="s">
        <v>472</v>
      </c>
      <c r="D922" s="109" t="s">
        <v>35</v>
      </c>
      <c r="E922" s="112" t="s">
        <v>16</v>
      </c>
      <c r="F922" s="109" t="s">
        <v>2212</v>
      </c>
      <c r="G922" s="111" t="s">
        <v>2154</v>
      </c>
    </row>
    <row r="923" customFormat="false" ht="23.85" hidden="false" customHeight="false" outlineLevel="0" collapsed="false">
      <c r="A923" s="109" t="s">
        <v>96</v>
      </c>
      <c r="B923" s="109" t="s">
        <v>99</v>
      </c>
      <c r="C923" s="109" t="s">
        <v>472</v>
      </c>
      <c r="D923" s="109" t="s">
        <v>39</v>
      </c>
      <c r="E923" s="112" t="s">
        <v>16</v>
      </c>
      <c r="F923" s="109" t="s">
        <v>2213</v>
      </c>
      <c r="G923" s="111" t="s">
        <v>2214</v>
      </c>
    </row>
    <row r="924" customFormat="false" ht="23.85" hidden="false" customHeight="false" outlineLevel="0" collapsed="false">
      <c r="A924" s="109" t="s">
        <v>96</v>
      </c>
      <c r="B924" s="109" t="s">
        <v>99</v>
      </c>
      <c r="C924" s="109" t="s">
        <v>472</v>
      </c>
      <c r="D924" s="109" t="s">
        <v>43</v>
      </c>
      <c r="E924" s="114" t="s">
        <v>22</v>
      </c>
      <c r="F924" s="109" t="s">
        <v>2215</v>
      </c>
      <c r="G924" s="111" t="s">
        <v>1977</v>
      </c>
    </row>
    <row r="925" customFormat="false" ht="23.85" hidden="false" customHeight="false" outlineLevel="0" collapsed="false">
      <c r="A925" s="109" t="s">
        <v>96</v>
      </c>
      <c r="B925" s="109" t="s">
        <v>99</v>
      </c>
      <c r="C925" s="109" t="s">
        <v>472</v>
      </c>
      <c r="D925" s="109" t="s">
        <v>47</v>
      </c>
      <c r="E925" s="112" t="s">
        <v>16</v>
      </c>
      <c r="F925" s="109" t="s">
        <v>2216</v>
      </c>
      <c r="G925" s="111" t="s">
        <v>2217</v>
      </c>
    </row>
    <row r="926" customFormat="false" ht="23.85" hidden="false" customHeight="false" outlineLevel="0" collapsed="false">
      <c r="A926" s="109" t="s">
        <v>96</v>
      </c>
      <c r="B926" s="109" t="s">
        <v>99</v>
      </c>
      <c r="C926" s="109" t="s">
        <v>472</v>
      </c>
      <c r="D926" s="109" t="s">
        <v>51</v>
      </c>
      <c r="E926" s="114" t="s">
        <v>22</v>
      </c>
      <c r="F926" s="109" t="s">
        <v>2218</v>
      </c>
      <c r="G926" s="111" t="s">
        <v>2219</v>
      </c>
    </row>
    <row r="927" customFormat="false" ht="15" hidden="false" customHeight="false" outlineLevel="0" collapsed="false">
      <c r="A927" s="109" t="s">
        <v>96</v>
      </c>
      <c r="B927" s="109" t="s">
        <v>99</v>
      </c>
      <c r="C927" s="109" t="s">
        <v>472</v>
      </c>
      <c r="D927" s="109" t="s">
        <v>55</v>
      </c>
      <c r="E927" s="114" t="s">
        <v>22</v>
      </c>
      <c r="F927" s="109" t="s">
        <v>2220</v>
      </c>
      <c r="G927" s="111" t="s">
        <v>2221</v>
      </c>
    </row>
    <row r="928" customFormat="false" ht="23.85" hidden="false" customHeight="false" outlineLevel="0" collapsed="false">
      <c r="A928" s="109" t="s">
        <v>96</v>
      </c>
      <c r="B928" s="109" t="s">
        <v>99</v>
      </c>
      <c r="C928" s="109" t="s">
        <v>472</v>
      </c>
      <c r="D928" s="109" t="s">
        <v>59</v>
      </c>
      <c r="E928" s="112" t="s">
        <v>16</v>
      </c>
      <c r="F928" s="109" t="s">
        <v>2222</v>
      </c>
      <c r="G928" s="111" t="s">
        <v>945</v>
      </c>
    </row>
    <row r="929" customFormat="false" ht="15" hidden="false" customHeight="false" outlineLevel="0" collapsed="false">
      <c r="A929" s="109" t="s">
        <v>96</v>
      </c>
      <c r="B929" s="109" t="s">
        <v>99</v>
      </c>
      <c r="C929" s="109" t="s">
        <v>472</v>
      </c>
      <c r="D929" s="109" t="s">
        <v>63</v>
      </c>
      <c r="E929" s="113" t="s">
        <v>24</v>
      </c>
      <c r="F929" s="109" t="s">
        <v>2223</v>
      </c>
      <c r="G929" s="109"/>
    </row>
    <row r="930" customFormat="false" ht="15" hidden="false" customHeight="false" outlineLevel="0" collapsed="false">
      <c r="A930" s="109" t="s">
        <v>96</v>
      </c>
      <c r="B930" s="109" t="s">
        <v>99</v>
      </c>
      <c r="C930" s="109" t="s">
        <v>472</v>
      </c>
      <c r="D930" s="109" t="s">
        <v>67</v>
      </c>
      <c r="E930" s="112" t="s">
        <v>16</v>
      </c>
      <c r="F930" s="109" t="s">
        <v>2224</v>
      </c>
      <c r="G930" s="111" t="s">
        <v>2210</v>
      </c>
    </row>
    <row r="931" customFormat="false" ht="23.85" hidden="false" customHeight="false" outlineLevel="0" collapsed="false">
      <c r="A931" s="109" t="s">
        <v>96</v>
      </c>
      <c r="B931" s="109" t="s">
        <v>99</v>
      </c>
      <c r="C931" s="109" t="s">
        <v>472</v>
      </c>
      <c r="D931" s="109" t="s">
        <v>71</v>
      </c>
      <c r="E931" s="114" t="s">
        <v>22</v>
      </c>
      <c r="F931" s="109" t="s">
        <v>2225</v>
      </c>
      <c r="G931" s="111" t="s">
        <v>2226</v>
      </c>
    </row>
    <row r="932" customFormat="false" ht="15" hidden="false" customHeight="false" outlineLevel="0" collapsed="false">
      <c r="A932" s="109" t="s">
        <v>96</v>
      </c>
      <c r="B932" s="109" t="s">
        <v>99</v>
      </c>
      <c r="C932" s="109" t="s">
        <v>474</v>
      </c>
      <c r="D932" s="109" t="s">
        <v>35</v>
      </c>
      <c r="E932" s="112" t="s">
        <v>16</v>
      </c>
      <c r="F932" s="109" t="s">
        <v>2227</v>
      </c>
      <c r="G932" s="111" t="s">
        <v>2228</v>
      </c>
    </row>
    <row r="933" customFormat="false" ht="15" hidden="false" customHeight="false" outlineLevel="0" collapsed="false">
      <c r="A933" s="109" t="s">
        <v>96</v>
      </c>
      <c r="B933" s="109" t="s">
        <v>99</v>
      </c>
      <c r="C933" s="109" t="s">
        <v>474</v>
      </c>
      <c r="D933" s="109" t="s">
        <v>39</v>
      </c>
      <c r="E933" s="112" t="s">
        <v>16</v>
      </c>
      <c r="F933" s="109" t="s">
        <v>2229</v>
      </c>
      <c r="G933" s="111" t="s">
        <v>2197</v>
      </c>
    </row>
    <row r="934" customFormat="false" ht="15" hidden="false" customHeight="false" outlineLevel="0" collapsed="false">
      <c r="A934" s="109" t="s">
        <v>96</v>
      </c>
      <c r="B934" s="109" t="s">
        <v>99</v>
      </c>
      <c r="C934" s="109" t="s">
        <v>474</v>
      </c>
      <c r="D934" s="109" t="s">
        <v>43</v>
      </c>
      <c r="E934" s="112" t="s">
        <v>16</v>
      </c>
      <c r="F934" s="109" t="s">
        <v>2230</v>
      </c>
      <c r="G934" s="111" t="s">
        <v>2231</v>
      </c>
    </row>
    <row r="935" customFormat="false" ht="15" hidden="false" customHeight="false" outlineLevel="0" collapsed="false">
      <c r="A935" s="109" t="s">
        <v>96</v>
      </c>
      <c r="B935" s="109" t="s">
        <v>99</v>
      </c>
      <c r="C935" s="109" t="s">
        <v>474</v>
      </c>
      <c r="D935" s="109" t="s">
        <v>47</v>
      </c>
      <c r="E935" s="112" t="s">
        <v>16</v>
      </c>
      <c r="F935" s="109" t="s">
        <v>2232</v>
      </c>
      <c r="G935" s="111" t="s">
        <v>2233</v>
      </c>
    </row>
    <row r="936" customFormat="false" ht="15" hidden="false" customHeight="false" outlineLevel="0" collapsed="false">
      <c r="A936" s="109" t="s">
        <v>96</v>
      </c>
      <c r="B936" s="109" t="s">
        <v>99</v>
      </c>
      <c r="C936" s="109" t="s">
        <v>474</v>
      </c>
      <c r="D936" s="109" t="s">
        <v>51</v>
      </c>
      <c r="E936" s="112" t="s">
        <v>16</v>
      </c>
      <c r="F936" s="109" t="s">
        <v>2234</v>
      </c>
      <c r="G936" s="111" t="s">
        <v>2219</v>
      </c>
    </row>
    <row r="937" customFormat="false" ht="15" hidden="false" customHeight="false" outlineLevel="0" collapsed="false">
      <c r="A937" s="109" t="s">
        <v>96</v>
      </c>
      <c r="B937" s="109" t="s">
        <v>99</v>
      </c>
      <c r="C937" s="109" t="s">
        <v>474</v>
      </c>
      <c r="D937" s="109" t="s">
        <v>55</v>
      </c>
      <c r="E937" s="112" t="s">
        <v>16</v>
      </c>
      <c r="F937" s="109" t="s">
        <v>2235</v>
      </c>
      <c r="G937" s="111" t="s">
        <v>2236</v>
      </c>
    </row>
    <row r="938" customFormat="false" ht="23.85" hidden="false" customHeight="false" outlineLevel="0" collapsed="false">
      <c r="A938" s="109" t="s">
        <v>96</v>
      </c>
      <c r="B938" s="109" t="s">
        <v>99</v>
      </c>
      <c r="C938" s="109" t="s">
        <v>474</v>
      </c>
      <c r="D938" s="109" t="s">
        <v>59</v>
      </c>
      <c r="E938" s="112" t="s">
        <v>16</v>
      </c>
      <c r="F938" s="109" t="s">
        <v>2237</v>
      </c>
      <c r="G938" s="111" t="s">
        <v>1138</v>
      </c>
    </row>
    <row r="939" customFormat="false" ht="15" hidden="false" customHeight="false" outlineLevel="0" collapsed="false">
      <c r="A939" s="109" t="s">
        <v>96</v>
      </c>
      <c r="B939" s="109" t="s">
        <v>99</v>
      </c>
      <c r="C939" s="109" t="s">
        <v>474</v>
      </c>
      <c r="D939" s="109" t="s">
        <v>63</v>
      </c>
      <c r="E939" s="114" t="s">
        <v>22</v>
      </c>
      <c r="F939" s="109" t="s">
        <v>2238</v>
      </c>
      <c r="G939" s="109"/>
    </row>
    <row r="940" customFormat="false" ht="15" hidden="false" customHeight="false" outlineLevel="0" collapsed="false">
      <c r="A940" s="109" t="s">
        <v>96</v>
      </c>
      <c r="B940" s="109" t="s">
        <v>99</v>
      </c>
      <c r="C940" s="109" t="s">
        <v>474</v>
      </c>
      <c r="D940" s="109" t="s">
        <v>67</v>
      </c>
      <c r="E940" s="112" t="s">
        <v>16</v>
      </c>
      <c r="F940" s="109" t="s">
        <v>2239</v>
      </c>
      <c r="G940" s="111" t="s">
        <v>2210</v>
      </c>
    </row>
    <row r="941" customFormat="false" ht="15" hidden="false" customHeight="false" outlineLevel="0" collapsed="false">
      <c r="A941" s="109" t="s">
        <v>96</v>
      </c>
      <c r="B941" s="109" t="s">
        <v>99</v>
      </c>
      <c r="C941" s="109" t="s">
        <v>474</v>
      </c>
      <c r="D941" s="109" t="s">
        <v>71</v>
      </c>
      <c r="E941" s="112" t="s">
        <v>16</v>
      </c>
      <c r="F941" s="109" t="s">
        <v>2240</v>
      </c>
      <c r="G941" s="111" t="s">
        <v>2226</v>
      </c>
    </row>
    <row r="942" customFormat="false" ht="15" hidden="false" customHeight="false" outlineLevel="0" collapsed="false">
      <c r="A942" s="109" t="s">
        <v>96</v>
      </c>
      <c r="B942" s="109" t="s">
        <v>99</v>
      </c>
      <c r="C942" s="109" t="s">
        <v>476</v>
      </c>
      <c r="D942" s="109" t="s">
        <v>35</v>
      </c>
      <c r="E942" s="112" t="s">
        <v>16</v>
      </c>
      <c r="F942" s="109" t="s">
        <v>2241</v>
      </c>
      <c r="G942" s="111" t="s">
        <v>2242</v>
      </c>
    </row>
    <row r="943" customFormat="false" ht="23.85" hidden="false" customHeight="false" outlineLevel="0" collapsed="false">
      <c r="A943" s="109" t="s">
        <v>96</v>
      </c>
      <c r="B943" s="109" t="s">
        <v>99</v>
      </c>
      <c r="C943" s="109" t="s">
        <v>476</v>
      </c>
      <c r="D943" s="109" t="s">
        <v>39</v>
      </c>
      <c r="E943" s="112" t="s">
        <v>16</v>
      </c>
      <c r="F943" s="109" t="s">
        <v>2243</v>
      </c>
      <c r="G943" s="111" t="s">
        <v>1084</v>
      </c>
    </row>
    <row r="944" customFormat="false" ht="15" hidden="false" customHeight="false" outlineLevel="0" collapsed="false">
      <c r="A944" s="109" t="s">
        <v>96</v>
      </c>
      <c r="B944" s="109" t="s">
        <v>99</v>
      </c>
      <c r="C944" s="109" t="s">
        <v>476</v>
      </c>
      <c r="D944" s="109" t="s">
        <v>43</v>
      </c>
      <c r="E944" s="112" t="s">
        <v>16</v>
      </c>
      <c r="F944" s="109" t="s">
        <v>2244</v>
      </c>
      <c r="G944" s="111" t="s">
        <v>2231</v>
      </c>
    </row>
    <row r="945" customFormat="false" ht="15" hidden="false" customHeight="false" outlineLevel="0" collapsed="false">
      <c r="A945" s="109" t="s">
        <v>96</v>
      </c>
      <c r="B945" s="109" t="s">
        <v>99</v>
      </c>
      <c r="C945" s="109" t="s">
        <v>476</v>
      </c>
      <c r="D945" s="109" t="s">
        <v>47</v>
      </c>
      <c r="E945" s="112" t="s">
        <v>16</v>
      </c>
      <c r="F945" s="109" t="s">
        <v>2245</v>
      </c>
      <c r="G945" s="111" t="s">
        <v>2233</v>
      </c>
    </row>
    <row r="946" customFormat="false" ht="15" hidden="false" customHeight="false" outlineLevel="0" collapsed="false">
      <c r="A946" s="109" t="s">
        <v>96</v>
      </c>
      <c r="B946" s="109" t="s">
        <v>99</v>
      </c>
      <c r="C946" s="109" t="s">
        <v>476</v>
      </c>
      <c r="D946" s="109" t="s">
        <v>51</v>
      </c>
      <c r="E946" s="112" t="s">
        <v>16</v>
      </c>
      <c r="F946" s="109" t="s">
        <v>2246</v>
      </c>
      <c r="G946" s="111" t="s">
        <v>2202</v>
      </c>
    </row>
    <row r="947" customFormat="false" ht="23.85" hidden="false" customHeight="false" outlineLevel="0" collapsed="false">
      <c r="A947" s="109" t="s">
        <v>96</v>
      </c>
      <c r="B947" s="109" t="s">
        <v>99</v>
      </c>
      <c r="C947" s="109" t="s">
        <v>476</v>
      </c>
      <c r="D947" s="109" t="s">
        <v>55</v>
      </c>
      <c r="E947" s="112" t="s">
        <v>16</v>
      </c>
      <c r="F947" s="109" t="s">
        <v>2247</v>
      </c>
      <c r="G947" s="111" t="s">
        <v>2248</v>
      </c>
    </row>
    <row r="948" customFormat="false" ht="15" hidden="false" customHeight="false" outlineLevel="0" collapsed="false">
      <c r="A948" s="109" t="s">
        <v>96</v>
      </c>
      <c r="B948" s="109" t="s">
        <v>99</v>
      </c>
      <c r="C948" s="109" t="s">
        <v>476</v>
      </c>
      <c r="D948" s="109" t="s">
        <v>59</v>
      </c>
      <c r="E948" s="112" t="s">
        <v>16</v>
      </c>
      <c r="F948" s="109" t="s">
        <v>2249</v>
      </c>
      <c r="G948" s="111" t="s">
        <v>1092</v>
      </c>
    </row>
    <row r="949" customFormat="false" ht="15" hidden="false" customHeight="false" outlineLevel="0" collapsed="false">
      <c r="A949" s="109" t="s">
        <v>96</v>
      </c>
      <c r="B949" s="109" t="s">
        <v>99</v>
      </c>
      <c r="C949" s="109" t="s">
        <v>476</v>
      </c>
      <c r="D949" s="109" t="s">
        <v>63</v>
      </c>
      <c r="E949" s="114" t="s">
        <v>22</v>
      </c>
      <c r="F949" s="109" t="s">
        <v>2250</v>
      </c>
      <c r="G949" s="111" t="s">
        <v>2251</v>
      </c>
    </row>
    <row r="950" customFormat="false" ht="23.85" hidden="false" customHeight="false" outlineLevel="0" collapsed="false">
      <c r="A950" s="109" t="s">
        <v>96</v>
      </c>
      <c r="B950" s="109" t="s">
        <v>99</v>
      </c>
      <c r="C950" s="109" t="s">
        <v>476</v>
      </c>
      <c r="D950" s="109" t="s">
        <v>67</v>
      </c>
      <c r="E950" s="112" t="s">
        <v>16</v>
      </c>
      <c r="F950" s="109" t="s">
        <v>2252</v>
      </c>
      <c r="G950" s="111" t="s">
        <v>1988</v>
      </c>
    </row>
    <row r="951" customFormat="false" ht="15" hidden="false" customHeight="false" outlineLevel="0" collapsed="false">
      <c r="A951" s="109" t="s">
        <v>96</v>
      </c>
      <c r="B951" s="109" t="s">
        <v>99</v>
      </c>
      <c r="C951" s="109" t="s">
        <v>476</v>
      </c>
      <c r="D951" s="109" t="s">
        <v>71</v>
      </c>
      <c r="E951" s="112" t="s">
        <v>16</v>
      </c>
      <c r="F951" s="109" t="s">
        <v>2253</v>
      </c>
      <c r="G951" s="111" t="s">
        <v>2254</v>
      </c>
    </row>
    <row r="952" customFormat="false" ht="23.85" hidden="false" customHeight="false" outlineLevel="0" collapsed="false">
      <c r="A952" s="109" t="s">
        <v>96</v>
      </c>
      <c r="B952" s="109" t="s">
        <v>99</v>
      </c>
      <c r="C952" s="109" t="s">
        <v>478</v>
      </c>
      <c r="D952" s="109" t="s">
        <v>35</v>
      </c>
      <c r="E952" s="112" t="s">
        <v>16</v>
      </c>
      <c r="F952" s="109" t="s">
        <v>2255</v>
      </c>
      <c r="G952" s="111" t="s">
        <v>2256</v>
      </c>
    </row>
    <row r="953" customFormat="false" ht="23.85" hidden="false" customHeight="false" outlineLevel="0" collapsed="false">
      <c r="A953" s="109" t="s">
        <v>96</v>
      </c>
      <c r="B953" s="109" t="s">
        <v>99</v>
      </c>
      <c r="C953" s="109" t="s">
        <v>478</v>
      </c>
      <c r="D953" s="109" t="s">
        <v>39</v>
      </c>
      <c r="E953" s="114" t="s">
        <v>22</v>
      </c>
      <c r="F953" s="109" t="s">
        <v>2257</v>
      </c>
      <c r="G953" s="111" t="s">
        <v>1070</v>
      </c>
    </row>
    <row r="954" customFormat="false" ht="23.85" hidden="false" customHeight="false" outlineLevel="0" collapsed="false">
      <c r="A954" s="109" t="s">
        <v>96</v>
      </c>
      <c r="B954" s="109" t="s">
        <v>99</v>
      </c>
      <c r="C954" s="109" t="s">
        <v>478</v>
      </c>
      <c r="D954" s="109" t="s">
        <v>43</v>
      </c>
      <c r="E954" s="114" t="s">
        <v>22</v>
      </c>
      <c r="F954" s="109" t="s">
        <v>2258</v>
      </c>
      <c r="G954" s="111" t="s">
        <v>834</v>
      </c>
    </row>
    <row r="955" customFormat="false" ht="15" hidden="false" customHeight="false" outlineLevel="0" collapsed="false">
      <c r="A955" s="109" t="s">
        <v>96</v>
      </c>
      <c r="B955" s="109" t="s">
        <v>99</v>
      </c>
      <c r="C955" s="109" t="s">
        <v>478</v>
      </c>
      <c r="D955" s="109" t="s">
        <v>47</v>
      </c>
      <c r="E955" s="112" t="s">
        <v>16</v>
      </c>
      <c r="F955" s="109" t="s">
        <v>2259</v>
      </c>
      <c r="G955" s="111" t="s">
        <v>2260</v>
      </c>
    </row>
    <row r="956" customFormat="false" ht="15" hidden="false" customHeight="false" outlineLevel="0" collapsed="false">
      <c r="A956" s="109" t="s">
        <v>96</v>
      </c>
      <c r="B956" s="109" t="s">
        <v>99</v>
      </c>
      <c r="C956" s="109" t="s">
        <v>478</v>
      </c>
      <c r="D956" s="109" t="s">
        <v>51</v>
      </c>
      <c r="E956" s="112" t="s">
        <v>16</v>
      </c>
      <c r="F956" s="109" t="s">
        <v>2261</v>
      </c>
      <c r="G956" s="111" t="s">
        <v>2219</v>
      </c>
    </row>
    <row r="957" customFormat="false" ht="15" hidden="false" customHeight="false" outlineLevel="0" collapsed="false">
      <c r="A957" s="109" t="s">
        <v>96</v>
      </c>
      <c r="B957" s="109" t="s">
        <v>99</v>
      </c>
      <c r="C957" s="109" t="s">
        <v>478</v>
      </c>
      <c r="D957" s="109" t="s">
        <v>55</v>
      </c>
      <c r="E957" s="114" t="s">
        <v>22</v>
      </c>
      <c r="F957" s="109" t="s">
        <v>2262</v>
      </c>
      <c r="G957" s="111" t="s">
        <v>2078</v>
      </c>
    </row>
    <row r="958" customFormat="false" ht="15" hidden="false" customHeight="false" outlineLevel="0" collapsed="false">
      <c r="A958" s="109" t="s">
        <v>96</v>
      </c>
      <c r="B958" s="109" t="s">
        <v>99</v>
      </c>
      <c r="C958" s="109" t="s">
        <v>478</v>
      </c>
      <c r="D958" s="109" t="s">
        <v>59</v>
      </c>
      <c r="E958" s="112" t="s">
        <v>16</v>
      </c>
      <c r="F958" s="109" t="s">
        <v>2263</v>
      </c>
      <c r="G958" s="111" t="s">
        <v>945</v>
      </c>
    </row>
    <row r="959" customFormat="false" ht="15" hidden="false" customHeight="false" outlineLevel="0" collapsed="false">
      <c r="A959" s="109" t="s">
        <v>96</v>
      </c>
      <c r="B959" s="109" t="s">
        <v>99</v>
      </c>
      <c r="C959" s="109" t="s">
        <v>478</v>
      </c>
      <c r="D959" s="109" t="s">
        <v>63</v>
      </c>
      <c r="E959" s="114" t="s">
        <v>22</v>
      </c>
      <c r="F959" s="109" t="s">
        <v>2264</v>
      </c>
      <c r="G959" s="109"/>
    </row>
    <row r="960" customFormat="false" ht="23.85" hidden="false" customHeight="false" outlineLevel="0" collapsed="false">
      <c r="A960" s="109" t="s">
        <v>96</v>
      </c>
      <c r="B960" s="109" t="s">
        <v>99</v>
      </c>
      <c r="C960" s="109" t="s">
        <v>478</v>
      </c>
      <c r="D960" s="109" t="s">
        <v>67</v>
      </c>
      <c r="E960" s="112" t="s">
        <v>16</v>
      </c>
      <c r="F960" s="109" t="s">
        <v>2265</v>
      </c>
      <c r="G960" s="111" t="s">
        <v>2266</v>
      </c>
    </row>
    <row r="961" customFormat="false" ht="15" hidden="false" customHeight="false" outlineLevel="0" collapsed="false">
      <c r="A961" s="109" t="s">
        <v>96</v>
      </c>
      <c r="B961" s="109" t="s">
        <v>99</v>
      </c>
      <c r="C961" s="109" t="s">
        <v>478</v>
      </c>
      <c r="D961" s="109" t="s">
        <v>71</v>
      </c>
      <c r="E961" s="113" t="s">
        <v>24</v>
      </c>
      <c r="F961" s="109" t="s">
        <v>2267</v>
      </c>
      <c r="G961" s="111" t="s">
        <v>965</v>
      </c>
    </row>
    <row r="962" customFormat="false" ht="15" hidden="false" customHeight="false" outlineLevel="0" collapsed="false">
      <c r="A962" s="109" t="s">
        <v>96</v>
      </c>
      <c r="B962" s="109" t="s">
        <v>99</v>
      </c>
      <c r="C962" s="109" t="s">
        <v>480</v>
      </c>
      <c r="D962" s="109" t="s">
        <v>35</v>
      </c>
      <c r="E962" s="112" t="s">
        <v>16</v>
      </c>
      <c r="F962" s="109" t="s">
        <v>2268</v>
      </c>
      <c r="G962" s="111" t="s">
        <v>2269</v>
      </c>
    </row>
    <row r="963" customFormat="false" ht="15" hidden="false" customHeight="false" outlineLevel="0" collapsed="false">
      <c r="A963" s="109" t="s">
        <v>96</v>
      </c>
      <c r="B963" s="109" t="s">
        <v>99</v>
      </c>
      <c r="C963" s="109" t="s">
        <v>480</v>
      </c>
      <c r="D963" s="109" t="s">
        <v>39</v>
      </c>
      <c r="E963" s="112" t="s">
        <v>16</v>
      </c>
      <c r="F963" s="109" t="s">
        <v>2270</v>
      </c>
      <c r="G963" s="111" t="s">
        <v>2271</v>
      </c>
    </row>
    <row r="964" customFormat="false" ht="23.85" hidden="false" customHeight="false" outlineLevel="0" collapsed="false">
      <c r="A964" s="109" t="s">
        <v>96</v>
      </c>
      <c r="B964" s="109" t="s">
        <v>99</v>
      </c>
      <c r="C964" s="109" t="s">
        <v>480</v>
      </c>
      <c r="D964" s="109" t="s">
        <v>43</v>
      </c>
      <c r="E964" s="112" t="s">
        <v>16</v>
      </c>
      <c r="F964" s="109" t="s">
        <v>2272</v>
      </c>
      <c r="G964" s="111" t="s">
        <v>2273</v>
      </c>
    </row>
    <row r="965" customFormat="false" ht="15" hidden="false" customHeight="false" outlineLevel="0" collapsed="false">
      <c r="A965" s="109" t="s">
        <v>96</v>
      </c>
      <c r="B965" s="109" t="s">
        <v>99</v>
      </c>
      <c r="C965" s="109" t="s">
        <v>480</v>
      </c>
      <c r="D965" s="109" t="s">
        <v>47</v>
      </c>
      <c r="E965" s="112" t="s">
        <v>16</v>
      </c>
      <c r="F965" s="109" t="s">
        <v>2274</v>
      </c>
      <c r="G965" s="111" t="s">
        <v>2275</v>
      </c>
    </row>
    <row r="966" customFormat="false" ht="15" hidden="false" customHeight="false" outlineLevel="0" collapsed="false">
      <c r="A966" s="109" t="s">
        <v>96</v>
      </c>
      <c r="B966" s="109" t="s">
        <v>99</v>
      </c>
      <c r="C966" s="109" t="s">
        <v>480</v>
      </c>
      <c r="D966" s="109" t="s">
        <v>51</v>
      </c>
      <c r="E966" s="112" t="s">
        <v>16</v>
      </c>
      <c r="F966" s="109" t="s">
        <v>2276</v>
      </c>
      <c r="G966" s="111" t="s">
        <v>2277</v>
      </c>
    </row>
    <row r="967" customFormat="false" ht="15" hidden="false" customHeight="false" outlineLevel="0" collapsed="false">
      <c r="A967" s="109" t="s">
        <v>96</v>
      </c>
      <c r="B967" s="109" t="s">
        <v>99</v>
      </c>
      <c r="C967" s="109" t="s">
        <v>480</v>
      </c>
      <c r="D967" s="109" t="s">
        <v>55</v>
      </c>
      <c r="E967" s="112" t="s">
        <v>16</v>
      </c>
      <c r="F967" s="109" t="s">
        <v>2278</v>
      </c>
      <c r="G967" s="111" t="s">
        <v>2279</v>
      </c>
    </row>
    <row r="968" customFormat="false" ht="23.85" hidden="false" customHeight="false" outlineLevel="0" collapsed="false">
      <c r="A968" s="109" t="s">
        <v>96</v>
      </c>
      <c r="B968" s="109" t="s">
        <v>99</v>
      </c>
      <c r="C968" s="109" t="s">
        <v>480</v>
      </c>
      <c r="D968" s="109" t="s">
        <v>59</v>
      </c>
      <c r="E968" s="112" t="s">
        <v>16</v>
      </c>
      <c r="F968" s="109" t="s">
        <v>2280</v>
      </c>
      <c r="G968" s="111" t="s">
        <v>1138</v>
      </c>
    </row>
    <row r="969" customFormat="false" ht="15" hidden="false" customHeight="false" outlineLevel="0" collapsed="false">
      <c r="A969" s="109" t="s">
        <v>96</v>
      </c>
      <c r="B969" s="109" t="s">
        <v>99</v>
      </c>
      <c r="C969" s="109" t="s">
        <v>480</v>
      </c>
      <c r="D969" s="109" t="s">
        <v>63</v>
      </c>
      <c r="E969" s="114" t="s">
        <v>22</v>
      </c>
      <c r="F969" s="109" t="s">
        <v>2281</v>
      </c>
      <c r="G969" s="111" t="s">
        <v>2282</v>
      </c>
    </row>
    <row r="970" customFormat="false" ht="23.85" hidden="false" customHeight="false" outlineLevel="0" collapsed="false">
      <c r="A970" s="109" t="s">
        <v>96</v>
      </c>
      <c r="B970" s="109" t="s">
        <v>99</v>
      </c>
      <c r="C970" s="109" t="s">
        <v>480</v>
      </c>
      <c r="D970" s="109" t="s">
        <v>67</v>
      </c>
      <c r="E970" s="112" t="s">
        <v>16</v>
      </c>
      <c r="F970" s="109" t="s">
        <v>2283</v>
      </c>
      <c r="G970" s="111" t="s">
        <v>996</v>
      </c>
    </row>
    <row r="971" customFormat="false" ht="15" hidden="false" customHeight="false" outlineLevel="0" collapsed="false">
      <c r="A971" s="109" t="s">
        <v>96</v>
      </c>
      <c r="B971" s="109" t="s">
        <v>99</v>
      </c>
      <c r="C971" s="109" t="s">
        <v>480</v>
      </c>
      <c r="D971" s="109" t="s">
        <v>71</v>
      </c>
      <c r="E971" s="112" t="s">
        <v>16</v>
      </c>
      <c r="F971" s="109" t="s">
        <v>2284</v>
      </c>
      <c r="G971" s="111" t="s">
        <v>2226</v>
      </c>
    </row>
    <row r="972" customFormat="false" ht="23.85" hidden="false" customHeight="false" outlineLevel="0" collapsed="false">
      <c r="A972" s="109" t="s">
        <v>96</v>
      </c>
      <c r="B972" s="109" t="s">
        <v>99</v>
      </c>
      <c r="C972" s="109" t="s">
        <v>482</v>
      </c>
      <c r="D972" s="109" t="s">
        <v>35</v>
      </c>
      <c r="E972" s="112" t="s">
        <v>16</v>
      </c>
      <c r="F972" s="109" t="s">
        <v>2285</v>
      </c>
      <c r="G972" s="111" t="s">
        <v>1144</v>
      </c>
    </row>
    <row r="973" customFormat="false" ht="23.85" hidden="false" customHeight="false" outlineLevel="0" collapsed="false">
      <c r="A973" s="109" t="s">
        <v>96</v>
      </c>
      <c r="B973" s="109" t="s">
        <v>99</v>
      </c>
      <c r="C973" s="109" t="s">
        <v>482</v>
      </c>
      <c r="D973" s="109" t="s">
        <v>39</v>
      </c>
      <c r="E973" s="110" t="s">
        <v>18</v>
      </c>
      <c r="F973" s="109" t="s">
        <v>2286</v>
      </c>
      <c r="G973" s="111" t="s">
        <v>2287</v>
      </c>
    </row>
    <row r="974" customFormat="false" ht="15" hidden="false" customHeight="false" outlineLevel="0" collapsed="false">
      <c r="A974" s="109" t="s">
        <v>96</v>
      </c>
      <c r="B974" s="109" t="s">
        <v>99</v>
      </c>
      <c r="C974" s="109" t="s">
        <v>482</v>
      </c>
      <c r="D974" s="109" t="s">
        <v>43</v>
      </c>
      <c r="E974" s="113" t="s">
        <v>24</v>
      </c>
      <c r="F974" s="109" t="s">
        <v>2288</v>
      </c>
      <c r="G974" s="109"/>
    </row>
    <row r="975" customFormat="false" ht="15" hidden="false" customHeight="false" outlineLevel="0" collapsed="false">
      <c r="A975" s="109" t="s">
        <v>96</v>
      </c>
      <c r="B975" s="109" t="s">
        <v>99</v>
      </c>
      <c r="C975" s="109" t="s">
        <v>482</v>
      </c>
      <c r="D975" s="109" t="s">
        <v>47</v>
      </c>
      <c r="E975" s="113" t="s">
        <v>24</v>
      </c>
      <c r="F975" s="109" t="s">
        <v>2289</v>
      </c>
      <c r="G975" s="109"/>
    </row>
    <row r="976" customFormat="false" ht="15" hidden="false" customHeight="false" outlineLevel="0" collapsed="false">
      <c r="A976" s="109" t="s">
        <v>96</v>
      </c>
      <c r="B976" s="109" t="s">
        <v>99</v>
      </c>
      <c r="C976" s="109" t="s">
        <v>482</v>
      </c>
      <c r="D976" s="109" t="s">
        <v>51</v>
      </c>
      <c r="E976" s="113" t="s">
        <v>24</v>
      </c>
      <c r="F976" s="109" t="s">
        <v>2290</v>
      </c>
      <c r="G976" s="109"/>
    </row>
    <row r="977" customFormat="false" ht="15" hidden="false" customHeight="false" outlineLevel="0" collapsed="false">
      <c r="A977" s="109" t="s">
        <v>96</v>
      </c>
      <c r="B977" s="109" t="s">
        <v>99</v>
      </c>
      <c r="C977" s="109" t="s">
        <v>482</v>
      </c>
      <c r="D977" s="109" t="s">
        <v>55</v>
      </c>
      <c r="E977" s="112" t="s">
        <v>16</v>
      </c>
      <c r="F977" s="109" t="s">
        <v>2291</v>
      </c>
      <c r="G977" s="111" t="s">
        <v>2292</v>
      </c>
    </row>
    <row r="978" customFormat="false" ht="15" hidden="false" customHeight="false" outlineLevel="0" collapsed="false">
      <c r="A978" s="109" t="s">
        <v>96</v>
      </c>
      <c r="B978" s="109" t="s">
        <v>99</v>
      </c>
      <c r="C978" s="109" t="s">
        <v>482</v>
      </c>
      <c r="D978" s="109" t="s">
        <v>59</v>
      </c>
      <c r="E978" s="113" t="s">
        <v>24</v>
      </c>
      <c r="F978" s="109" t="s">
        <v>2293</v>
      </c>
      <c r="G978" s="109"/>
    </row>
    <row r="979" customFormat="false" ht="15" hidden="false" customHeight="false" outlineLevel="0" collapsed="false">
      <c r="A979" s="109" t="s">
        <v>96</v>
      </c>
      <c r="B979" s="109" t="s">
        <v>99</v>
      </c>
      <c r="C979" s="109" t="s">
        <v>482</v>
      </c>
      <c r="D979" s="109" t="s">
        <v>63</v>
      </c>
      <c r="E979" s="113" t="s">
        <v>24</v>
      </c>
      <c r="F979" s="109" t="s">
        <v>2294</v>
      </c>
      <c r="G979" s="109"/>
    </row>
    <row r="980" customFormat="false" ht="15" hidden="false" customHeight="false" outlineLevel="0" collapsed="false">
      <c r="A980" s="109" t="s">
        <v>96</v>
      </c>
      <c r="B980" s="109" t="s">
        <v>99</v>
      </c>
      <c r="C980" s="109" t="s">
        <v>482</v>
      </c>
      <c r="D980" s="109" t="s">
        <v>67</v>
      </c>
      <c r="E980" s="113" t="s">
        <v>24</v>
      </c>
      <c r="F980" s="109" t="s">
        <v>2295</v>
      </c>
      <c r="G980" s="111" t="s">
        <v>2266</v>
      </c>
    </row>
    <row r="981" customFormat="false" ht="15" hidden="false" customHeight="false" outlineLevel="0" collapsed="false">
      <c r="A981" s="109" t="s">
        <v>96</v>
      </c>
      <c r="B981" s="109" t="s">
        <v>99</v>
      </c>
      <c r="C981" s="109" t="s">
        <v>482</v>
      </c>
      <c r="D981" s="109" t="s">
        <v>71</v>
      </c>
      <c r="E981" s="113" t="s">
        <v>24</v>
      </c>
      <c r="F981" s="109" t="s">
        <v>2296</v>
      </c>
      <c r="G981" s="109"/>
    </row>
    <row r="982" customFormat="false" ht="15" hidden="false" customHeight="false" outlineLevel="0" collapsed="false">
      <c r="A982" s="109" t="s">
        <v>96</v>
      </c>
      <c r="B982" s="109" t="s">
        <v>100</v>
      </c>
      <c r="C982" s="109" t="s">
        <v>494</v>
      </c>
      <c r="D982" s="109" t="s">
        <v>35</v>
      </c>
      <c r="E982" s="112" t="s">
        <v>16</v>
      </c>
      <c r="F982" s="109" t="s">
        <v>2297</v>
      </c>
      <c r="G982" s="111" t="s">
        <v>2195</v>
      </c>
    </row>
    <row r="983" customFormat="false" ht="15" hidden="false" customHeight="false" outlineLevel="0" collapsed="false">
      <c r="A983" s="109" t="s">
        <v>96</v>
      </c>
      <c r="B983" s="109" t="s">
        <v>100</v>
      </c>
      <c r="C983" s="109" t="s">
        <v>494</v>
      </c>
      <c r="D983" s="109" t="s">
        <v>39</v>
      </c>
      <c r="E983" s="112" t="s">
        <v>16</v>
      </c>
      <c r="F983" s="109" t="s">
        <v>2298</v>
      </c>
      <c r="G983" s="111" t="s">
        <v>2299</v>
      </c>
    </row>
    <row r="984" customFormat="false" ht="15" hidden="false" customHeight="false" outlineLevel="0" collapsed="false">
      <c r="A984" s="109" t="s">
        <v>96</v>
      </c>
      <c r="B984" s="109" t="s">
        <v>100</v>
      </c>
      <c r="C984" s="109" t="s">
        <v>494</v>
      </c>
      <c r="D984" s="109" t="s">
        <v>43</v>
      </c>
      <c r="E984" s="113" t="s">
        <v>24</v>
      </c>
      <c r="F984" s="109" t="s">
        <v>2300</v>
      </c>
      <c r="G984" s="109"/>
    </row>
    <row r="985" customFormat="false" ht="23.85" hidden="false" customHeight="false" outlineLevel="0" collapsed="false">
      <c r="A985" s="109" t="s">
        <v>96</v>
      </c>
      <c r="B985" s="109" t="s">
        <v>100</v>
      </c>
      <c r="C985" s="109" t="s">
        <v>494</v>
      </c>
      <c r="D985" s="109" t="s">
        <v>47</v>
      </c>
      <c r="E985" s="113" t="s">
        <v>24</v>
      </c>
      <c r="F985" s="109" t="s">
        <v>2301</v>
      </c>
      <c r="G985" s="111" t="s">
        <v>2302</v>
      </c>
    </row>
    <row r="986" customFormat="false" ht="15" hidden="false" customHeight="false" outlineLevel="0" collapsed="false">
      <c r="A986" s="109" t="s">
        <v>96</v>
      </c>
      <c r="B986" s="109" t="s">
        <v>100</v>
      </c>
      <c r="C986" s="109" t="s">
        <v>494</v>
      </c>
      <c r="D986" s="109" t="s">
        <v>51</v>
      </c>
      <c r="E986" s="113" t="s">
        <v>24</v>
      </c>
      <c r="F986" s="109" t="s">
        <v>2303</v>
      </c>
      <c r="G986" s="109"/>
    </row>
    <row r="987" customFormat="false" ht="23.85" hidden="false" customHeight="false" outlineLevel="0" collapsed="false">
      <c r="A987" s="109" t="s">
        <v>96</v>
      </c>
      <c r="B987" s="109" t="s">
        <v>100</v>
      </c>
      <c r="C987" s="109" t="s">
        <v>494</v>
      </c>
      <c r="D987" s="109" t="s">
        <v>55</v>
      </c>
      <c r="E987" s="112" t="s">
        <v>16</v>
      </c>
      <c r="F987" s="109" t="s">
        <v>2304</v>
      </c>
      <c r="G987" s="111" t="s">
        <v>2292</v>
      </c>
    </row>
    <row r="988" customFormat="false" ht="15" hidden="false" customHeight="false" outlineLevel="0" collapsed="false">
      <c r="A988" s="109" t="s">
        <v>96</v>
      </c>
      <c r="B988" s="109" t="s">
        <v>100</v>
      </c>
      <c r="C988" s="109" t="s">
        <v>494</v>
      </c>
      <c r="D988" s="109" t="s">
        <v>59</v>
      </c>
      <c r="E988" s="112" t="s">
        <v>16</v>
      </c>
      <c r="F988" s="109" t="s">
        <v>2305</v>
      </c>
      <c r="G988" s="111" t="s">
        <v>2306</v>
      </c>
    </row>
    <row r="989" customFormat="false" ht="15" hidden="false" customHeight="false" outlineLevel="0" collapsed="false">
      <c r="A989" s="109" t="s">
        <v>96</v>
      </c>
      <c r="B989" s="109" t="s">
        <v>100</v>
      </c>
      <c r="C989" s="109" t="s">
        <v>494</v>
      </c>
      <c r="D989" s="109" t="s">
        <v>63</v>
      </c>
      <c r="E989" s="113" t="s">
        <v>24</v>
      </c>
      <c r="F989" s="109" t="s">
        <v>2307</v>
      </c>
      <c r="G989" s="109"/>
    </row>
    <row r="990" customFormat="false" ht="23.85" hidden="false" customHeight="false" outlineLevel="0" collapsed="false">
      <c r="A990" s="109" t="s">
        <v>96</v>
      </c>
      <c r="B990" s="109" t="s">
        <v>100</v>
      </c>
      <c r="C990" s="109" t="s">
        <v>494</v>
      </c>
      <c r="D990" s="109" t="s">
        <v>67</v>
      </c>
      <c r="E990" s="112" t="s">
        <v>16</v>
      </c>
      <c r="F990" s="109" t="s">
        <v>2308</v>
      </c>
      <c r="G990" s="111" t="s">
        <v>2210</v>
      </c>
    </row>
    <row r="991" customFormat="false" ht="15" hidden="false" customHeight="false" outlineLevel="0" collapsed="false">
      <c r="A991" s="109" t="s">
        <v>96</v>
      </c>
      <c r="B991" s="109" t="s">
        <v>100</v>
      </c>
      <c r="C991" s="109" t="s">
        <v>494</v>
      </c>
      <c r="D991" s="109" t="s">
        <v>71</v>
      </c>
      <c r="E991" s="112" t="s">
        <v>16</v>
      </c>
      <c r="F991" s="109" t="s">
        <v>2309</v>
      </c>
      <c r="G991" s="111" t="s">
        <v>2310</v>
      </c>
    </row>
    <row r="992" customFormat="false" ht="23.85" hidden="false" customHeight="false" outlineLevel="0" collapsed="false">
      <c r="A992" s="109" t="s">
        <v>96</v>
      </c>
      <c r="B992" s="109" t="s">
        <v>100</v>
      </c>
      <c r="C992" s="109" t="s">
        <v>496</v>
      </c>
      <c r="D992" s="109" t="s">
        <v>35</v>
      </c>
      <c r="E992" s="112" t="s">
        <v>16</v>
      </c>
      <c r="F992" s="109" t="s">
        <v>2311</v>
      </c>
      <c r="G992" s="111" t="s">
        <v>2312</v>
      </c>
    </row>
    <row r="993" customFormat="false" ht="15" hidden="false" customHeight="false" outlineLevel="0" collapsed="false">
      <c r="A993" s="109" t="s">
        <v>96</v>
      </c>
      <c r="B993" s="109" t="s">
        <v>100</v>
      </c>
      <c r="C993" s="109" t="s">
        <v>496</v>
      </c>
      <c r="D993" s="109" t="s">
        <v>39</v>
      </c>
      <c r="E993" s="112" t="s">
        <v>16</v>
      </c>
      <c r="F993" s="109" t="s">
        <v>2313</v>
      </c>
      <c r="G993" s="111" t="s">
        <v>2314</v>
      </c>
    </row>
    <row r="994" customFormat="false" ht="15" hidden="false" customHeight="false" outlineLevel="0" collapsed="false">
      <c r="A994" s="109" t="s">
        <v>96</v>
      </c>
      <c r="B994" s="109" t="s">
        <v>100</v>
      </c>
      <c r="C994" s="109" t="s">
        <v>496</v>
      </c>
      <c r="D994" s="109" t="s">
        <v>43</v>
      </c>
      <c r="E994" s="113" t="s">
        <v>24</v>
      </c>
      <c r="F994" s="109" t="s">
        <v>2315</v>
      </c>
      <c r="G994" s="109"/>
    </row>
    <row r="995" customFormat="false" ht="23.85" hidden="false" customHeight="false" outlineLevel="0" collapsed="false">
      <c r="A995" s="109" t="s">
        <v>96</v>
      </c>
      <c r="B995" s="109" t="s">
        <v>100</v>
      </c>
      <c r="C995" s="109" t="s">
        <v>496</v>
      </c>
      <c r="D995" s="109" t="s">
        <v>47</v>
      </c>
      <c r="E995" s="113" t="s">
        <v>24</v>
      </c>
      <c r="F995" s="109" t="s">
        <v>2316</v>
      </c>
      <c r="G995" s="111" t="s">
        <v>2317</v>
      </c>
    </row>
    <row r="996" customFormat="false" ht="15" hidden="false" customHeight="false" outlineLevel="0" collapsed="false">
      <c r="A996" s="109" t="s">
        <v>96</v>
      </c>
      <c r="B996" s="109" t="s">
        <v>100</v>
      </c>
      <c r="C996" s="109" t="s">
        <v>496</v>
      </c>
      <c r="D996" s="109" t="s">
        <v>51</v>
      </c>
      <c r="E996" s="113" t="s">
        <v>24</v>
      </c>
      <c r="F996" s="109" t="s">
        <v>2318</v>
      </c>
      <c r="G996" s="109"/>
    </row>
    <row r="997" customFormat="false" ht="15" hidden="false" customHeight="false" outlineLevel="0" collapsed="false">
      <c r="A997" s="109" t="s">
        <v>96</v>
      </c>
      <c r="B997" s="109" t="s">
        <v>100</v>
      </c>
      <c r="C997" s="109" t="s">
        <v>496</v>
      </c>
      <c r="D997" s="109" t="s">
        <v>55</v>
      </c>
      <c r="E997" s="112" t="s">
        <v>16</v>
      </c>
      <c r="F997" s="109" t="s">
        <v>2319</v>
      </c>
      <c r="G997" s="111" t="s">
        <v>2221</v>
      </c>
    </row>
    <row r="998" customFormat="false" ht="23.85" hidden="false" customHeight="false" outlineLevel="0" collapsed="false">
      <c r="A998" s="109" t="s">
        <v>96</v>
      </c>
      <c r="B998" s="109" t="s">
        <v>100</v>
      </c>
      <c r="C998" s="109" t="s">
        <v>496</v>
      </c>
      <c r="D998" s="109" t="s">
        <v>59</v>
      </c>
      <c r="E998" s="112" t="s">
        <v>16</v>
      </c>
      <c r="F998" s="109" t="s">
        <v>2320</v>
      </c>
      <c r="G998" s="111" t="s">
        <v>992</v>
      </c>
    </row>
    <row r="999" customFormat="false" ht="15" hidden="false" customHeight="false" outlineLevel="0" collapsed="false">
      <c r="A999" s="109" t="s">
        <v>96</v>
      </c>
      <c r="B999" s="109" t="s">
        <v>100</v>
      </c>
      <c r="C999" s="109" t="s">
        <v>496</v>
      </c>
      <c r="D999" s="109" t="s">
        <v>63</v>
      </c>
      <c r="E999" s="113" t="s">
        <v>24</v>
      </c>
      <c r="F999" s="109" t="s">
        <v>2321</v>
      </c>
      <c r="G999" s="109"/>
    </row>
    <row r="1000" customFormat="false" ht="15" hidden="false" customHeight="false" outlineLevel="0" collapsed="false">
      <c r="A1000" s="109" t="s">
        <v>96</v>
      </c>
      <c r="B1000" s="109" t="s">
        <v>100</v>
      </c>
      <c r="C1000" s="109" t="s">
        <v>496</v>
      </c>
      <c r="D1000" s="109" t="s">
        <v>67</v>
      </c>
      <c r="E1000" s="113" t="s">
        <v>24</v>
      </c>
      <c r="F1000" s="109" t="s">
        <v>2322</v>
      </c>
      <c r="G1000" s="111" t="s">
        <v>2210</v>
      </c>
    </row>
    <row r="1001" customFormat="false" ht="15" hidden="false" customHeight="false" outlineLevel="0" collapsed="false">
      <c r="A1001" s="109" t="s">
        <v>96</v>
      </c>
      <c r="B1001" s="109" t="s">
        <v>100</v>
      </c>
      <c r="C1001" s="109" t="s">
        <v>496</v>
      </c>
      <c r="D1001" s="109" t="s">
        <v>71</v>
      </c>
      <c r="E1001" s="113" t="s">
        <v>24</v>
      </c>
      <c r="F1001" s="109" t="s">
        <v>2323</v>
      </c>
      <c r="G1001" s="111" t="s">
        <v>2226</v>
      </c>
    </row>
    <row r="1002" customFormat="false" ht="15" hidden="false" customHeight="false" outlineLevel="0" collapsed="false">
      <c r="A1002" s="109" t="s">
        <v>96</v>
      </c>
      <c r="B1002" s="109" t="s">
        <v>100</v>
      </c>
      <c r="C1002" s="109" t="s">
        <v>498</v>
      </c>
      <c r="D1002" s="109" t="s">
        <v>35</v>
      </c>
      <c r="E1002" s="112" t="s">
        <v>16</v>
      </c>
      <c r="F1002" s="109" t="s">
        <v>2324</v>
      </c>
      <c r="G1002" s="111" t="s">
        <v>2325</v>
      </c>
    </row>
    <row r="1003" customFormat="false" ht="23.85" hidden="false" customHeight="false" outlineLevel="0" collapsed="false">
      <c r="A1003" s="109" t="s">
        <v>96</v>
      </c>
      <c r="B1003" s="109" t="s">
        <v>100</v>
      </c>
      <c r="C1003" s="109" t="s">
        <v>498</v>
      </c>
      <c r="D1003" s="109" t="s">
        <v>39</v>
      </c>
      <c r="E1003" s="110" t="s">
        <v>18</v>
      </c>
      <c r="F1003" s="109" t="s">
        <v>2326</v>
      </c>
      <c r="G1003" s="111" t="s">
        <v>2327</v>
      </c>
    </row>
    <row r="1004" customFormat="false" ht="15" hidden="false" customHeight="false" outlineLevel="0" collapsed="false">
      <c r="A1004" s="109" t="s">
        <v>96</v>
      </c>
      <c r="B1004" s="109" t="s">
        <v>100</v>
      </c>
      <c r="C1004" s="109" t="s">
        <v>498</v>
      </c>
      <c r="D1004" s="109" t="s">
        <v>43</v>
      </c>
      <c r="E1004" s="113" t="s">
        <v>24</v>
      </c>
      <c r="F1004" s="109" t="s">
        <v>2328</v>
      </c>
      <c r="G1004" s="111" t="s">
        <v>2329</v>
      </c>
    </row>
    <row r="1005" customFormat="false" ht="23.85" hidden="false" customHeight="false" outlineLevel="0" collapsed="false">
      <c r="A1005" s="109" t="s">
        <v>96</v>
      </c>
      <c r="B1005" s="109" t="s">
        <v>100</v>
      </c>
      <c r="C1005" s="109" t="s">
        <v>498</v>
      </c>
      <c r="D1005" s="109" t="s">
        <v>47</v>
      </c>
      <c r="E1005" s="114" t="s">
        <v>22</v>
      </c>
      <c r="F1005" s="109" t="s">
        <v>2330</v>
      </c>
      <c r="G1005" s="111" t="s">
        <v>2302</v>
      </c>
    </row>
    <row r="1006" customFormat="false" ht="15" hidden="false" customHeight="false" outlineLevel="0" collapsed="false">
      <c r="A1006" s="109" t="s">
        <v>96</v>
      </c>
      <c r="B1006" s="109" t="s">
        <v>100</v>
      </c>
      <c r="C1006" s="109" t="s">
        <v>498</v>
      </c>
      <c r="D1006" s="109" t="s">
        <v>51</v>
      </c>
      <c r="E1006" s="114" t="s">
        <v>22</v>
      </c>
      <c r="F1006" s="109" t="s">
        <v>2331</v>
      </c>
      <c r="G1006" s="111" t="s">
        <v>2332</v>
      </c>
    </row>
    <row r="1007" customFormat="false" ht="15" hidden="false" customHeight="false" outlineLevel="0" collapsed="false">
      <c r="A1007" s="109" t="s">
        <v>96</v>
      </c>
      <c r="B1007" s="109" t="s">
        <v>100</v>
      </c>
      <c r="C1007" s="109" t="s">
        <v>498</v>
      </c>
      <c r="D1007" s="109" t="s">
        <v>55</v>
      </c>
      <c r="E1007" s="112" t="s">
        <v>16</v>
      </c>
      <c r="F1007" s="109" t="s">
        <v>2333</v>
      </c>
      <c r="G1007" s="111" t="s">
        <v>2334</v>
      </c>
    </row>
    <row r="1008" customFormat="false" ht="15" hidden="false" customHeight="false" outlineLevel="0" collapsed="false">
      <c r="A1008" s="109" t="s">
        <v>96</v>
      </c>
      <c r="B1008" s="109" t="s">
        <v>100</v>
      </c>
      <c r="C1008" s="109" t="s">
        <v>498</v>
      </c>
      <c r="D1008" s="109" t="s">
        <v>59</v>
      </c>
      <c r="E1008" s="112" t="s">
        <v>16</v>
      </c>
      <c r="F1008" s="109" t="s">
        <v>2335</v>
      </c>
      <c r="G1008" s="111" t="s">
        <v>2336</v>
      </c>
    </row>
    <row r="1009" customFormat="false" ht="15" hidden="false" customHeight="false" outlineLevel="0" collapsed="false">
      <c r="A1009" s="109" t="s">
        <v>96</v>
      </c>
      <c r="B1009" s="109" t="s">
        <v>100</v>
      </c>
      <c r="C1009" s="109" t="s">
        <v>498</v>
      </c>
      <c r="D1009" s="109" t="s">
        <v>63</v>
      </c>
      <c r="E1009" s="113" t="s">
        <v>24</v>
      </c>
      <c r="F1009" s="109" t="s">
        <v>2337</v>
      </c>
      <c r="G1009" s="109"/>
    </row>
    <row r="1010" customFormat="false" ht="15" hidden="false" customHeight="false" outlineLevel="0" collapsed="false">
      <c r="A1010" s="109" t="s">
        <v>96</v>
      </c>
      <c r="B1010" s="109" t="s">
        <v>100</v>
      </c>
      <c r="C1010" s="109" t="s">
        <v>498</v>
      </c>
      <c r="D1010" s="109" t="s">
        <v>67</v>
      </c>
      <c r="E1010" s="110" t="s">
        <v>18</v>
      </c>
      <c r="F1010" s="109" t="s">
        <v>2338</v>
      </c>
      <c r="G1010" s="111" t="s">
        <v>2339</v>
      </c>
    </row>
    <row r="1011" customFormat="false" ht="15" hidden="false" customHeight="false" outlineLevel="0" collapsed="false">
      <c r="A1011" s="109" t="s">
        <v>96</v>
      </c>
      <c r="B1011" s="109" t="s">
        <v>100</v>
      </c>
      <c r="C1011" s="109" t="s">
        <v>498</v>
      </c>
      <c r="D1011" s="109" t="s">
        <v>71</v>
      </c>
      <c r="E1011" s="113" t="s">
        <v>24</v>
      </c>
      <c r="F1011" s="109" t="s">
        <v>2340</v>
      </c>
      <c r="G1011" s="111" t="s">
        <v>2341</v>
      </c>
    </row>
    <row r="1012" customFormat="false" ht="23.85" hidden="false" customHeight="false" outlineLevel="0" collapsed="false">
      <c r="A1012" s="109" t="s">
        <v>96</v>
      </c>
      <c r="B1012" s="109" t="s">
        <v>100</v>
      </c>
      <c r="C1012" s="109" t="s">
        <v>499</v>
      </c>
      <c r="D1012" s="109" t="s">
        <v>35</v>
      </c>
      <c r="E1012" s="114" t="s">
        <v>22</v>
      </c>
      <c r="F1012" s="109" t="s">
        <v>2342</v>
      </c>
      <c r="G1012" s="111" t="s">
        <v>2343</v>
      </c>
    </row>
    <row r="1013" customFormat="false" ht="23.85" hidden="false" customHeight="false" outlineLevel="0" collapsed="false">
      <c r="A1013" s="109" t="s">
        <v>96</v>
      </c>
      <c r="B1013" s="109" t="s">
        <v>100</v>
      </c>
      <c r="C1013" s="109" t="s">
        <v>499</v>
      </c>
      <c r="D1013" s="109" t="s">
        <v>39</v>
      </c>
      <c r="E1013" s="110" t="s">
        <v>18</v>
      </c>
      <c r="F1013" s="109" t="s">
        <v>2344</v>
      </c>
      <c r="G1013" s="111" t="s">
        <v>2345</v>
      </c>
    </row>
    <row r="1014" customFormat="false" ht="23.85" hidden="false" customHeight="false" outlineLevel="0" collapsed="false">
      <c r="A1014" s="109" t="s">
        <v>96</v>
      </c>
      <c r="B1014" s="109" t="s">
        <v>100</v>
      </c>
      <c r="C1014" s="109" t="s">
        <v>499</v>
      </c>
      <c r="D1014" s="109" t="s">
        <v>43</v>
      </c>
      <c r="E1014" s="110" t="s">
        <v>18</v>
      </c>
      <c r="F1014" s="109" t="s">
        <v>2346</v>
      </c>
      <c r="G1014" s="111" t="s">
        <v>2347</v>
      </c>
    </row>
    <row r="1015" customFormat="false" ht="15" hidden="false" customHeight="false" outlineLevel="0" collapsed="false">
      <c r="A1015" s="109" t="s">
        <v>96</v>
      </c>
      <c r="B1015" s="109" t="s">
        <v>100</v>
      </c>
      <c r="C1015" s="109" t="s">
        <v>499</v>
      </c>
      <c r="D1015" s="109" t="s">
        <v>47</v>
      </c>
      <c r="E1015" s="110" t="s">
        <v>18</v>
      </c>
      <c r="F1015" s="109" t="s">
        <v>2348</v>
      </c>
      <c r="G1015" s="111" t="s">
        <v>2349</v>
      </c>
    </row>
    <row r="1016" customFormat="false" ht="23.85" hidden="false" customHeight="false" outlineLevel="0" collapsed="false">
      <c r="A1016" s="109" t="s">
        <v>96</v>
      </c>
      <c r="B1016" s="109" t="s">
        <v>100</v>
      </c>
      <c r="C1016" s="109" t="s">
        <v>499</v>
      </c>
      <c r="D1016" s="109" t="s">
        <v>51</v>
      </c>
      <c r="E1016" s="112" t="s">
        <v>16</v>
      </c>
      <c r="F1016" s="109" t="s">
        <v>2350</v>
      </c>
      <c r="G1016" s="111" t="s">
        <v>2351</v>
      </c>
    </row>
    <row r="1017" customFormat="false" ht="15" hidden="false" customHeight="false" outlineLevel="0" collapsed="false">
      <c r="A1017" s="109" t="s">
        <v>96</v>
      </c>
      <c r="B1017" s="109" t="s">
        <v>100</v>
      </c>
      <c r="C1017" s="109" t="s">
        <v>499</v>
      </c>
      <c r="D1017" s="109" t="s">
        <v>55</v>
      </c>
      <c r="E1017" s="112" t="s">
        <v>16</v>
      </c>
      <c r="F1017" s="109" t="s">
        <v>2352</v>
      </c>
      <c r="G1017" s="111" t="s">
        <v>2353</v>
      </c>
    </row>
    <row r="1018" customFormat="false" ht="15" hidden="false" customHeight="false" outlineLevel="0" collapsed="false">
      <c r="A1018" s="109" t="s">
        <v>96</v>
      </c>
      <c r="B1018" s="109" t="s">
        <v>100</v>
      </c>
      <c r="C1018" s="109" t="s">
        <v>499</v>
      </c>
      <c r="D1018" s="109" t="s">
        <v>59</v>
      </c>
      <c r="E1018" s="112" t="s">
        <v>16</v>
      </c>
      <c r="F1018" s="109" t="s">
        <v>2354</v>
      </c>
      <c r="G1018" s="111" t="s">
        <v>2355</v>
      </c>
    </row>
    <row r="1019" customFormat="false" ht="23.85" hidden="false" customHeight="false" outlineLevel="0" collapsed="false">
      <c r="A1019" s="109" t="s">
        <v>96</v>
      </c>
      <c r="B1019" s="109" t="s">
        <v>100</v>
      </c>
      <c r="C1019" s="109" t="s">
        <v>499</v>
      </c>
      <c r="D1019" s="109" t="s">
        <v>63</v>
      </c>
      <c r="E1019" s="112" t="s">
        <v>16</v>
      </c>
      <c r="F1019" s="109" t="s">
        <v>2356</v>
      </c>
      <c r="G1019" s="111" t="s">
        <v>2357</v>
      </c>
    </row>
    <row r="1020" customFormat="false" ht="23.85" hidden="false" customHeight="false" outlineLevel="0" collapsed="false">
      <c r="A1020" s="109" t="s">
        <v>96</v>
      </c>
      <c r="B1020" s="109" t="s">
        <v>100</v>
      </c>
      <c r="C1020" s="109" t="s">
        <v>499</v>
      </c>
      <c r="D1020" s="109" t="s">
        <v>67</v>
      </c>
      <c r="E1020" s="112" t="s">
        <v>16</v>
      </c>
      <c r="F1020" s="109" t="s">
        <v>2358</v>
      </c>
      <c r="G1020" s="111" t="s">
        <v>2359</v>
      </c>
    </row>
    <row r="1021" customFormat="false" ht="15" hidden="false" customHeight="false" outlineLevel="0" collapsed="false">
      <c r="A1021" s="109" t="s">
        <v>96</v>
      </c>
      <c r="B1021" s="109" t="s">
        <v>100</v>
      </c>
      <c r="C1021" s="109" t="s">
        <v>499</v>
      </c>
      <c r="D1021" s="109" t="s">
        <v>71</v>
      </c>
      <c r="E1021" s="110" t="s">
        <v>18</v>
      </c>
      <c r="F1021" s="109" t="s">
        <v>2360</v>
      </c>
      <c r="G1021" s="111" t="s">
        <v>1990</v>
      </c>
    </row>
    <row r="1022" customFormat="false" ht="15" hidden="false" customHeight="false" outlineLevel="0" collapsed="false">
      <c r="A1022" s="109" t="s">
        <v>96</v>
      </c>
      <c r="B1022" s="109" t="s">
        <v>100</v>
      </c>
      <c r="C1022" s="109" t="s">
        <v>501</v>
      </c>
      <c r="D1022" s="109" t="s">
        <v>35</v>
      </c>
      <c r="E1022" s="112" t="s">
        <v>16</v>
      </c>
      <c r="F1022" s="109" t="s">
        <v>2361</v>
      </c>
      <c r="G1022" s="111" t="s">
        <v>2362</v>
      </c>
    </row>
    <row r="1023" customFormat="false" ht="15" hidden="false" customHeight="false" outlineLevel="0" collapsed="false">
      <c r="A1023" s="109" t="s">
        <v>96</v>
      </c>
      <c r="B1023" s="109" t="s">
        <v>100</v>
      </c>
      <c r="C1023" s="109" t="s">
        <v>501</v>
      </c>
      <c r="D1023" s="109" t="s">
        <v>39</v>
      </c>
      <c r="E1023" s="112" t="s">
        <v>16</v>
      </c>
      <c r="F1023" s="109" t="s">
        <v>2363</v>
      </c>
      <c r="G1023" s="111" t="s">
        <v>2364</v>
      </c>
    </row>
    <row r="1024" customFormat="false" ht="15" hidden="false" customHeight="false" outlineLevel="0" collapsed="false">
      <c r="A1024" s="109" t="s">
        <v>96</v>
      </c>
      <c r="B1024" s="109" t="s">
        <v>100</v>
      </c>
      <c r="C1024" s="109" t="s">
        <v>501</v>
      </c>
      <c r="D1024" s="109" t="s">
        <v>43</v>
      </c>
      <c r="E1024" s="112" t="s">
        <v>16</v>
      </c>
      <c r="F1024" s="109" t="s">
        <v>2365</v>
      </c>
      <c r="G1024" s="111" t="s">
        <v>2366</v>
      </c>
    </row>
    <row r="1025" customFormat="false" ht="15" hidden="false" customHeight="false" outlineLevel="0" collapsed="false">
      <c r="A1025" s="109" t="s">
        <v>96</v>
      </c>
      <c r="B1025" s="109" t="s">
        <v>100</v>
      </c>
      <c r="C1025" s="109" t="s">
        <v>501</v>
      </c>
      <c r="D1025" s="109" t="s">
        <v>47</v>
      </c>
      <c r="E1025" s="112" t="s">
        <v>16</v>
      </c>
      <c r="F1025" s="109" t="s">
        <v>2367</v>
      </c>
      <c r="G1025" s="111" t="s">
        <v>2368</v>
      </c>
    </row>
    <row r="1026" customFormat="false" ht="15" hidden="false" customHeight="false" outlineLevel="0" collapsed="false">
      <c r="A1026" s="109" t="s">
        <v>96</v>
      </c>
      <c r="B1026" s="109" t="s">
        <v>100</v>
      </c>
      <c r="C1026" s="109" t="s">
        <v>501</v>
      </c>
      <c r="D1026" s="109" t="s">
        <v>51</v>
      </c>
      <c r="E1026" s="110" t="s">
        <v>18</v>
      </c>
      <c r="F1026" s="109" t="s">
        <v>2369</v>
      </c>
      <c r="G1026" s="111" t="s">
        <v>1677</v>
      </c>
    </row>
    <row r="1027" customFormat="false" ht="23.85" hidden="false" customHeight="false" outlineLevel="0" collapsed="false">
      <c r="A1027" s="109" t="s">
        <v>96</v>
      </c>
      <c r="B1027" s="109" t="s">
        <v>100</v>
      </c>
      <c r="C1027" s="109" t="s">
        <v>501</v>
      </c>
      <c r="D1027" s="109" t="s">
        <v>55</v>
      </c>
      <c r="E1027" s="114" t="s">
        <v>22</v>
      </c>
      <c r="F1027" s="109" t="s">
        <v>2370</v>
      </c>
      <c r="G1027" s="111" t="s">
        <v>2371</v>
      </c>
    </row>
    <row r="1028" customFormat="false" ht="15" hidden="false" customHeight="false" outlineLevel="0" collapsed="false">
      <c r="A1028" s="109" t="s">
        <v>96</v>
      </c>
      <c r="B1028" s="109" t="s">
        <v>100</v>
      </c>
      <c r="C1028" s="109" t="s">
        <v>501</v>
      </c>
      <c r="D1028" s="109" t="s">
        <v>59</v>
      </c>
      <c r="E1028" s="110" t="s">
        <v>18</v>
      </c>
      <c r="F1028" s="109" t="s">
        <v>2372</v>
      </c>
      <c r="G1028" s="111" t="s">
        <v>1479</v>
      </c>
    </row>
    <row r="1029" customFormat="false" ht="15" hidden="false" customHeight="false" outlineLevel="0" collapsed="false">
      <c r="A1029" s="109" t="s">
        <v>96</v>
      </c>
      <c r="B1029" s="109" t="s">
        <v>100</v>
      </c>
      <c r="C1029" s="109" t="s">
        <v>501</v>
      </c>
      <c r="D1029" s="109" t="s">
        <v>63</v>
      </c>
      <c r="E1029" s="112" t="s">
        <v>16</v>
      </c>
      <c r="F1029" s="109" t="s">
        <v>2373</v>
      </c>
      <c r="G1029" s="111" t="s">
        <v>2208</v>
      </c>
    </row>
    <row r="1030" customFormat="false" ht="15" hidden="false" customHeight="false" outlineLevel="0" collapsed="false">
      <c r="A1030" s="109" t="s">
        <v>96</v>
      </c>
      <c r="B1030" s="109" t="s">
        <v>100</v>
      </c>
      <c r="C1030" s="109" t="s">
        <v>501</v>
      </c>
      <c r="D1030" s="109" t="s">
        <v>67</v>
      </c>
      <c r="E1030" s="112" t="s">
        <v>16</v>
      </c>
      <c r="F1030" s="109" t="s">
        <v>2374</v>
      </c>
      <c r="G1030" s="111" t="s">
        <v>930</v>
      </c>
    </row>
    <row r="1031" customFormat="false" ht="15" hidden="false" customHeight="false" outlineLevel="0" collapsed="false">
      <c r="A1031" s="109" t="s">
        <v>96</v>
      </c>
      <c r="B1031" s="109" t="s">
        <v>100</v>
      </c>
      <c r="C1031" s="109" t="s">
        <v>501</v>
      </c>
      <c r="D1031" s="109" t="s">
        <v>71</v>
      </c>
      <c r="E1031" s="114" t="s">
        <v>22</v>
      </c>
      <c r="F1031" s="109" t="s">
        <v>2375</v>
      </c>
      <c r="G1031" s="111" t="s">
        <v>998</v>
      </c>
    </row>
    <row r="1032" customFormat="false" ht="15" hidden="false" customHeight="false" outlineLevel="0" collapsed="false">
      <c r="A1032" s="109" t="s">
        <v>96</v>
      </c>
      <c r="B1032" s="109" t="s">
        <v>100</v>
      </c>
      <c r="C1032" s="109" t="s">
        <v>503</v>
      </c>
      <c r="D1032" s="109" t="s">
        <v>35</v>
      </c>
      <c r="E1032" s="115" t="s">
        <v>20</v>
      </c>
      <c r="F1032" s="109" t="s">
        <v>2376</v>
      </c>
      <c r="G1032" s="111" t="s">
        <v>2377</v>
      </c>
    </row>
    <row r="1033" customFormat="false" ht="15" hidden="false" customHeight="false" outlineLevel="0" collapsed="false">
      <c r="A1033" s="109" t="s">
        <v>96</v>
      </c>
      <c r="B1033" s="109" t="s">
        <v>100</v>
      </c>
      <c r="C1033" s="109" t="s">
        <v>503</v>
      </c>
      <c r="D1033" s="109" t="s">
        <v>39</v>
      </c>
      <c r="E1033" s="115" t="s">
        <v>20</v>
      </c>
      <c r="F1033" s="109" t="s">
        <v>2378</v>
      </c>
      <c r="G1033" s="111" t="s">
        <v>2379</v>
      </c>
    </row>
    <row r="1034" customFormat="false" ht="15" hidden="false" customHeight="false" outlineLevel="0" collapsed="false">
      <c r="A1034" s="109" t="s">
        <v>96</v>
      </c>
      <c r="B1034" s="109" t="s">
        <v>100</v>
      </c>
      <c r="C1034" s="109" t="s">
        <v>503</v>
      </c>
      <c r="D1034" s="109" t="s">
        <v>43</v>
      </c>
      <c r="E1034" s="115" t="s">
        <v>20</v>
      </c>
      <c r="F1034" s="109" t="s">
        <v>2380</v>
      </c>
      <c r="G1034" s="111" t="s">
        <v>2381</v>
      </c>
    </row>
    <row r="1035" customFormat="false" ht="23.85" hidden="false" customHeight="false" outlineLevel="0" collapsed="false">
      <c r="A1035" s="109" t="s">
        <v>96</v>
      </c>
      <c r="B1035" s="109" t="s">
        <v>100</v>
      </c>
      <c r="C1035" s="109" t="s">
        <v>503</v>
      </c>
      <c r="D1035" s="109" t="s">
        <v>47</v>
      </c>
      <c r="E1035" s="115" t="s">
        <v>20</v>
      </c>
      <c r="F1035" s="109" t="s">
        <v>2382</v>
      </c>
      <c r="G1035" s="111" t="s">
        <v>2383</v>
      </c>
    </row>
    <row r="1036" customFormat="false" ht="23.85" hidden="false" customHeight="false" outlineLevel="0" collapsed="false">
      <c r="A1036" s="109" t="s">
        <v>96</v>
      </c>
      <c r="B1036" s="109" t="s">
        <v>100</v>
      </c>
      <c r="C1036" s="109" t="s">
        <v>503</v>
      </c>
      <c r="D1036" s="109" t="s">
        <v>51</v>
      </c>
      <c r="E1036" s="110" t="s">
        <v>18</v>
      </c>
      <c r="F1036" s="109" t="s">
        <v>2384</v>
      </c>
      <c r="G1036" s="111" t="s">
        <v>2385</v>
      </c>
    </row>
    <row r="1037" customFormat="false" ht="15" hidden="false" customHeight="false" outlineLevel="0" collapsed="false">
      <c r="A1037" s="109" t="s">
        <v>96</v>
      </c>
      <c r="B1037" s="109" t="s">
        <v>100</v>
      </c>
      <c r="C1037" s="109" t="s">
        <v>503</v>
      </c>
      <c r="D1037" s="109" t="s">
        <v>55</v>
      </c>
      <c r="E1037" s="115" t="s">
        <v>20</v>
      </c>
      <c r="F1037" s="109" t="s">
        <v>2386</v>
      </c>
      <c r="G1037" s="111" t="s">
        <v>2387</v>
      </c>
    </row>
    <row r="1038" customFormat="false" ht="15" hidden="false" customHeight="false" outlineLevel="0" collapsed="false">
      <c r="A1038" s="109" t="s">
        <v>96</v>
      </c>
      <c r="B1038" s="109" t="s">
        <v>100</v>
      </c>
      <c r="C1038" s="109" t="s">
        <v>503</v>
      </c>
      <c r="D1038" s="109" t="s">
        <v>59</v>
      </c>
      <c r="E1038" s="115" t="s">
        <v>20</v>
      </c>
      <c r="F1038" s="109" t="s">
        <v>2388</v>
      </c>
      <c r="G1038" s="111" t="s">
        <v>2389</v>
      </c>
    </row>
    <row r="1039" customFormat="false" ht="15" hidden="false" customHeight="false" outlineLevel="0" collapsed="false">
      <c r="A1039" s="109" t="s">
        <v>96</v>
      </c>
      <c r="B1039" s="109" t="s">
        <v>100</v>
      </c>
      <c r="C1039" s="109" t="s">
        <v>503</v>
      </c>
      <c r="D1039" s="109" t="s">
        <v>63</v>
      </c>
      <c r="E1039" s="114" t="s">
        <v>22</v>
      </c>
      <c r="F1039" s="109" t="s">
        <v>2390</v>
      </c>
      <c r="G1039" s="109"/>
    </row>
    <row r="1040" customFormat="false" ht="15" hidden="false" customHeight="false" outlineLevel="0" collapsed="false">
      <c r="A1040" s="109" t="s">
        <v>96</v>
      </c>
      <c r="B1040" s="109" t="s">
        <v>100</v>
      </c>
      <c r="C1040" s="109" t="s">
        <v>503</v>
      </c>
      <c r="D1040" s="109" t="s">
        <v>67</v>
      </c>
      <c r="E1040" s="113" t="s">
        <v>24</v>
      </c>
      <c r="F1040" s="109" t="s">
        <v>2391</v>
      </c>
      <c r="G1040" s="109"/>
    </row>
    <row r="1041" customFormat="false" ht="15" hidden="false" customHeight="false" outlineLevel="0" collapsed="false">
      <c r="A1041" s="109" t="s">
        <v>96</v>
      </c>
      <c r="B1041" s="109" t="s">
        <v>100</v>
      </c>
      <c r="C1041" s="109" t="s">
        <v>503</v>
      </c>
      <c r="D1041" s="109" t="s">
        <v>71</v>
      </c>
      <c r="E1041" s="113" t="s">
        <v>24</v>
      </c>
      <c r="F1041" s="109" t="s">
        <v>2392</v>
      </c>
      <c r="G1041" s="109"/>
    </row>
    <row r="1042" customFormat="false" ht="23.85" hidden="false" customHeight="false" outlineLevel="0" collapsed="false">
      <c r="A1042" s="109" t="s">
        <v>96</v>
      </c>
      <c r="B1042" s="109" t="s">
        <v>100</v>
      </c>
      <c r="C1042" s="109" t="s">
        <v>505</v>
      </c>
      <c r="D1042" s="109" t="s">
        <v>35</v>
      </c>
      <c r="E1042" s="110" t="s">
        <v>18</v>
      </c>
      <c r="F1042" s="109" t="s">
        <v>2393</v>
      </c>
      <c r="G1042" s="111" t="s">
        <v>2394</v>
      </c>
    </row>
    <row r="1043" customFormat="false" ht="23.85" hidden="false" customHeight="false" outlineLevel="0" collapsed="false">
      <c r="A1043" s="109" t="s">
        <v>96</v>
      </c>
      <c r="B1043" s="109" t="s">
        <v>100</v>
      </c>
      <c r="C1043" s="109" t="s">
        <v>505</v>
      </c>
      <c r="D1043" s="109" t="s">
        <v>39</v>
      </c>
      <c r="E1043" s="114" t="s">
        <v>22</v>
      </c>
      <c r="F1043" s="109" t="s">
        <v>2395</v>
      </c>
      <c r="G1043" s="111" t="s">
        <v>2111</v>
      </c>
    </row>
    <row r="1044" customFormat="false" ht="15" hidden="false" customHeight="false" outlineLevel="0" collapsed="false">
      <c r="A1044" s="109" t="s">
        <v>96</v>
      </c>
      <c r="B1044" s="109" t="s">
        <v>100</v>
      </c>
      <c r="C1044" s="109" t="s">
        <v>505</v>
      </c>
      <c r="D1044" s="109" t="s">
        <v>43</v>
      </c>
      <c r="E1044" s="115" t="s">
        <v>20</v>
      </c>
      <c r="F1044" s="109" t="s">
        <v>2396</v>
      </c>
      <c r="G1044" s="111" t="s">
        <v>2397</v>
      </c>
    </row>
    <row r="1045" customFormat="false" ht="15" hidden="false" customHeight="false" outlineLevel="0" collapsed="false">
      <c r="A1045" s="109" t="s">
        <v>96</v>
      </c>
      <c r="B1045" s="109" t="s">
        <v>100</v>
      </c>
      <c r="C1045" s="109" t="s">
        <v>505</v>
      </c>
      <c r="D1045" s="109" t="s">
        <v>47</v>
      </c>
      <c r="E1045" s="115" t="s">
        <v>20</v>
      </c>
      <c r="F1045" s="109" t="s">
        <v>2398</v>
      </c>
      <c r="G1045" s="111" t="s">
        <v>2399</v>
      </c>
    </row>
    <row r="1046" customFormat="false" ht="15" hidden="false" customHeight="false" outlineLevel="0" collapsed="false">
      <c r="A1046" s="109" t="s">
        <v>96</v>
      </c>
      <c r="B1046" s="109" t="s">
        <v>100</v>
      </c>
      <c r="C1046" s="109" t="s">
        <v>505</v>
      </c>
      <c r="D1046" s="109" t="s">
        <v>51</v>
      </c>
      <c r="E1046" s="112" t="s">
        <v>16</v>
      </c>
      <c r="F1046" s="109" t="s">
        <v>2400</v>
      </c>
      <c r="G1046" s="111" t="s">
        <v>2401</v>
      </c>
    </row>
    <row r="1047" customFormat="false" ht="15" hidden="false" customHeight="false" outlineLevel="0" collapsed="false">
      <c r="A1047" s="109" t="s">
        <v>96</v>
      </c>
      <c r="B1047" s="109" t="s">
        <v>100</v>
      </c>
      <c r="C1047" s="109" t="s">
        <v>505</v>
      </c>
      <c r="D1047" s="109" t="s">
        <v>55</v>
      </c>
      <c r="E1047" s="114" t="s">
        <v>22</v>
      </c>
      <c r="F1047" s="109" t="s">
        <v>2402</v>
      </c>
      <c r="G1047" s="111" t="s">
        <v>2403</v>
      </c>
    </row>
    <row r="1048" customFormat="false" ht="23.85" hidden="false" customHeight="false" outlineLevel="0" collapsed="false">
      <c r="A1048" s="109" t="s">
        <v>96</v>
      </c>
      <c r="B1048" s="109" t="s">
        <v>100</v>
      </c>
      <c r="C1048" s="109" t="s">
        <v>505</v>
      </c>
      <c r="D1048" s="109" t="s">
        <v>59</v>
      </c>
      <c r="E1048" s="112" t="s">
        <v>16</v>
      </c>
      <c r="F1048" s="109" t="s">
        <v>2404</v>
      </c>
      <c r="G1048" s="111" t="s">
        <v>992</v>
      </c>
    </row>
    <row r="1049" customFormat="false" ht="15" hidden="false" customHeight="false" outlineLevel="0" collapsed="false">
      <c r="A1049" s="109" t="s">
        <v>96</v>
      </c>
      <c r="B1049" s="109" t="s">
        <v>100</v>
      </c>
      <c r="C1049" s="109" t="s">
        <v>505</v>
      </c>
      <c r="D1049" s="109" t="s">
        <v>63</v>
      </c>
      <c r="E1049" s="114" t="s">
        <v>22</v>
      </c>
      <c r="F1049" s="109" t="s">
        <v>2405</v>
      </c>
      <c r="G1049" s="111" t="s">
        <v>2406</v>
      </c>
    </row>
    <row r="1050" customFormat="false" ht="15" hidden="false" customHeight="false" outlineLevel="0" collapsed="false">
      <c r="A1050" s="109" t="s">
        <v>96</v>
      </c>
      <c r="B1050" s="109" t="s">
        <v>100</v>
      </c>
      <c r="C1050" s="109" t="s">
        <v>505</v>
      </c>
      <c r="D1050" s="109" t="s">
        <v>67</v>
      </c>
      <c r="E1050" s="112" t="s">
        <v>16</v>
      </c>
      <c r="F1050" s="109" t="s">
        <v>2407</v>
      </c>
      <c r="G1050" s="111" t="s">
        <v>2210</v>
      </c>
    </row>
    <row r="1051" customFormat="false" ht="15" hidden="false" customHeight="false" outlineLevel="0" collapsed="false">
      <c r="A1051" s="109" t="s">
        <v>96</v>
      </c>
      <c r="B1051" s="109" t="s">
        <v>100</v>
      </c>
      <c r="C1051" s="109" t="s">
        <v>505</v>
      </c>
      <c r="D1051" s="109" t="s">
        <v>71</v>
      </c>
      <c r="E1051" s="112" t="s">
        <v>16</v>
      </c>
      <c r="F1051" s="109" t="s">
        <v>2408</v>
      </c>
      <c r="G1051" s="111" t="s">
        <v>2409</v>
      </c>
    </row>
    <row r="1052" customFormat="false" ht="23.85" hidden="false" customHeight="false" outlineLevel="0" collapsed="false">
      <c r="A1052" s="109" t="s">
        <v>96</v>
      </c>
      <c r="B1052" s="109" t="s">
        <v>101</v>
      </c>
      <c r="C1052" s="109" t="s">
        <v>520</v>
      </c>
      <c r="D1052" s="109" t="s">
        <v>35</v>
      </c>
      <c r="E1052" s="110" t="s">
        <v>18</v>
      </c>
      <c r="F1052" s="109" t="s">
        <v>2410</v>
      </c>
      <c r="G1052" s="111" t="s">
        <v>2411</v>
      </c>
    </row>
    <row r="1053" customFormat="false" ht="23.85" hidden="false" customHeight="false" outlineLevel="0" collapsed="false">
      <c r="A1053" s="109" t="s">
        <v>96</v>
      </c>
      <c r="B1053" s="109" t="s">
        <v>101</v>
      </c>
      <c r="C1053" s="109" t="s">
        <v>520</v>
      </c>
      <c r="D1053" s="109" t="s">
        <v>39</v>
      </c>
      <c r="E1053" s="115" t="s">
        <v>20</v>
      </c>
      <c r="F1053" s="109" t="s">
        <v>2412</v>
      </c>
      <c r="G1053" s="111" t="s">
        <v>2181</v>
      </c>
    </row>
    <row r="1054" customFormat="false" ht="15" hidden="false" customHeight="false" outlineLevel="0" collapsed="false">
      <c r="A1054" s="109" t="s">
        <v>96</v>
      </c>
      <c r="B1054" s="109" t="s">
        <v>101</v>
      </c>
      <c r="C1054" s="109" t="s">
        <v>520</v>
      </c>
      <c r="D1054" s="109" t="s">
        <v>43</v>
      </c>
      <c r="E1054" s="115" t="s">
        <v>20</v>
      </c>
      <c r="F1054" s="109" t="s">
        <v>2413</v>
      </c>
      <c r="G1054" s="111" t="s">
        <v>2183</v>
      </c>
    </row>
    <row r="1055" customFormat="false" ht="23.85" hidden="false" customHeight="false" outlineLevel="0" collapsed="false">
      <c r="A1055" s="109" t="s">
        <v>96</v>
      </c>
      <c r="B1055" s="109" t="s">
        <v>101</v>
      </c>
      <c r="C1055" s="109" t="s">
        <v>520</v>
      </c>
      <c r="D1055" s="109" t="s">
        <v>47</v>
      </c>
      <c r="E1055" s="114" t="s">
        <v>22</v>
      </c>
      <c r="F1055" s="109" t="s">
        <v>2414</v>
      </c>
      <c r="G1055" s="111" t="s">
        <v>971</v>
      </c>
    </row>
    <row r="1056" customFormat="false" ht="23.85" hidden="false" customHeight="false" outlineLevel="0" collapsed="false">
      <c r="A1056" s="109" t="s">
        <v>96</v>
      </c>
      <c r="B1056" s="109" t="s">
        <v>101</v>
      </c>
      <c r="C1056" s="109" t="s">
        <v>520</v>
      </c>
      <c r="D1056" s="109" t="s">
        <v>51</v>
      </c>
      <c r="E1056" s="110" t="s">
        <v>18</v>
      </c>
      <c r="F1056" s="109" t="s">
        <v>2415</v>
      </c>
      <c r="G1056" s="111" t="s">
        <v>2132</v>
      </c>
    </row>
    <row r="1057" customFormat="false" ht="15" hidden="false" customHeight="false" outlineLevel="0" collapsed="false">
      <c r="A1057" s="109" t="s">
        <v>96</v>
      </c>
      <c r="B1057" s="109" t="s">
        <v>101</v>
      </c>
      <c r="C1057" s="109" t="s">
        <v>520</v>
      </c>
      <c r="D1057" s="109" t="s">
        <v>55</v>
      </c>
      <c r="E1057" s="114" t="s">
        <v>22</v>
      </c>
      <c r="F1057" s="109" t="s">
        <v>2416</v>
      </c>
      <c r="G1057" s="111" t="s">
        <v>2078</v>
      </c>
    </row>
    <row r="1058" customFormat="false" ht="15" hidden="false" customHeight="false" outlineLevel="0" collapsed="false">
      <c r="A1058" s="109" t="s">
        <v>96</v>
      </c>
      <c r="B1058" s="109" t="s">
        <v>101</v>
      </c>
      <c r="C1058" s="109" t="s">
        <v>520</v>
      </c>
      <c r="D1058" s="109" t="s">
        <v>59</v>
      </c>
      <c r="E1058" s="112" t="s">
        <v>16</v>
      </c>
      <c r="F1058" s="109" t="s">
        <v>2417</v>
      </c>
      <c r="G1058" s="111" t="s">
        <v>945</v>
      </c>
    </row>
    <row r="1059" customFormat="false" ht="15" hidden="false" customHeight="false" outlineLevel="0" collapsed="false">
      <c r="A1059" s="109" t="s">
        <v>96</v>
      </c>
      <c r="B1059" s="109" t="s">
        <v>101</v>
      </c>
      <c r="C1059" s="109" t="s">
        <v>520</v>
      </c>
      <c r="D1059" s="109" t="s">
        <v>63</v>
      </c>
      <c r="E1059" s="110" t="s">
        <v>18</v>
      </c>
      <c r="F1059" s="109" t="s">
        <v>2418</v>
      </c>
      <c r="G1059" s="111" t="s">
        <v>2190</v>
      </c>
    </row>
    <row r="1060" customFormat="false" ht="15" hidden="false" customHeight="false" outlineLevel="0" collapsed="false">
      <c r="A1060" s="109" t="s">
        <v>96</v>
      </c>
      <c r="B1060" s="109" t="s">
        <v>101</v>
      </c>
      <c r="C1060" s="109" t="s">
        <v>520</v>
      </c>
      <c r="D1060" s="109" t="s">
        <v>67</v>
      </c>
      <c r="E1060" s="112" t="s">
        <v>16</v>
      </c>
      <c r="F1060" s="109" t="s">
        <v>2419</v>
      </c>
      <c r="G1060" s="111" t="s">
        <v>2082</v>
      </c>
    </row>
    <row r="1061" customFormat="false" ht="23.85" hidden="false" customHeight="false" outlineLevel="0" collapsed="false">
      <c r="A1061" s="109" t="s">
        <v>96</v>
      </c>
      <c r="B1061" s="109" t="s">
        <v>101</v>
      </c>
      <c r="C1061" s="109" t="s">
        <v>520</v>
      </c>
      <c r="D1061" s="109" t="s">
        <v>71</v>
      </c>
      <c r="E1061" s="114" t="s">
        <v>22</v>
      </c>
      <c r="F1061" s="109" t="s">
        <v>2420</v>
      </c>
      <c r="G1061" s="111" t="s">
        <v>884</v>
      </c>
    </row>
    <row r="1062" customFormat="false" ht="23.85" hidden="false" customHeight="false" outlineLevel="0" collapsed="false">
      <c r="A1062" s="109" t="s">
        <v>96</v>
      </c>
      <c r="B1062" s="109" t="s">
        <v>101</v>
      </c>
      <c r="C1062" s="109" t="s">
        <v>522</v>
      </c>
      <c r="D1062" s="109" t="s">
        <v>35</v>
      </c>
      <c r="E1062" s="110" t="s">
        <v>18</v>
      </c>
      <c r="F1062" s="109" t="s">
        <v>2421</v>
      </c>
      <c r="G1062" s="111" t="s">
        <v>2411</v>
      </c>
    </row>
    <row r="1063" customFormat="false" ht="15" hidden="false" customHeight="false" outlineLevel="0" collapsed="false">
      <c r="A1063" s="109" t="s">
        <v>96</v>
      </c>
      <c r="B1063" s="109" t="s">
        <v>101</v>
      </c>
      <c r="C1063" s="109" t="s">
        <v>522</v>
      </c>
      <c r="D1063" s="109" t="s">
        <v>39</v>
      </c>
      <c r="E1063" s="115" t="s">
        <v>20</v>
      </c>
      <c r="F1063" s="109" t="s">
        <v>2422</v>
      </c>
      <c r="G1063" s="111" t="s">
        <v>2181</v>
      </c>
    </row>
    <row r="1064" customFormat="false" ht="15" hidden="false" customHeight="false" outlineLevel="0" collapsed="false">
      <c r="A1064" s="109" t="s">
        <v>96</v>
      </c>
      <c r="B1064" s="109" t="s">
        <v>101</v>
      </c>
      <c r="C1064" s="109" t="s">
        <v>522</v>
      </c>
      <c r="D1064" s="109" t="s">
        <v>43</v>
      </c>
      <c r="E1064" s="115" t="s">
        <v>20</v>
      </c>
      <c r="F1064" s="109" t="s">
        <v>2423</v>
      </c>
      <c r="G1064" s="111" t="s">
        <v>2183</v>
      </c>
    </row>
    <row r="1065" customFormat="false" ht="15" hidden="false" customHeight="false" outlineLevel="0" collapsed="false">
      <c r="A1065" s="109" t="s">
        <v>96</v>
      </c>
      <c r="B1065" s="109" t="s">
        <v>101</v>
      </c>
      <c r="C1065" s="109" t="s">
        <v>522</v>
      </c>
      <c r="D1065" s="109" t="s">
        <v>47</v>
      </c>
      <c r="E1065" s="115" t="s">
        <v>20</v>
      </c>
      <c r="F1065" s="109" t="s">
        <v>2424</v>
      </c>
      <c r="G1065" s="111" t="s">
        <v>2185</v>
      </c>
    </row>
    <row r="1066" customFormat="false" ht="15" hidden="false" customHeight="false" outlineLevel="0" collapsed="false">
      <c r="A1066" s="109" t="s">
        <v>96</v>
      </c>
      <c r="B1066" s="109" t="s">
        <v>101</v>
      </c>
      <c r="C1066" s="109" t="s">
        <v>522</v>
      </c>
      <c r="D1066" s="109" t="s">
        <v>51</v>
      </c>
      <c r="E1066" s="110" t="s">
        <v>18</v>
      </c>
      <c r="F1066" s="109" t="s">
        <v>2425</v>
      </c>
      <c r="G1066" s="111" t="s">
        <v>2132</v>
      </c>
    </row>
    <row r="1067" customFormat="false" ht="15" hidden="false" customHeight="false" outlineLevel="0" collapsed="false">
      <c r="A1067" s="109" t="s">
        <v>96</v>
      </c>
      <c r="B1067" s="109" t="s">
        <v>101</v>
      </c>
      <c r="C1067" s="109" t="s">
        <v>522</v>
      </c>
      <c r="D1067" s="109" t="s">
        <v>55</v>
      </c>
      <c r="E1067" s="114" t="s">
        <v>22</v>
      </c>
      <c r="F1067" s="109" t="s">
        <v>2426</v>
      </c>
      <c r="G1067" s="111" t="s">
        <v>2427</v>
      </c>
    </row>
    <row r="1068" customFormat="false" ht="23.85" hidden="false" customHeight="false" outlineLevel="0" collapsed="false">
      <c r="A1068" s="109" t="s">
        <v>96</v>
      </c>
      <c r="B1068" s="109" t="s">
        <v>101</v>
      </c>
      <c r="C1068" s="109" t="s">
        <v>522</v>
      </c>
      <c r="D1068" s="109" t="s">
        <v>59</v>
      </c>
      <c r="E1068" s="112" t="s">
        <v>16</v>
      </c>
      <c r="F1068" s="109" t="s">
        <v>2428</v>
      </c>
      <c r="G1068" s="111" t="s">
        <v>945</v>
      </c>
    </row>
    <row r="1069" customFormat="false" ht="15" hidden="false" customHeight="false" outlineLevel="0" collapsed="false">
      <c r="A1069" s="109" t="s">
        <v>96</v>
      </c>
      <c r="B1069" s="109" t="s">
        <v>101</v>
      </c>
      <c r="C1069" s="109" t="s">
        <v>522</v>
      </c>
      <c r="D1069" s="109" t="s">
        <v>63</v>
      </c>
      <c r="E1069" s="110" t="s">
        <v>18</v>
      </c>
      <c r="F1069" s="109" t="s">
        <v>2429</v>
      </c>
      <c r="G1069" s="111" t="s">
        <v>2190</v>
      </c>
    </row>
    <row r="1070" customFormat="false" ht="23.85" hidden="false" customHeight="false" outlineLevel="0" collapsed="false">
      <c r="A1070" s="109" t="s">
        <v>96</v>
      </c>
      <c r="B1070" s="109" t="s">
        <v>101</v>
      </c>
      <c r="C1070" s="109" t="s">
        <v>522</v>
      </c>
      <c r="D1070" s="109" t="s">
        <v>67</v>
      </c>
      <c r="E1070" s="112" t="s">
        <v>16</v>
      </c>
      <c r="F1070" s="109" t="s">
        <v>2430</v>
      </c>
      <c r="G1070" s="111" t="s">
        <v>2082</v>
      </c>
    </row>
    <row r="1071" customFormat="false" ht="15" hidden="false" customHeight="false" outlineLevel="0" collapsed="false">
      <c r="A1071" s="109" t="s">
        <v>96</v>
      </c>
      <c r="B1071" s="109" t="s">
        <v>101</v>
      </c>
      <c r="C1071" s="109" t="s">
        <v>522</v>
      </c>
      <c r="D1071" s="109" t="s">
        <v>71</v>
      </c>
      <c r="E1071" s="112" t="s">
        <v>16</v>
      </c>
      <c r="F1071" s="109" t="s">
        <v>2431</v>
      </c>
      <c r="G1071" s="111" t="s">
        <v>1727</v>
      </c>
    </row>
    <row r="1072" customFormat="false" ht="15" hidden="false" customHeight="false" outlineLevel="0" collapsed="false">
      <c r="A1072" s="109" t="s">
        <v>96</v>
      </c>
      <c r="B1072" s="109" t="s">
        <v>101</v>
      </c>
      <c r="C1072" s="109" t="s">
        <v>523</v>
      </c>
      <c r="D1072" s="109" t="s">
        <v>35</v>
      </c>
      <c r="E1072" s="112" t="s">
        <v>16</v>
      </c>
      <c r="F1072" s="109" t="s">
        <v>2432</v>
      </c>
      <c r="G1072" s="111" t="s">
        <v>2433</v>
      </c>
    </row>
    <row r="1073" customFormat="false" ht="15" hidden="false" customHeight="false" outlineLevel="0" collapsed="false">
      <c r="A1073" s="109" t="s">
        <v>96</v>
      </c>
      <c r="B1073" s="109" t="s">
        <v>101</v>
      </c>
      <c r="C1073" s="109" t="s">
        <v>523</v>
      </c>
      <c r="D1073" s="109" t="s">
        <v>39</v>
      </c>
      <c r="E1073" s="115" t="s">
        <v>20</v>
      </c>
      <c r="F1073" s="109" t="s">
        <v>2434</v>
      </c>
      <c r="G1073" s="111" t="s">
        <v>2435</v>
      </c>
    </row>
    <row r="1074" customFormat="false" ht="15" hidden="false" customHeight="false" outlineLevel="0" collapsed="false">
      <c r="A1074" s="109" t="s">
        <v>96</v>
      </c>
      <c r="B1074" s="109" t="s">
        <v>101</v>
      </c>
      <c r="C1074" s="109" t="s">
        <v>523</v>
      </c>
      <c r="D1074" s="109" t="s">
        <v>43</v>
      </c>
      <c r="E1074" s="115" t="s">
        <v>20</v>
      </c>
      <c r="F1074" s="109" t="s">
        <v>2436</v>
      </c>
      <c r="G1074" s="111" t="s">
        <v>2183</v>
      </c>
    </row>
    <row r="1075" customFormat="false" ht="23.85" hidden="false" customHeight="false" outlineLevel="0" collapsed="false">
      <c r="A1075" s="109" t="s">
        <v>96</v>
      </c>
      <c r="B1075" s="109" t="s">
        <v>101</v>
      </c>
      <c r="C1075" s="109" t="s">
        <v>523</v>
      </c>
      <c r="D1075" s="109" t="s">
        <v>47</v>
      </c>
      <c r="E1075" s="115" t="s">
        <v>20</v>
      </c>
      <c r="F1075" s="109" t="s">
        <v>2437</v>
      </c>
      <c r="G1075" s="111" t="s">
        <v>2185</v>
      </c>
    </row>
    <row r="1076" customFormat="false" ht="15" hidden="false" customHeight="false" outlineLevel="0" collapsed="false">
      <c r="A1076" s="109" t="s">
        <v>96</v>
      </c>
      <c r="B1076" s="109" t="s">
        <v>101</v>
      </c>
      <c r="C1076" s="109" t="s">
        <v>523</v>
      </c>
      <c r="D1076" s="109" t="s">
        <v>51</v>
      </c>
      <c r="E1076" s="110" t="s">
        <v>18</v>
      </c>
      <c r="F1076" s="109" t="s">
        <v>2438</v>
      </c>
      <c r="G1076" s="111" t="s">
        <v>2132</v>
      </c>
    </row>
    <row r="1077" customFormat="false" ht="15" hidden="false" customHeight="false" outlineLevel="0" collapsed="false">
      <c r="A1077" s="109" t="s">
        <v>96</v>
      </c>
      <c r="B1077" s="109" t="s">
        <v>101</v>
      </c>
      <c r="C1077" s="109" t="s">
        <v>523</v>
      </c>
      <c r="D1077" s="109" t="s">
        <v>55</v>
      </c>
      <c r="E1077" s="110" t="s">
        <v>18</v>
      </c>
      <c r="F1077" s="109" t="s">
        <v>2439</v>
      </c>
      <c r="G1077" s="111" t="s">
        <v>2440</v>
      </c>
    </row>
    <row r="1078" customFormat="false" ht="15" hidden="false" customHeight="false" outlineLevel="0" collapsed="false">
      <c r="A1078" s="109" t="s">
        <v>96</v>
      </c>
      <c r="B1078" s="109" t="s">
        <v>101</v>
      </c>
      <c r="C1078" s="109" t="s">
        <v>523</v>
      </c>
      <c r="D1078" s="109" t="s">
        <v>59</v>
      </c>
      <c r="E1078" s="110" t="s">
        <v>18</v>
      </c>
      <c r="F1078" s="109" t="s">
        <v>2441</v>
      </c>
      <c r="G1078" s="111" t="s">
        <v>2442</v>
      </c>
    </row>
    <row r="1079" customFormat="false" ht="15" hidden="false" customHeight="false" outlineLevel="0" collapsed="false">
      <c r="A1079" s="109" t="s">
        <v>96</v>
      </c>
      <c r="B1079" s="109" t="s">
        <v>101</v>
      </c>
      <c r="C1079" s="109" t="s">
        <v>523</v>
      </c>
      <c r="D1079" s="109" t="s">
        <v>63</v>
      </c>
      <c r="E1079" s="114" t="s">
        <v>22</v>
      </c>
      <c r="F1079" s="109" t="s">
        <v>2443</v>
      </c>
      <c r="G1079" s="111" t="s">
        <v>2444</v>
      </c>
    </row>
    <row r="1080" customFormat="false" ht="23.85" hidden="false" customHeight="false" outlineLevel="0" collapsed="false">
      <c r="A1080" s="109" t="s">
        <v>96</v>
      </c>
      <c r="B1080" s="109" t="s">
        <v>101</v>
      </c>
      <c r="C1080" s="109" t="s">
        <v>523</v>
      </c>
      <c r="D1080" s="109" t="s">
        <v>67</v>
      </c>
      <c r="E1080" s="112" t="s">
        <v>16</v>
      </c>
      <c r="F1080" s="109" t="s">
        <v>2445</v>
      </c>
      <c r="G1080" s="111" t="s">
        <v>2082</v>
      </c>
    </row>
    <row r="1081" customFormat="false" ht="15" hidden="false" customHeight="false" outlineLevel="0" collapsed="false">
      <c r="A1081" s="109" t="s">
        <v>96</v>
      </c>
      <c r="B1081" s="109" t="s">
        <v>101</v>
      </c>
      <c r="C1081" s="109" t="s">
        <v>523</v>
      </c>
      <c r="D1081" s="109" t="s">
        <v>71</v>
      </c>
      <c r="E1081" s="113" t="s">
        <v>24</v>
      </c>
      <c r="F1081" s="109" t="s">
        <v>2446</v>
      </c>
      <c r="G1081" s="109"/>
    </row>
    <row r="1082" customFormat="false" ht="23.85" hidden="false" customHeight="false" outlineLevel="0" collapsed="false">
      <c r="A1082" s="109" t="s">
        <v>96</v>
      </c>
      <c r="B1082" s="109" t="s">
        <v>101</v>
      </c>
      <c r="C1082" s="109" t="s">
        <v>525</v>
      </c>
      <c r="D1082" s="109" t="s">
        <v>35</v>
      </c>
      <c r="E1082" s="115" t="s">
        <v>20</v>
      </c>
      <c r="F1082" s="109" t="s">
        <v>2447</v>
      </c>
      <c r="G1082" s="111" t="s">
        <v>2448</v>
      </c>
    </row>
    <row r="1083" customFormat="false" ht="15" hidden="false" customHeight="false" outlineLevel="0" collapsed="false">
      <c r="A1083" s="109" t="s">
        <v>96</v>
      </c>
      <c r="B1083" s="109" t="s">
        <v>101</v>
      </c>
      <c r="C1083" s="109" t="s">
        <v>525</v>
      </c>
      <c r="D1083" s="109" t="s">
        <v>39</v>
      </c>
      <c r="E1083" s="115" t="s">
        <v>20</v>
      </c>
      <c r="F1083" s="109" t="s">
        <v>2449</v>
      </c>
      <c r="G1083" s="111" t="s">
        <v>2450</v>
      </c>
    </row>
    <row r="1084" customFormat="false" ht="15" hidden="false" customHeight="false" outlineLevel="0" collapsed="false">
      <c r="A1084" s="109" t="s">
        <v>96</v>
      </c>
      <c r="B1084" s="109" t="s">
        <v>101</v>
      </c>
      <c r="C1084" s="109" t="s">
        <v>525</v>
      </c>
      <c r="D1084" s="109" t="s">
        <v>43</v>
      </c>
      <c r="E1084" s="115" t="s">
        <v>20</v>
      </c>
      <c r="F1084" s="109" t="s">
        <v>2451</v>
      </c>
      <c r="G1084" s="111" t="s">
        <v>2183</v>
      </c>
    </row>
    <row r="1085" customFormat="false" ht="15" hidden="false" customHeight="false" outlineLevel="0" collapsed="false">
      <c r="A1085" s="109" t="s">
        <v>96</v>
      </c>
      <c r="B1085" s="109" t="s">
        <v>101</v>
      </c>
      <c r="C1085" s="109" t="s">
        <v>525</v>
      </c>
      <c r="D1085" s="109" t="s">
        <v>47</v>
      </c>
      <c r="E1085" s="115" t="s">
        <v>20</v>
      </c>
      <c r="F1085" s="109" t="s">
        <v>2452</v>
      </c>
      <c r="G1085" s="111" t="s">
        <v>2185</v>
      </c>
    </row>
    <row r="1086" customFormat="false" ht="23.85" hidden="false" customHeight="false" outlineLevel="0" collapsed="false">
      <c r="A1086" s="109" t="s">
        <v>96</v>
      </c>
      <c r="B1086" s="109" t="s">
        <v>101</v>
      </c>
      <c r="C1086" s="109" t="s">
        <v>525</v>
      </c>
      <c r="D1086" s="109" t="s">
        <v>51</v>
      </c>
      <c r="E1086" s="110" t="s">
        <v>18</v>
      </c>
      <c r="F1086" s="109" t="s">
        <v>2453</v>
      </c>
      <c r="G1086" s="111" t="s">
        <v>2132</v>
      </c>
    </row>
    <row r="1087" customFormat="false" ht="15" hidden="false" customHeight="false" outlineLevel="0" collapsed="false">
      <c r="A1087" s="109" t="s">
        <v>96</v>
      </c>
      <c r="B1087" s="109" t="s">
        <v>101</v>
      </c>
      <c r="C1087" s="109" t="s">
        <v>525</v>
      </c>
      <c r="D1087" s="109" t="s">
        <v>55</v>
      </c>
      <c r="E1087" s="115" t="s">
        <v>20</v>
      </c>
      <c r="F1087" s="109" t="s">
        <v>2454</v>
      </c>
      <c r="G1087" s="111" t="s">
        <v>2455</v>
      </c>
    </row>
    <row r="1088" customFormat="false" ht="15" hidden="false" customHeight="false" outlineLevel="0" collapsed="false">
      <c r="A1088" s="109" t="s">
        <v>96</v>
      </c>
      <c r="B1088" s="109" t="s">
        <v>101</v>
      </c>
      <c r="C1088" s="109" t="s">
        <v>525</v>
      </c>
      <c r="D1088" s="109" t="s">
        <v>59</v>
      </c>
      <c r="E1088" s="115" t="s">
        <v>20</v>
      </c>
      <c r="F1088" s="109" t="s">
        <v>2456</v>
      </c>
      <c r="G1088" s="111" t="s">
        <v>2457</v>
      </c>
    </row>
    <row r="1089" customFormat="false" ht="15" hidden="false" customHeight="false" outlineLevel="0" collapsed="false">
      <c r="A1089" s="109" t="s">
        <v>96</v>
      </c>
      <c r="B1089" s="109" t="s">
        <v>101</v>
      </c>
      <c r="C1089" s="109" t="s">
        <v>525</v>
      </c>
      <c r="D1089" s="109" t="s">
        <v>63</v>
      </c>
      <c r="E1089" s="114" t="s">
        <v>22</v>
      </c>
      <c r="F1089" s="109" t="s">
        <v>2458</v>
      </c>
      <c r="G1089" s="111" t="s">
        <v>2190</v>
      </c>
    </row>
    <row r="1090" customFormat="false" ht="15" hidden="false" customHeight="false" outlineLevel="0" collapsed="false">
      <c r="A1090" s="109" t="s">
        <v>96</v>
      </c>
      <c r="B1090" s="109" t="s">
        <v>101</v>
      </c>
      <c r="C1090" s="109" t="s">
        <v>525</v>
      </c>
      <c r="D1090" s="109" t="s">
        <v>67</v>
      </c>
      <c r="E1090" s="112" t="s">
        <v>16</v>
      </c>
      <c r="F1090" s="109" t="s">
        <v>2459</v>
      </c>
      <c r="G1090" s="111" t="s">
        <v>2082</v>
      </c>
    </row>
    <row r="1091" customFormat="false" ht="15" hidden="false" customHeight="false" outlineLevel="0" collapsed="false">
      <c r="A1091" s="109" t="s">
        <v>96</v>
      </c>
      <c r="B1091" s="109" t="s">
        <v>101</v>
      </c>
      <c r="C1091" s="109" t="s">
        <v>525</v>
      </c>
      <c r="D1091" s="109" t="s">
        <v>71</v>
      </c>
      <c r="E1091" s="113" t="s">
        <v>24</v>
      </c>
      <c r="F1091" s="109" t="s">
        <v>2460</v>
      </c>
      <c r="G1091" s="109"/>
    </row>
    <row r="1092" customFormat="false" ht="23.85" hidden="false" customHeight="false" outlineLevel="0" collapsed="false">
      <c r="A1092" s="109" t="s">
        <v>96</v>
      </c>
      <c r="B1092" s="109" t="s">
        <v>101</v>
      </c>
      <c r="C1092" s="109" t="s">
        <v>527</v>
      </c>
      <c r="D1092" s="109" t="s">
        <v>35</v>
      </c>
      <c r="E1092" s="114" t="s">
        <v>22</v>
      </c>
      <c r="F1092" s="109" t="s">
        <v>2461</v>
      </c>
      <c r="G1092" s="111" t="s">
        <v>2462</v>
      </c>
    </row>
    <row r="1093" customFormat="false" ht="15" hidden="false" customHeight="false" outlineLevel="0" collapsed="false">
      <c r="A1093" s="109" t="s">
        <v>96</v>
      </c>
      <c r="B1093" s="109" t="s">
        <v>101</v>
      </c>
      <c r="C1093" s="109" t="s">
        <v>527</v>
      </c>
      <c r="D1093" s="109" t="s">
        <v>39</v>
      </c>
      <c r="E1093" s="114" t="s">
        <v>22</v>
      </c>
      <c r="F1093" s="109" t="s">
        <v>2463</v>
      </c>
      <c r="G1093" s="111" t="s">
        <v>2464</v>
      </c>
    </row>
    <row r="1094" customFormat="false" ht="15" hidden="false" customHeight="false" outlineLevel="0" collapsed="false">
      <c r="A1094" s="109" t="s">
        <v>96</v>
      </c>
      <c r="B1094" s="109" t="s">
        <v>101</v>
      </c>
      <c r="C1094" s="109" t="s">
        <v>527</v>
      </c>
      <c r="D1094" s="109" t="s">
        <v>43</v>
      </c>
      <c r="E1094" s="115" t="s">
        <v>20</v>
      </c>
      <c r="F1094" s="109" t="s">
        <v>2465</v>
      </c>
      <c r="G1094" s="111" t="s">
        <v>2183</v>
      </c>
    </row>
    <row r="1095" customFormat="false" ht="23.85" hidden="false" customHeight="false" outlineLevel="0" collapsed="false">
      <c r="A1095" s="109" t="s">
        <v>96</v>
      </c>
      <c r="B1095" s="109" t="s">
        <v>101</v>
      </c>
      <c r="C1095" s="109" t="s">
        <v>527</v>
      </c>
      <c r="D1095" s="109" t="s">
        <v>47</v>
      </c>
      <c r="E1095" s="115" t="s">
        <v>20</v>
      </c>
      <c r="F1095" s="109" t="s">
        <v>2466</v>
      </c>
      <c r="G1095" s="111" t="s">
        <v>2185</v>
      </c>
    </row>
    <row r="1096" customFormat="false" ht="15" hidden="false" customHeight="false" outlineLevel="0" collapsed="false">
      <c r="A1096" s="109" t="s">
        <v>96</v>
      </c>
      <c r="B1096" s="109" t="s">
        <v>101</v>
      </c>
      <c r="C1096" s="109" t="s">
        <v>527</v>
      </c>
      <c r="D1096" s="109" t="s">
        <v>51</v>
      </c>
      <c r="E1096" s="110" t="s">
        <v>18</v>
      </c>
      <c r="F1096" s="109" t="s">
        <v>2467</v>
      </c>
      <c r="G1096" s="111" t="s">
        <v>2132</v>
      </c>
    </row>
    <row r="1097" customFormat="false" ht="15" hidden="false" customHeight="false" outlineLevel="0" collapsed="false">
      <c r="A1097" s="109" t="s">
        <v>96</v>
      </c>
      <c r="B1097" s="109" t="s">
        <v>101</v>
      </c>
      <c r="C1097" s="109" t="s">
        <v>527</v>
      </c>
      <c r="D1097" s="109" t="s">
        <v>55</v>
      </c>
      <c r="E1097" s="114" t="s">
        <v>22</v>
      </c>
      <c r="F1097" s="109" t="s">
        <v>2468</v>
      </c>
      <c r="G1097" s="111" t="s">
        <v>2469</v>
      </c>
    </row>
    <row r="1098" customFormat="false" ht="15" hidden="false" customHeight="false" outlineLevel="0" collapsed="false">
      <c r="A1098" s="109" t="s">
        <v>96</v>
      </c>
      <c r="B1098" s="109" t="s">
        <v>101</v>
      </c>
      <c r="C1098" s="109" t="s">
        <v>527</v>
      </c>
      <c r="D1098" s="109" t="s">
        <v>59</v>
      </c>
      <c r="E1098" s="112" t="s">
        <v>16</v>
      </c>
      <c r="F1098" s="109" t="s">
        <v>2470</v>
      </c>
      <c r="G1098" s="111" t="s">
        <v>945</v>
      </c>
    </row>
    <row r="1099" customFormat="false" ht="15" hidden="false" customHeight="false" outlineLevel="0" collapsed="false">
      <c r="A1099" s="109" t="s">
        <v>96</v>
      </c>
      <c r="B1099" s="109" t="s">
        <v>101</v>
      </c>
      <c r="C1099" s="109" t="s">
        <v>527</v>
      </c>
      <c r="D1099" s="109" t="s">
        <v>63</v>
      </c>
      <c r="E1099" s="114" t="s">
        <v>22</v>
      </c>
      <c r="F1099" s="109" t="s">
        <v>2471</v>
      </c>
      <c r="G1099" s="109"/>
    </row>
    <row r="1100" customFormat="false" ht="15" hidden="false" customHeight="false" outlineLevel="0" collapsed="false">
      <c r="A1100" s="109" t="s">
        <v>96</v>
      </c>
      <c r="B1100" s="109" t="s">
        <v>101</v>
      </c>
      <c r="C1100" s="109" t="s">
        <v>527</v>
      </c>
      <c r="D1100" s="109" t="s">
        <v>67</v>
      </c>
      <c r="E1100" s="114" t="s">
        <v>22</v>
      </c>
      <c r="F1100" s="109" t="s">
        <v>2472</v>
      </c>
      <c r="G1100" s="111" t="s">
        <v>2082</v>
      </c>
    </row>
    <row r="1101" customFormat="false" ht="15" hidden="false" customHeight="false" outlineLevel="0" collapsed="false">
      <c r="A1101" s="109" t="s">
        <v>96</v>
      </c>
      <c r="B1101" s="109" t="s">
        <v>101</v>
      </c>
      <c r="C1101" s="109" t="s">
        <v>527</v>
      </c>
      <c r="D1101" s="109" t="s">
        <v>71</v>
      </c>
      <c r="E1101" s="113" t="s">
        <v>24</v>
      </c>
      <c r="F1101" s="109" t="s">
        <v>2473</v>
      </c>
      <c r="G1101" s="109"/>
    </row>
    <row r="1102" customFormat="false" ht="15" hidden="false" customHeight="false" outlineLevel="0" collapsed="false">
      <c r="A1102" s="109" t="s">
        <v>96</v>
      </c>
      <c r="B1102" s="109" t="s">
        <v>101</v>
      </c>
      <c r="C1102" s="109" t="s">
        <v>529</v>
      </c>
      <c r="D1102" s="109" t="s">
        <v>35</v>
      </c>
      <c r="E1102" s="115" t="s">
        <v>20</v>
      </c>
      <c r="F1102" s="109" t="s">
        <v>2474</v>
      </c>
      <c r="G1102" s="111" t="s">
        <v>2448</v>
      </c>
    </row>
    <row r="1103" customFormat="false" ht="15" hidden="false" customHeight="false" outlineLevel="0" collapsed="false">
      <c r="A1103" s="109" t="s">
        <v>96</v>
      </c>
      <c r="B1103" s="109" t="s">
        <v>101</v>
      </c>
      <c r="C1103" s="109" t="s">
        <v>529</v>
      </c>
      <c r="D1103" s="109" t="s">
        <v>39</v>
      </c>
      <c r="E1103" s="115" t="s">
        <v>20</v>
      </c>
      <c r="F1103" s="109" t="s">
        <v>2475</v>
      </c>
      <c r="G1103" s="111" t="s">
        <v>2476</v>
      </c>
    </row>
    <row r="1104" customFormat="false" ht="15" hidden="false" customHeight="false" outlineLevel="0" collapsed="false">
      <c r="A1104" s="109" t="s">
        <v>96</v>
      </c>
      <c r="B1104" s="109" t="s">
        <v>101</v>
      </c>
      <c r="C1104" s="109" t="s">
        <v>529</v>
      </c>
      <c r="D1104" s="109" t="s">
        <v>43</v>
      </c>
      <c r="E1104" s="115" t="s">
        <v>20</v>
      </c>
      <c r="F1104" s="109" t="s">
        <v>2477</v>
      </c>
      <c r="G1104" s="111" t="s">
        <v>2478</v>
      </c>
    </row>
    <row r="1105" customFormat="false" ht="15" hidden="false" customHeight="false" outlineLevel="0" collapsed="false">
      <c r="A1105" s="109" t="s">
        <v>96</v>
      </c>
      <c r="B1105" s="109" t="s">
        <v>101</v>
      </c>
      <c r="C1105" s="109" t="s">
        <v>529</v>
      </c>
      <c r="D1105" s="109" t="s">
        <v>47</v>
      </c>
      <c r="E1105" s="115" t="s">
        <v>20</v>
      </c>
      <c r="F1105" s="109" t="s">
        <v>2479</v>
      </c>
      <c r="G1105" s="111" t="s">
        <v>2185</v>
      </c>
    </row>
    <row r="1106" customFormat="false" ht="23.85" hidden="false" customHeight="false" outlineLevel="0" collapsed="false">
      <c r="A1106" s="109" t="s">
        <v>96</v>
      </c>
      <c r="B1106" s="109" t="s">
        <v>101</v>
      </c>
      <c r="C1106" s="109" t="s">
        <v>529</v>
      </c>
      <c r="D1106" s="109" t="s">
        <v>51</v>
      </c>
      <c r="E1106" s="110" t="s">
        <v>18</v>
      </c>
      <c r="F1106" s="109" t="s">
        <v>2480</v>
      </c>
      <c r="G1106" s="111" t="s">
        <v>2132</v>
      </c>
    </row>
    <row r="1107" customFormat="false" ht="15" hidden="false" customHeight="false" outlineLevel="0" collapsed="false">
      <c r="A1107" s="109" t="s">
        <v>96</v>
      </c>
      <c r="B1107" s="109" t="s">
        <v>101</v>
      </c>
      <c r="C1107" s="109" t="s">
        <v>529</v>
      </c>
      <c r="D1107" s="109" t="s">
        <v>55</v>
      </c>
      <c r="E1107" s="115" t="s">
        <v>20</v>
      </c>
      <c r="F1107" s="109" t="s">
        <v>2481</v>
      </c>
      <c r="G1107" s="111" t="s">
        <v>2455</v>
      </c>
    </row>
    <row r="1108" customFormat="false" ht="15" hidden="false" customHeight="false" outlineLevel="0" collapsed="false">
      <c r="A1108" s="109" t="s">
        <v>96</v>
      </c>
      <c r="B1108" s="109" t="s">
        <v>101</v>
      </c>
      <c r="C1108" s="109" t="s">
        <v>529</v>
      </c>
      <c r="D1108" s="109" t="s">
        <v>59</v>
      </c>
      <c r="E1108" s="110" t="s">
        <v>18</v>
      </c>
      <c r="F1108" s="109" t="s">
        <v>2482</v>
      </c>
      <c r="G1108" s="111" t="s">
        <v>2483</v>
      </c>
    </row>
    <row r="1109" customFormat="false" ht="15" hidden="false" customHeight="false" outlineLevel="0" collapsed="false">
      <c r="A1109" s="109" t="s">
        <v>96</v>
      </c>
      <c r="B1109" s="109" t="s">
        <v>101</v>
      </c>
      <c r="C1109" s="109" t="s">
        <v>529</v>
      </c>
      <c r="D1109" s="109" t="s">
        <v>63</v>
      </c>
      <c r="E1109" s="114" t="s">
        <v>22</v>
      </c>
      <c r="F1109" s="109" t="s">
        <v>2484</v>
      </c>
      <c r="G1109" s="111" t="s">
        <v>2190</v>
      </c>
    </row>
    <row r="1110" customFormat="false" ht="15" hidden="false" customHeight="false" outlineLevel="0" collapsed="false">
      <c r="A1110" s="109" t="s">
        <v>96</v>
      </c>
      <c r="B1110" s="109" t="s">
        <v>101</v>
      </c>
      <c r="C1110" s="109" t="s">
        <v>529</v>
      </c>
      <c r="D1110" s="109" t="s">
        <v>67</v>
      </c>
      <c r="E1110" s="114" t="s">
        <v>22</v>
      </c>
      <c r="F1110" s="109" t="s">
        <v>2485</v>
      </c>
      <c r="G1110" s="111" t="s">
        <v>2486</v>
      </c>
    </row>
    <row r="1111" customFormat="false" ht="15" hidden="false" customHeight="false" outlineLevel="0" collapsed="false">
      <c r="A1111" s="109" t="s">
        <v>96</v>
      </c>
      <c r="B1111" s="109" t="s">
        <v>101</v>
      </c>
      <c r="C1111" s="109" t="s">
        <v>529</v>
      </c>
      <c r="D1111" s="109" t="s">
        <v>71</v>
      </c>
      <c r="E1111" s="113" t="s">
        <v>24</v>
      </c>
      <c r="F1111" s="109" t="s">
        <v>2487</v>
      </c>
      <c r="G1111" s="109"/>
    </row>
    <row r="1112" customFormat="false" ht="15" hidden="false" customHeight="false" outlineLevel="0" collapsed="false">
      <c r="A1112" s="109" t="s">
        <v>96</v>
      </c>
      <c r="B1112" s="109" t="s">
        <v>101</v>
      </c>
      <c r="C1112" s="109" t="s">
        <v>531</v>
      </c>
      <c r="D1112" s="109" t="s">
        <v>35</v>
      </c>
      <c r="E1112" s="115" t="s">
        <v>20</v>
      </c>
      <c r="F1112" s="109" t="s">
        <v>2488</v>
      </c>
      <c r="G1112" s="111" t="s">
        <v>2489</v>
      </c>
    </row>
    <row r="1113" customFormat="false" ht="23.85" hidden="false" customHeight="false" outlineLevel="0" collapsed="false">
      <c r="A1113" s="109" t="s">
        <v>96</v>
      </c>
      <c r="B1113" s="109" t="s">
        <v>101</v>
      </c>
      <c r="C1113" s="109" t="s">
        <v>531</v>
      </c>
      <c r="D1113" s="109" t="s">
        <v>39</v>
      </c>
      <c r="E1113" s="114" t="s">
        <v>22</v>
      </c>
      <c r="F1113" s="109" t="s">
        <v>2490</v>
      </c>
      <c r="G1113" s="111" t="s">
        <v>2491</v>
      </c>
    </row>
    <row r="1114" customFormat="false" ht="15" hidden="false" customHeight="false" outlineLevel="0" collapsed="false">
      <c r="A1114" s="109" t="s">
        <v>96</v>
      </c>
      <c r="B1114" s="109" t="s">
        <v>101</v>
      </c>
      <c r="C1114" s="109" t="s">
        <v>531</v>
      </c>
      <c r="D1114" s="109" t="s">
        <v>43</v>
      </c>
      <c r="E1114" s="115" t="s">
        <v>20</v>
      </c>
      <c r="F1114" s="109" t="s">
        <v>2492</v>
      </c>
      <c r="G1114" s="111" t="s">
        <v>2183</v>
      </c>
    </row>
    <row r="1115" customFormat="false" ht="15" hidden="false" customHeight="false" outlineLevel="0" collapsed="false">
      <c r="A1115" s="109" t="s">
        <v>96</v>
      </c>
      <c r="B1115" s="109" t="s">
        <v>101</v>
      </c>
      <c r="C1115" s="109" t="s">
        <v>531</v>
      </c>
      <c r="D1115" s="109" t="s">
        <v>47</v>
      </c>
      <c r="E1115" s="115" t="s">
        <v>20</v>
      </c>
      <c r="F1115" s="109" t="s">
        <v>2493</v>
      </c>
      <c r="G1115" s="111" t="s">
        <v>2185</v>
      </c>
    </row>
    <row r="1116" customFormat="false" ht="23.85" hidden="false" customHeight="false" outlineLevel="0" collapsed="false">
      <c r="A1116" s="109" t="s">
        <v>96</v>
      </c>
      <c r="B1116" s="109" t="s">
        <v>101</v>
      </c>
      <c r="C1116" s="109" t="s">
        <v>531</v>
      </c>
      <c r="D1116" s="109" t="s">
        <v>51</v>
      </c>
      <c r="E1116" s="115" t="s">
        <v>20</v>
      </c>
      <c r="F1116" s="109" t="s">
        <v>2494</v>
      </c>
      <c r="G1116" s="111" t="s">
        <v>2495</v>
      </c>
    </row>
    <row r="1117" customFormat="false" ht="23.85" hidden="false" customHeight="false" outlineLevel="0" collapsed="false">
      <c r="A1117" s="109" t="s">
        <v>96</v>
      </c>
      <c r="B1117" s="109" t="s">
        <v>101</v>
      </c>
      <c r="C1117" s="109" t="s">
        <v>531</v>
      </c>
      <c r="D1117" s="109" t="s">
        <v>55</v>
      </c>
      <c r="E1117" s="114" t="s">
        <v>22</v>
      </c>
      <c r="F1117" s="109" t="s">
        <v>2496</v>
      </c>
      <c r="G1117" s="111" t="s">
        <v>2497</v>
      </c>
    </row>
    <row r="1118" customFormat="false" ht="15" hidden="false" customHeight="false" outlineLevel="0" collapsed="false">
      <c r="A1118" s="109" t="s">
        <v>96</v>
      </c>
      <c r="B1118" s="109" t="s">
        <v>101</v>
      </c>
      <c r="C1118" s="109" t="s">
        <v>531</v>
      </c>
      <c r="D1118" s="109" t="s">
        <v>59</v>
      </c>
      <c r="E1118" s="110" t="s">
        <v>18</v>
      </c>
      <c r="F1118" s="109" t="s">
        <v>2498</v>
      </c>
      <c r="G1118" s="111" t="s">
        <v>2442</v>
      </c>
    </row>
    <row r="1119" customFormat="false" ht="15" hidden="false" customHeight="false" outlineLevel="0" collapsed="false">
      <c r="A1119" s="109" t="s">
        <v>96</v>
      </c>
      <c r="B1119" s="109" t="s">
        <v>101</v>
      </c>
      <c r="C1119" s="109" t="s">
        <v>531</v>
      </c>
      <c r="D1119" s="109" t="s">
        <v>63</v>
      </c>
      <c r="E1119" s="113" t="s">
        <v>24</v>
      </c>
      <c r="F1119" s="109" t="s">
        <v>2499</v>
      </c>
      <c r="G1119" s="109"/>
    </row>
    <row r="1120" customFormat="false" ht="15" hidden="false" customHeight="false" outlineLevel="0" collapsed="false">
      <c r="A1120" s="109" t="s">
        <v>96</v>
      </c>
      <c r="B1120" s="109" t="s">
        <v>101</v>
      </c>
      <c r="C1120" s="109" t="s">
        <v>531</v>
      </c>
      <c r="D1120" s="109" t="s">
        <v>67</v>
      </c>
      <c r="E1120" s="112" t="s">
        <v>16</v>
      </c>
      <c r="F1120" s="109" t="s">
        <v>2500</v>
      </c>
      <c r="G1120" s="111" t="s">
        <v>1988</v>
      </c>
    </row>
    <row r="1121" customFormat="false" ht="15" hidden="false" customHeight="false" outlineLevel="0" collapsed="false">
      <c r="A1121" s="109" t="s">
        <v>96</v>
      </c>
      <c r="B1121" s="109" t="s">
        <v>101</v>
      </c>
      <c r="C1121" s="109" t="s">
        <v>531</v>
      </c>
      <c r="D1121" s="109" t="s">
        <v>71</v>
      </c>
      <c r="E1121" s="113" t="s">
        <v>24</v>
      </c>
      <c r="F1121" s="109" t="s">
        <v>2501</v>
      </c>
      <c r="G1121" s="109"/>
    </row>
    <row r="1122" customFormat="false" ht="23.85" hidden="false" customHeight="false" outlineLevel="0" collapsed="false">
      <c r="A1122" s="109" t="s">
        <v>96</v>
      </c>
      <c r="B1122" s="109" t="s">
        <v>102</v>
      </c>
      <c r="C1122" s="109" t="s">
        <v>536</v>
      </c>
      <c r="D1122" s="109" t="s">
        <v>35</v>
      </c>
      <c r="E1122" s="112" t="s">
        <v>16</v>
      </c>
      <c r="F1122" s="109" t="s">
        <v>2502</v>
      </c>
      <c r="G1122" s="111" t="s">
        <v>2362</v>
      </c>
    </row>
    <row r="1123" customFormat="false" ht="15" hidden="false" customHeight="false" outlineLevel="0" collapsed="false">
      <c r="A1123" s="109" t="s">
        <v>96</v>
      </c>
      <c r="B1123" s="109" t="s">
        <v>102</v>
      </c>
      <c r="C1123" s="109" t="s">
        <v>536</v>
      </c>
      <c r="D1123" s="109" t="s">
        <v>39</v>
      </c>
      <c r="E1123" s="112" t="s">
        <v>16</v>
      </c>
      <c r="F1123" s="109" t="s">
        <v>2503</v>
      </c>
      <c r="G1123" s="111" t="s">
        <v>2364</v>
      </c>
    </row>
    <row r="1124" customFormat="false" ht="15" hidden="false" customHeight="false" outlineLevel="0" collapsed="false">
      <c r="A1124" s="109" t="s">
        <v>96</v>
      </c>
      <c r="B1124" s="109" t="s">
        <v>102</v>
      </c>
      <c r="C1124" s="109" t="s">
        <v>536</v>
      </c>
      <c r="D1124" s="109" t="s">
        <v>43</v>
      </c>
      <c r="E1124" s="110" t="s">
        <v>18</v>
      </c>
      <c r="F1124" s="109" t="s">
        <v>2504</v>
      </c>
      <c r="G1124" s="111" t="s">
        <v>2505</v>
      </c>
    </row>
    <row r="1125" customFormat="false" ht="15" hidden="false" customHeight="false" outlineLevel="0" collapsed="false">
      <c r="A1125" s="109" t="s">
        <v>96</v>
      </c>
      <c r="B1125" s="109" t="s">
        <v>102</v>
      </c>
      <c r="C1125" s="109" t="s">
        <v>536</v>
      </c>
      <c r="D1125" s="109" t="s">
        <v>47</v>
      </c>
      <c r="E1125" s="112" t="s">
        <v>16</v>
      </c>
      <c r="F1125" s="109" t="s">
        <v>2506</v>
      </c>
      <c r="G1125" s="111" t="s">
        <v>2507</v>
      </c>
    </row>
    <row r="1126" customFormat="false" ht="23.85" hidden="false" customHeight="false" outlineLevel="0" collapsed="false">
      <c r="A1126" s="109" t="s">
        <v>96</v>
      </c>
      <c r="B1126" s="109" t="s">
        <v>102</v>
      </c>
      <c r="C1126" s="109" t="s">
        <v>536</v>
      </c>
      <c r="D1126" s="109" t="s">
        <v>51</v>
      </c>
      <c r="E1126" s="110" t="s">
        <v>18</v>
      </c>
      <c r="F1126" s="109" t="s">
        <v>2508</v>
      </c>
      <c r="G1126" s="111" t="s">
        <v>2509</v>
      </c>
    </row>
    <row r="1127" customFormat="false" ht="15" hidden="false" customHeight="false" outlineLevel="0" collapsed="false">
      <c r="A1127" s="109" t="s">
        <v>96</v>
      </c>
      <c r="B1127" s="109" t="s">
        <v>102</v>
      </c>
      <c r="C1127" s="109" t="s">
        <v>536</v>
      </c>
      <c r="D1127" s="109" t="s">
        <v>55</v>
      </c>
      <c r="E1127" s="114" t="s">
        <v>22</v>
      </c>
      <c r="F1127" s="109" t="s">
        <v>2510</v>
      </c>
      <c r="G1127" s="111" t="s">
        <v>2371</v>
      </c>
    </row>
    <row r="1128" customFormat="false" ht="23.85" hidden="false" customHeight="false" outlineLevel="0" collapsed="false">
      <c r="A1128" s="109" t="s">
        <v>96</v>
      </c>
      <c r="B1128" s="109" t="s">
        <v>102</v>
      </c>
      <c r="C1128" s="109" t="s">
        <v>536</v>
      </c>
      <c r="D1128" s="109" t="s">
        <v>59</v>
      </c>
      <c r="E1128" s="110" t="s">
        <v>18</v>
      </c>
      <c r="F1128" s="109" t="s">
        <v>2511</v>
      </c>
      <c r="G1128" s="111" t="s">
        <v>1479</v>
      </c>
    </row>
    <row r="1129" customFormat="false" ht="15" hidden="false" customHeight="false" outlineLevel="0" collapsed="false">
      <c r="A1129" s="109" t="s">
        <v>96</v>
      </c>
      <c r="B1129" s="109" t="s">
        <v>102</v>
      </c>
      <c r="C1129" s="109" t="s">
        <v>536</v>
      </c>
      <c r="D1129" s="109" t="s">
        <v>63</v>
      </c>
      <c r="E1129" s="112" t="s">
        <v>16</v>
      </c>
      <c r="F1129" s="109" t="s">
        <v>2512</v>
      </c>
      <c r="G1129" s="111" t="s">
        <v>2513</v>
      </c>
    </row>
    <row r="1130" customFormat="false" ht="23.85" hidden="false" customHeight="false" outlineLevel="0" collapsed="false">
      <c r="A1130" s="109" t="s">
        <v>96</v>
      </c>
      <c r="B1130" s="109" t="s">
        <v>102</v>
      </c>
      <c r="C1130" s="109" t="s">
        <v>536</v>
      </c>
      <c r="D1130" s="109" t="s">
        <v>67</v>
      </c>
      <c r="E1130" s="112" t="s">
        <v>16</v>
      </c>
      <c r="F1130" s="109" t="s">
        <v>2514</v>
      </c>
      <c r="G1130" s="111" t="s">
        <v>930</v>
      </c>
    </row>
    <row r="1131" customFormat="false" ht="15" hidden="false" customHeight="false" outlineLevel="0" collapsed="false">
      <c r="A1131" s="109" t="s">
        <v>96</v>
      </c>
      <c r="B1131" s="109" t="s">
        <v>102</v>
      </c>
      <c r="C1131" s="109" t="s">
        <v>536</v>
      </c>
      <c r="D1131" s="109" t="s">
        <v>71</v>
      </c>
      <c r="E1131" s="113" t="s">
        <v>24</v>
      </c>
      <c r="F1131" s="109" t="s">
        <v>2515</v>
      </c>
      <c r="G1131" s="111" t="s">
        <v>848</v>
      </c>
    </row>
    <row r="1132" customFormat="false" ht="15" hidden="false" customHeight="false" outlineLevel="0" collapsed="false">
      <c r="A1132" s="109" t="s">
        <v>96</v>
      </c>
      <c r="B1132" s="109" t="s">
        <v>102</v>
      </c>
      <c r="C1132" s="109" t="s">
        <v>538</v>
      </c>
      <c r="D1132" s="109" t="s">
        <v>35</v>
      </c>
      <c r="E1132" s="110" t="s">
        <v>18</v>
      </c>
      <c r="F1132" s="109" t="s">
        <v>2516</v>
      </c>
      <c r="G1132" s="111" t="s">
        <v>2517</v>
      </c>
    </row>
    <row r="1133" customFormat="false" ht="15" hidden="false" customHeight="false" outlineLevel="0" collapsed="false">
      <c r="A1133" s="109" t="s">
        <v>96</v>
      </c>
      <c r="B1133" s="109" t="s">
        <v>102</v>
      </c>
      <c r="C1133" s="109" t="s">
        <v>538</v>
      </c>
      <c r="D1133" s="109" t="s">
        <v>39</v>
      </c>
      <c r="E1133" s="115" t="s">
        <v>20</v>
      </c>
      <c r="F1133" s="109" t="s">
        <v>2518</v>
      </c>
      <c r="G1133" s="111" t="s">
        <v>2519</v>
      </c>
    </row>
    <row r="1134" customFormat="false" ht="23.85" hidden="false" customHeight="false" outlineLevel="0" collapsed="false">
      <c r="A1134" s="109" t="s">
        <v>96</v>
      </c>
      <c r="B1134" s="109" t="s">
        <v>102</v>
      </c>
      <c r="C1134" s="109" t="s">
        <v>538</v>
      </c>
      <c r="D1134" s="109" t="s">
        <v>43</v>
      </c>
      <c r="E1134" s="112" t="s">
        <v>16</v>
      </c>
      <c r="F1134" s="109" t="s">
        <v>2520</v>
      </c>
      <c r="G1134" s="111" t="s">
        <v>2521</v>
      </c>
    </row>
    <row r="1135" customFormat="false" ht="15" hidden="false" customHeight="false" outlineLevel="0" collapsed="false">
      <c r="A1135" s="109" t="s">
        <v>96</v>
      </c>
      <c r="B1135" s="109" t="s">
        <v>102</v>
      </c>
      <c r="C1135" s="109" t="s">
        <v>538</v>
      </c>
      <c r="D1135" s="109" t="s">
        <v>47</v>
      </c>
      <c r="E1135" s="110" t="s">
        <v>18</v>
      </c>
      <c r="F1135" s="109" t="s">
        <v>2522</v>
      </c>
      <c r="G1135" s="111" t="s">
        <v>2523</v>
      </c>
    </row>
    <row r="1136" customFormat="false" ht="23.85" hidden="false" customHeight="false" outlineLevel="0" collapsed="false">
      <c r="A1136" s="109" t="s">
        <v>96</v>
      </c>
      <c r="B1136" s="109" t="s">
        <v>102</v>
      </c>
      <c r="C1136" s="109" t="s">
        <v>538</v>
      </c>
      <c r="D1136" s="109" t="s">
        <v>51</v>
      </c>
      <c r="E1136" s="110" t="s">
        <v>18</v>
      </c>
      <c r="F1136" s="109" t="s">
        <v>2524</v>
      </c>
      <c r="G1136" s="111" t="s">
        <v>2525</v>
      </c>
    </row>
    <row r="1137" customFormat="false" ht="15" hidden="false" customHeight="false" outlineLevel="0" collapsed="false">
      <c r="A1137" s="109" t="s">
        <v>96</v>
      </c>
      <c r="B1137" s="109" t="s">
        <v>102</v>
      </c>
      <c r="C1137" s="109" t="s">
        <v>538</v>
      </c>
      <c r="D1137" s="109" t="s">
        <v>55</v>
      </c>
      <c r="E1137" s="113" t="s">
        <v>24</v>
      </c>
      <c r="F1137" s="109" t="s">
        <v>2526</v>
      </c>
      <c r="G1137" s="111" t="s">
        <v>2527</v>
      </c>
    </row>
    <row r="1138" customFormat="false" ht="15" hidden="false" customHeight="false" outlineLevel="0" collapsed="false">
      <c r="A1138" s="109" t="s">
        <v>96</v>
      </c>
      <c r="B1138" s="109" t="s">
        <v>102</v>
      </c>
      <c r="C1138" s="109" t="s">
        <v>538</v>
      </c>
      <c r="D1138" s="109" t="s">
        <v>59</v>
      </c>
      <c r="E1138" s="113" t="s">
        <v>24</v>
      </c>
      <c r="F1138" s="109" t="s">
        <v>2528</v>
      </c>
      <c r="G1138" s="109"/>
    </row>
    <row r="1139" customFormat="false" ht="15" hidden="false" customHeight="false" outlineLevel="0" collapsed="false">
      <c r="A1139" s="109" t="s">
        <v>96</v>
      </c>
      <c r="B1139" s="109" t="s">
        <v>102</v>
      </c>
      <c r="C1139" s="109" t="s">
        <v>538</v>
      </c>
      <c r="D1139" s="109" t="s">
        <v>63</v>
      </c>
      <c r="E1139" s="112" t="s">
        <v>16</v>
      </c>
      <c r="F1139" s="109" t="s">
        <v>2529</v>
      </c>
      <c r="G1139" s="111" t="s">
        <v>2530</v>
      </c>
    </row>
    <row r="1140" customFormat="false" ht="15" hidden="false" customHeight="false" outlineLevel="0" collapsed="false">
      <c r="A1140" s="109" t="s">
        <v>96</v>
      </c>
      <c r="B1140" s="109" t="s">
        <v>102</v>
      </c>
      <c r="C1140" s="109" t="s">
        <v>538</v>
      </c>
      <c r="D1140" s="109" t="s">
        <v>67</v>
      </c>
      <c r="E1140" s="113" t="s">
        <v>24</v>
      </c>
      <c r="F1140" s="109" t="s">
        <v>2531</v>
      </c>
      <c r="G1140" s="109"/>
    </row>
    <row r="1141" customFormat="false" ht="15" hidden="false" customHeight="false" outlineLevel="0" collapsed="false">
      <c r="A1141" s="109" t="s">
        <v>96</v>
      </c>
      <c r="B1141" s="109" t="s">
        <v>102</v>
      </c>
      <c r="C1141" s="109" t="s">
        <v>538</v>
      </c>
      <c r="D1141" s="109" t="s">
        <v>71</v>
      </c>
      <c r="E1141" s="113" t="s">
        <v>24</v>
      </c>
      <c r="F1141" s="109" t="s">
        <v>2531</v>
      </c>
      <c r="G1141" s="109"/>
    </row>
    <row r="1142" customFormat="false" ht="15" hidden="false" customHeight="false" outlineLevel="0" collapsed="false">
      <c r="A1142" s="109" t="s">
        <v>96</v>
      </c>
      <c r="B1142" s="109" t="s">
        <v>102</v>
      </c>
      <c r="C1142" s="109" t="s">
        <v>540</v>
      </c>
      <c r="D1142" s="109" t="s">
        <v>35</v>
      </c>
      <c r="E1142" s="112" t="s">
        <v>16</v>
      </c>
      <c r="F1142" s="109" t="s">
        <v>2532</v>
      </c>
      <c r="G1142" s="111" t="s">
        <v>2533</v>
      </c>
    </row>
    <row r="1143" customFormat="false" ht="23.85" hidden="false" customHeight="false" outlineLevel="0" collapsed="false">
      <c r="A1143" s="109" t="s">
        <v>96</v>
      </c>
      <c r="B1143" s="109" t="s">
        <v>102</v>
      </c>
      <c r="C1143" s="109" t="s">
        <v>540</v>
      </c>
      <c r="D1143" s="109" t="s">
        <v>39</v>
      </c>
      <c r="E1143" s="112" t="s">
        <v>16</v>
      </c>
      <c r="F1143" s="109" t="s">
        <v>2534</v>
      </c>
      <c r="G1143" s="111" t="s">
        <v>2364</v>
      </c>
    </row>
    <row r="1144" customFormat="false" ht="15" hidden="false" customHeight="false" outlineLevel="0" collapsed="false">
      <c r="A1144" s="109" t="s">
        <v>96</v>
      </c>
      <c r="B1144" s="109" t="s">
        <v>102</v>
      </c>
      <c r="C1144" s="109" t="s">
        <v>540</v>
      </c>
      <c r="D1144" s="109" t="s">
        <v>43</v>
      </c>
      <c r="E1144" s="112" t="s">
        <v>16</v>
      </c>
      <c r="F1144" s="109" t="s">
        <v>2535</v>
      </c>
      <c r="G1144" s="111" t="s">
        <v>2521</v>
      </c>
    </row>
    <row r="1145" customFormat="false" ht="15" hidden="false" customHeight="false" outlineLevel="0" collapsed="false">
      <c r="A1145" s="109" t="s">
        <v>96</v>
      </c>
      <c r="B1145" s="109" t="s">
        <v>102</v>
      </c>
      <c r="C1145" s="109" t="s">
        <v>540</v>
      </c>
      <c r="D1145" s="109" t="s">
        <v>47</v>
      </c>
      <c r="E1145" s="112" t="s">
        <v>16</v>
      </c>
      <c r="F1145" s="109" t="s">
        <v>2536</v>
      </c>
      <c r="G1145" s="111" t="s">
        <v>2260</v>
      </c>
    </row>
    <row r="1146" customFormat="false" ht="15" hidden="false" customHeight="false" outlineLevel="0" collapsed="false">
      <c r="A1146" s="109" t="s">
        <v>96</v>
      </c>
      <c r="B1146" s="109" t="s">
        <v>102</v>
      </c>
      <c r="C1146" s="109" t="s">
        <v>540</v>
      </c>
      <c r="D1146" s="109" t="s">
        <v>51</v>
      </c>
      <c r="E1146" s="114" t="s">
        <v>22</v>
      </c>
      <c r="F1146" s="109" t="s">
        <v>2537</v>
      </c>
      <c r="G1146" s="111" t="s">
        <v>2509</v>
      </c>
    </row>
    <row r="1147" customFormat="false" ht="15" hidden="false" customHeight="false" outlineLevel="0" collapsed="false">
      <c r="A1147" s="109" t="s">
        <v>96</v>
      </c>
      <c r="B1147" s="109" t="s">
        <v>102</v>
      </c>
      <c r="C1147" s="109" t="s">
        <v>540</v>
      </c>
      <c r="D1147" s="109" t="s">
        <v>55</v>
      </c>
      <c r="E1147" s="114" t="s">
        <v>22</v>
      </c>
      <c r="F1147" s="109" t="s">
        <v>2538</v>
      </c>
      <c r="G1147" s="111" t="s">
        <v>1435</v>
      </c>
    </row>
    <row r="1148" customFormat="false" ht="15" hidden="false" customHeight="false" outlineLevel="0" collapsed="false">
      <c r="A1148" s="109" t="s">
        <v>96</v>
      </c>
      <c r="B1148" s="109" t="s">
        <v>102</v>
      </c>
      <c r="C1148" s="109" t="s">
        <v>540</v>
      </c>
      <c r="D1148" s="109" t="s">
        <v>59</v>
      </c>
      <c r="E1148" s="110" t="s">
        <v>18</v>
      </c>
      <c r="F1148" s="109" t="s">
        <v>2539</v>
      </c>
      <c r="G1148" s="111" t="s">
        <v>1479</v>
      </c>
    </row>
    <row r="1149" customFormat="false" ht="15" hidden="false" customHeight="false" outlineLevel="0" collapsed="false">
      <c r="A1149" s="109" t="s">
        <v>96</v>
      </c>
      <c r="B1149" s="109" t="s">
        <v>102</v>
      </c>
      <c r="C1149" s="109" t="s">
        <v>540</v>
      </c>
      <c r="D1149" s="109" t="s">
        <v>63</v>
      </c>
      <c r="E1149" s="112" t="s">
        <v>16</v>
      </c>
      <c r="F1149" s="109" t="s">
        <v>2540</v>
      </c>
      <c r="G1149" s="111" t="s">
        <v>2282</v>
      </c>
    </row>
    <row r="1150" customFormat="false" ht="23.85" hidden="false" customHeight="false" outlineLevel="0" collapsed="false">
      <c r="A1150" s="109" t="s">
        <v>96</v>
      </c>
      <c r="B1150" s="109" t="s">
        <v>102</v>
      </c>
      <c r="C1150" s="109" t="s">
        <v>540</v>
      </c>
      <c r="D1150" s="109" t="s">
        <v>67</v>
      </c>
      <c r="E1150" s="112" t="s">
        <v>16</v>
      </c>
      <c r="F1150" s="109" t="s">
        <v>2541</v>
      </c>
      <c r="G1150" s="111" t="s">
        <v>2542</v>
      </c>
    </row>
    <row r="1151" customFormat="false" ht="15" hidden="false" customHeight="false" outlineLevel="0" collapsed="false">
      <c r="A1151" s="109" t="s">
        <v>96</v>
      </c>
      <c r="B1151" s="109" t="s">
        <v>102</v>
      </c>
      <c r="C1151" s="109" t="s">
        <v>540</v>
      </c>
      <c r="D1151" s="109" t="s">
        <v>71</v>
      </c>
      <c r="E1151" s="113" t="s">
        <v>24</v>
      </c>
      <c r="F1151" s="109" t="s">
        <v>2543</v>
      </c>
      <c r="G1151" s="109"/>
    </row>
    <row r="1152" customFormat="false" ht="15" hidden="false" customHeight="false" outlineLevel="0" collapsed="false">
      <c r="A1152" s="109" t="s">
        <v>96</v>
      </c>
      <c r="B1152" s="109" t="s">
        <v>102</v>
      </c>
      <c r="C1152" s="109" t="s">
        <v>542</v>
      </c>
      <c r="D1152" s="109" t="s">
        <v>35</v>
      </c>
      <c r="E1152" s="112" t="s">
        <v>16</v>
      </c>
      <c r="F1152" s="109" t="s">
        <v>2544</v>
      </c>
      <c r="G1152" s="111" t="s">
        <v>2545</v>
      </c>
    </row>
    <row r="1153" customFormat="false" ht="15" hidden="false" customHeight="false" outlineLevel="0" collapsed="false">
      <c r="A1153" s="109" t="s">
        <v>96</v>
      </c>
      <c r="B1153" s="109" t="s">
        <v>102</v>
      </c>
      <c r="C1153" s="109" t="s">
        <v>542</v>
      </c>
      <c r="D1153" s="109" t="s">
        <v>39</v>
      </c>
      <c r="E1153" s="112" t="s">
        <v>16</v>
      </c>
      <c r="F1153" s="109" t="s">
        <v>2546</v>
      </c>
      <c r="G1153" s="111" t="s">
        <v>2547</v>
      </c>
    </row>
    <row r="1154" customFormat="false" ht="23.85" hidden="false" customHeight="false" outlineLevel="0" collapsed="false">
      <c r="A1154" s="109" t="s">
        <v>96</v>
      </c>
      <c r="B1154" s="109" t="s">
        <v>102</v>
      </c>
      <c r="C1154" s="109" t="s">
        <v>542</v>
      </c>
      <c r="D1154" s="109" t="s">
        <v>43</v>
      </c>
      <c r="E1154" s="112" t="s">
        <v>16</v>
      </c>
      <c r="F1154" s="109" t="s">
        <v>2548</v>
      </c>
      <c r="G1154" s="111" t="s">
        <v>2521</v>
      </c>
    </row>
    <row r="1155" customFormat="false" ht="23.85" hidden="false" customHeight="false" outlineLevel="0" collapsed="false">
      <c r="A1155" s="109" t="s">
        <v>96</v>
      </c>
      <c r="B1155" s="109" t="s">
        <v>102</v>
      </c>
      <c r="C1155" s="109" t="s">
        <v>542</v>
      </c>
      <c r="D1155" s="109" t="s">
        <v>47</v>
      </c>
      <c r="E1155" s="114" t="s">
        <v>22</v>
      </c>
      <c r="F1155" s="109" t="s">
        <v>2549</v>
      </c>
      <c r="G1155" s="111" t="s">
        <v>2507</v>
      </c>
    </row>
    <row r="1156" customFormat="false" ht="15" hidden="false" customHeight="false" outlineLevel="0" collapsed="false">
      <c r="A1156" s="109" t="s">
        <v>96</v>
      </c>
      <c r="B1156" s="109" t="s">
        <v>102</v>
      </c>
      <c r="C1156" s="109" t="s">
        <v>542</v>
      </c>
      <c r="D1156" s="109" t="s">
        <v>51</v>
      </c>
      <c r="E1156" s="110" t="s">
        <v>18</v>
      </c>
      <c r="F1156" s="109" t="s">
        <v>2550</v>
      </c>
      <c r="G1156" s="111" t="s">
        <v>2509</v>
      </c>
    </row>
    <row r="1157" customFormat="false" ht="15" hidden="false" customHeight="false" outlineLevel="0" collapsed="false">
      <c r="A1157" s="109" t="s">
        <v>96</v>
      </c>
      <c r="B1157" s="109" t="s">
        <v>102</v>
      </c>
      <c r="C1157" s="109" t="s">
        <v>542</v>
      </c>
      <c r="D1157" s="109" t="s">
        <v>55</v>
      </c>
      <c r="E1157" s="114" t="s">
        <v>22</v>
      </c>
      <c r="F1157" s="109" t="s">
        <v>2551</v>
      </c>
      <c r="G1157" s="111" t="s">
        <v>1553</v>
      </c>
    </row>
    <row r="1158" customFormat="false" ht="23.85" hidden="false" customHeight="false" outlineLevel="0" collapsed="false">
      <c r="A1158" s="109" t="s">
        <v>96</v>
      </c>
      <c r="B1158" s="109" t="s">
        <v>102</v>
      </c>
      <c r="C1158" s="109" t="s">
        <v>542</v>
      </c>
      <c r="D1158" s="109" t="s">
        <v>59</v>
      </c>
      <c r="E1158" s="110" t="s">
        <v>18</v>
      </c>
      <c r="F1158" s="109" t="s">
        <v>2552</v>
      </c>
      <c r="G1158" s="111" t="s">
        <v>1479</v>
      </c>
    </row>
    <row r="1159" customFormat="false" ht="15" hidden="false" customHeight="false" outlineLevel="0" collapsed="false">
      <c r="A1159" s="109" t="s">
        <v>96</v>
      </c>
      <c r="B1159" s="109" t="s">
        <v>102</v>
      </c>
      <c r="C1159" s="109" t="s">
        <v>542</v>
      </c>
      <c r="D1159" s="109" t="s">
        <v>63</v>
      </c>
      <c r="E1159" s="112" t="s">
        <v>16</v>
      </c>
      <c r="F1159" s="109" t="s">
        <v>2553</v>
      </c>
      <c r="G1159" s="111" t="s">
        <v>1741</v>
      </c>
    </row>
    <row r="1160" customFormat="false" ht="15" hidden="false" customHeight="false" outlineLevel="0" collapsed="false">
      <c r="A1160" s="109" t="s">
        <v>96</v>
      </c>
      <c r="B1160" s="109" t="s">
        <v>102</v>
      </c>
      <c r="C1160" s="109" t="s">
        <v>542</v>
      </c>
      <c r="D1160" s="109" t="s">
        <v>67</v>
      </c>
      <c r="E1160" s="112" t="s">
        <v>16</v>
      </c>
      <c r="F1160" s="109" t="s">
        <v>2554</v>
      </c>
      <c r="G1160" s="111" t="s">
        <v>930</v>
      </c>
    </row>
    <row r="1161" customFormat="false" ht="15" hidden="false" customHeight="false" outlineLevel="0" collapsed="false">
      <c r="A1161" s="109" t="s">
        <v>96</v>
      </c>
      <c r="B1161" s="109" t="s">
        <v>102</v>
      </c>
      <c r="C1161" s="109" t="s">
        <v>542</v>
      </c>
      <c r="D1161" s="109" t="s">
        <v>71</v>
      </c>
      <c r="E1161" s="113" t="s">
        <v>24</v>
      </c>
      <c r="F1161" s="109" t="s">
        <v>2555</v>
      </c>
      <c r="G1161" s="109"/>
    </row>
    <row r="1162" customFormat="false" ht="15" hidden="false" customHeight="false" outlineLevel="0" collapsed="false">
      <c r="A1162" s="109" t="s">
        <v>96</v>
      </c>
      <c r="B1162" s="109" t="s">
        <v>102</v>
      </c>
      <c r="C1162" s="109" t="s">
        <v>544</v>
      </c>
      <c r="D1162" s="109" t="s">
        <v>35</v>
      </c>
      <c r="E1162" s="112" t="s">
        <v>16</v>
      </c>
      <c r="F1162" s="109" t="s">
        <v>2556</v>
      </c>
      <c r="G1162" s="111" t="s">
        <v>2557</v>
      </c>
    </row>
    <row r="1163" customFormat="false" ht="15" hidden="false" customHeight="false" outlineLevel="0" collapsed="false">
      <c r="A1163" s="109" t="s">
        <v>96</v>
      </c>
      <c r="B1163" s="109" t="s">
        <v>102</v>
      </c>
      <c r="C1163" s="109" t="s">
        <v>544</v>
      </c>
      <c r="D1163" s="109" t="s">
        <v>39</v>
      </c>
      <c r="E1163" s="112" t="s">
        <v>16</v>
      </c>
      <c r="F1163" s="109" t="s">
        <v>2558</v>
      </c>
      <c r="G1163" s="111" t="s">
        <v>2364</v>
      </c>
    </row>
    <row r="1164" customFormat="false" ht="23.85" hidden="false" customHeight="false" outlineLevel="0" collapsed="false">
      <c r="A1164" s="109" t="s">
        <v>96</v>
      </c>
      <c r="B1164" s="109" t="s">
        <v>102</v>
      </c>
      <c r="C1164" s="109" t="s">
        <v>544</v>
      </c>
      <c r="D1164" s="109" t="s">
        <v>43</v>
      </c>
      <c r="E1164" s="112" t="s">
        <v>16</v>
      </c>
      <c r="F1164" s="109" t="s">
        <v>2559</v>
      </c>
      <c r="G1164" s="111" t="s">
        <v>2521</v>
      </c>
    </row>
    <row r="1165" customFormat="false" ht="23.85" hidden="false" customHeight="false" outlineLevel="0" collapsed="false">
      <c r="A1165" s="109" t="s">
        <v>96</v>
      </c>
      <c r="B1165" s="109" t="s">
        <v>102</v>
      </c>
      <c r="C1165" s="109" t="s">
        <v>544</v>
      </c>
      <c r="D1165" s="109" t="s">
        <v>47</v>
      </c>
      <c r="E1165" s="114" t="s">
        <v>22</v>
      </c>
      <c r="F1165" s="109" t="s">
        <v>2560</v>
      </c>
      <c r="G1165" s="111" t="s">
        <v>2523</v>
      </c>
    </row>
    <row r="1166" customFormat="false" ht="15" hidden="false" customHeight="false" outlineLevel="0" collapsed="false">
      <c r="A1166" s="109" t="s">
        <v>96</v>
      </c>
      <c r="B1166" s="109" t="s">
        <v>102</v>
      </c>
      <c r="C1166" s="109" t="s">
        <v>544</v>
      </c>
      <c r="D1166" s="109" t="s">
        <v>51</v>
      </c>
      <c r="E1166" s="110" t="s">
        <v>18</v>
      </c>
      <c r="F1166" s="109" t="s">
        <v>2561</v>
      </c>
      <c r="G1166" s="111" t="s">
        <v>2509</v>
      </c>
    </row>
    <row r="1167" customFormat="false" ht="15" hidden="false" customHeight="false" outlineLevel="0" collapsed="false">
      <c r="A1167" s="109" t="s">
        <v>96</v>
      </c>
      <c r="B1167" s="109" t="s">
        <v>102</v>
      </c>
      <c r="C1167" s="109" t="s">
        <v>544</v>
      </c>
      <c r="D1167" s="109" t="s">
        <v>55</v>
      </c>
      <c r="E1167" s="114" t="s">
        <v>22</v>
      </c>
      <c r="F1167" s="109" t="s">
        <v>2562</v>
      </c>
      <c r="G1167" s="111" t="s">
        <v>2371</v>
      </c>
    </row>
    <row r="1168" customFormat="false" ht="15" hidden="false" customHeight="false" outlineLevel="0" collapsed="false">
      <c r="A1168" s="109" t="s">
        <v>96</v>
      </c>
      <c r="B1168" s="109" t="s">
        <v>102</v>
      </c>
      <c r="C1168" s="109" t="s">
        <v>544</v>
      </c>
      <c r="D1168" s="109" t="s">
        <v>59</v>
      </c>
      <c r="E1168" s="110" t="s">
        <v>18</v>
      </c>
      <c r="F1168" s="109" t="s">
        <v>2563</v>
      </c>
      <c r="G1168" s="111" t="s">
        <v>1479</v>
      </c>
    </row>
    <row r="1169" customFormat="false" ht="15" hidden="false" customHeight="false" outlineLevel="0" collapsed="false">
      <c r="A1169" s="109" t="s">
        <v>96</v>
      </c>
      <c r="B1169" s="109" t="s">
        <v>102</v>
      </c>
      <c r="C1169" s="109" t="s">
        <v>544</v>
      </c>
      <c r="D1169" s="109" t="s">
        <v>63</v>
      </c>
      <c r="E1169" s="112" t="s">
        <v>16</v>
      </c>
      <c r="F1169" s="109" t="s">
        <v>2564</v>
      </c>
      <c r="G1169" s="111" t="s">
        <v>1528</v>
      </c>
    </row>
    <row r="1170" customFormat="false" ht="15" hidden="false" customHeight="false" outlineLevel="0" collapsed="false">
      <c r="A1170" s="109" t="s">
        <v>96</v>
      </c>
      <c r="B1170" s="109" t="s">
        <v>102</v>
      </c>
      <c r="C1170" s="109" t="s">
        <v>544</v>
      </c>
      <c r="D1170" s="109" t="s">
        <v>67</v>
      </c>
      <c r="E1170" s="112" t="s">
        <v>16</v>
      </c>
      <c r="F1170" s="109" t="s">
        <v>2565</v>
      </c>
      <c r="G1170" s="111" t="s">
        <v>930</v>
      </c>
    </row>
    <row r="1171" customFormat="false" ht="15" hidden="false" customHeight="false" outlineLevel="0" collapsed="false">
      <c r="A1171" s="109" t="s">
        <v>96</v>
      </c>
      <c r="B1171" s="109" t="s">
        <v>102</v>
      </c>
      <c r="C1171" s="109" t="s">
        <v>544</v>
      </c>
      <c r="D1171" s="109" t="s">
        <v>71</v>
      </c>
      <c r="E1171" s="113" t="s">
        <v>24</v>
      </c>
      <c r="F1171" s="109" t="s">
        <v>2543</v>
      </c>
      <c r="G1171" s="109"/>
    </row>
    <row r="1172" customFormat="false" ht="23.85" hidden="false" customHeight="false" outlineLevel="0" collapsed="false">
      <c r="A1172" s="109" t="s">
        <v>96</v>
      </c>
      <c r="B1172" s="109" t="s">
        <v>102</v>
      </c>
      <c r="C1172" s="109" t="s">
        <v>546</v>
      </c>
      <c r="D1172" s="109" t="s">
        <v>35</v>
      </c>
      <c r="E1172" s="114" t="s">
        <v>22</v>
      </c>
      <c r="F1172" s="109" t="s">
        <v>2566</v>
      </c>
      <c r="G1172" s="111" t="s">
        <v>2567</v>
      </c>
    </row>
    <row r="1173" customFormat="false" ht="23.85" hidden="false" customHeight="false" outlineLevel="0" collapsed="false">
      <c r="A1173" s="109" t="s">
        <v>96</v>
      </c>
      <c r="B1173" s="109" t="s">
        <v>102</v>
      </c>
      <c r="C1173" s="109" t="s">
        <v>546</v>
      </c>
      <c r="D1173" s="109" t="s">
        <v>39</v>
      </c>
      <c r="E1173" s="110" t="s">
        <v>18</v>
      </c>
      <c r="F1173" s="109" t="s">
        <v>2568</v>
      </c>
      <c r="G1173" s="111" t="s">
        <v>2569</v>
      </c>
    </row>
    <row r="1174" customFormat="false" ht="15" hidden="false" customHeight="false" outlineLevel="0" collapsed="false">
      <c r="A1174" s="109" t="s">
        <v>96</v>
      </c>
      <c r="B1174" s="109" t="s">
        <v>102</v>
      </c>
      <c r="C1174" s="109" t="s">
        <v>546</v>
      </c>
      <c r="D1174" s="109" t="s">
        <v>43</v>
      </c>
      <c r="E1174" s="113" t="s">
        <v>24</v>
      </c>
      <c r="F1174" s="109" t="s">
        <v>2570</v>
      </c>
      <c r="G1174" s="109"/>
    </row>
    <row r="1175" customFormat="false" ht="15" hidden="false" customHeight="false" outlineLevel="0" collapsed="false">
      <c r="A1175" s="109" t="s">
        <v>96</v>
      </c>
      <c r="B1175" s="109" t="s">
        <v>102</v>
      </c>
      <c r="C1175" s="109" t="s">
        <v>546</v>
      </c>
      <c r="D1175" s="109" t="s">
        <v>47</v>
      </c>
      <c r="E1175" s="113" t="s">
        <v>24</v>
      </c>
      <c r="F1175" s="109" t="s">
        <v>2571</v>
      </c>
      <c r="G1175" s="109"/>
    </row>
    <row r="1176" customFormat="false" ht="15" hidden="false" customHeight="false" outlineLevel="0" collapsed="false">
      <c r="A1176" s="109" t="s">
        <v>96</v>
      </c>
      <c r="B1176" s="109" t="s">
        <v>102</v>
      </c>
      <c r="C1176" s="109" t="s">
        <v>546</v>
      </c>
      <c r="D1176" s="109" t="s">
        <v>51</v>
      </c>
      <c r="E1176" s="113" t="s">
        <v>24</v>
      </c>
      <c r="F1176" s="109" t="s">
        <v>2572</v>
      </c>
      <c r="G1176" s="109"/>
    </row>
    <row r="1177" customFormat="false" ht="15" hidden="false" customHeight="false" outlineLevel="0" collapsed="false">
      <c r="A1177" s="109" t="s">
        <v>96</v>
      </c>
      <c r="B1177" s="109" t="s">
        <v>102</v>
      </c>
      <c r="C1177" s="109" t="s">
        <v>546</v>
      </c>
      <c r="D1177" s="109" t="s">
        <v>55</v>
      </c>
      <c r="E1177" s="113" t="s">
        <v>24</v>
      </c>
      <c r="F1177" s="109" t="s">
        <v>2573</v>
      </c>
      <c r="G1177" s="109"/>
    </row>
    <row r="1178" customFormat="false" ht="15" hidden="false" customHeight="false" outlineLevel="0" collapsed="false">
      <c r="A1178" s="109" t="s">
        <v>96</v>
      </c>
      <c r="B1178" s="109" t="s">
        <v>102</v>
      </c>
      <c r="C1178" s="109" t="s">
        <v>546</v>
      </c>
      <c r="D1178" s="109" t="s">
        <v>59</v>
      </c>
      <c r="E1178" s="113" t="s">
        <v>24</v>
      </c>
      <c r="F1178" s="109" t="s">
        <v>2574</v>
      </c>
      <c r="G1178" s="111" t="s">
        <v>1251</v>
      </c>
    </row>
    <row r="1179" customFormat="false" ht="15" hidden="false" customHeight="false" outlineLevel="0" collapsed="false">
      <c r="A1179" s="109" t="s">
        <v>96</v>
      </c>
      <c r="B1179" s="109" t="s">
        <v>102</v>
      </c>
      <c r="C1179" s="109" t="s">
        <v>546</v>
      </c>
      <c r="D1179" s="109" t="s">
        <v>63</v>
      </c>
      <c r="E1179" s="110" t="s">
        <v>18</v>
      </c>
      <c r="F1179" s="109" t="s">
        <v>2575</v>
      </c>
      <c r="G1179" s="111" t="s">
        <v>2576</v>
      </c>
    </row>
    <row r="1180" customFormat="false" ht="15" hidden="false" customHeight="false" outlineLevel="0" collapsed="false">
      <c r="A1180" s="109" t="s">
        <v>96</v>
      </c>
      <c r="B1180" s="109" t="s">
        <v>102</v>
      </c>
      <c r="C1180" s="109" t="s">
        <v>546</v>
      </c>
      <c r="D1180" s="109" t="s">
        <v>67</v>
      </c>
      <c r="E1180" s="113" t="s">
        <v>24</v>
      </c>
      <c r="F1180" s="109" t="s">
        <v>2577</v>
      </c>
      <c r="G1180" s="111" t="s">
        <v>930</v>
      </c>
    </row>
    <row r="1181" customFormat="false" ht="15" hidden="false" customHeight="false" outlineLevel="0" collapsed="false">
      <c r="A1181" s="109" t="s">
        <v>96</v>
      </c>
      <c r="B1181" s="109" t="s">
        <v>102</v>
      </c>
      <c r="C1181" s="109" t="s">
        <v>546</v>
      </c>
      <c r="D1181" s="109" t="s">
        <v>71</v>
      </c>
      <c r="E1181" s="113" t="s">
        <v>24</v>
      </c>
      <c r="F1181" s="109" t="s">
        <v>2578</v>
      </c>
      <c r="G1181" s="109"/>
    </row>
    <row r="1182" customFormat="false" ht="15" hidden="false" customHeight="false" outlineLevel="0" collapsed="false">
      <c r="A1182" s="109" t="s">
        <v>96</v>
      </c>
      <c r="B1182" s="109" t="s">
        <v>102</v>
      </c>
      <c r="C1182" s="109" t="s">
        <v>548</v>
      </c>
      <c r="D1182" s="109" t="s">
        <v>35</v>
      </c>
      <c r="E1182" s="115" t="s">
        <v>20</v>
      </c>
      <c r="F1182" s="109" t="s">
        <v>2579</v>
      </c>
      <c r="G1182" s="111" t="s">
        <v>1957</v>
      </c>
    </row>
    <row r="1183" customFormat="false" ht="15" hidden="false" customHeight="false" outlineLevel="0" collapsed="false">
      <c r="A1183" s="109" t="s">
        <v>96</v>
      </c>
      <c r="B1183" s="109" t="s">
        <v>102</v>
      </c>
      <c r="C1183" s="109" t="s">
        <v>548</v>
      </c>
      <c r="D1183" s="109" t="s">
        <v>39</v>
      </c>
      <c r="E1183" s="115" t="s">
        <v>20</v>
      </c>
      <c r="F1183" s="109" t="s">
        <v>2580</v>
      </c>
      <c r="G1183" s="111" t="s">
        <v>1959</v>
      </c>
    </row>
    <row r="1184" customFormat="false" ht="15" hidden="false" customHeight="false" outlineLevel="0" collapsed="false">
      <c r="A1184" s="109" t="s">
        <v>96</v>
      </c>
      <c r="B1184" s="109" t="s">
        <v>102</v>
      </c>
      <c r="C1184" s="109" t="s">
        <v>548</v>
      </c>
      <c r="D1184" s="109" t="s">
        <v>43</v>
      </c>
      <c r="E1184" s="110" t="s">
        <v>18</v>
      </c>
      <c r="F1184" s="109" t="s">
        <v>2581</v>
      </c>
      <c r="G1184" s="111" t="s">
        <v>1961</v>
      </c>
    </row>
    <row r="1185" customFormat="false" ht="15" hidden="false" customHeight="false" outlineLevel="0" collapsed="false">
      <c r="A1185" s="109" t="s">
        <v>96</v>
      </c>
      <c r="B1185" s="109" t="s">
        <v>102</v>
      </c>
      <c r="C1185" s="109" t="s">
        <v>548</v>
      </c>
      <c r="D1185" s="109" t="s">
        <v>47</v>
      </c>
      <c r="E1185" s="115" t="s">
        <v>20</v>
      </c>
      <c r="F1185" s="109" t="s">
        <v>2582</v>
      </c>
      <c r="G1185" s="111" t="s">
        <v>1963</v>
      </c>
    </row>
    <row r="1186" customFormat="false" ht="15" hidden="false" customHeight="false" outlineLevel="0" collapsed="false">
      <c r="A1186" s="109" t="s">
        <v>96</v>
      </c>
      <c r="B1186" s="109" t="s">
        <v>102</v>
      </c>
      <c r="C1186" s="109" t="s">
        <v>548</v>
      </c>
      <c r="D1186" s="109" t="s">
        <v>51</v>
      </c>
      <c r="E1186" s="115" t="s">
        <v>20</v>
      </c>
      <c r="F1186" s="109" t="s">
        <v>2583</v>
      </c>
      <c r="G1186" s="111" t="s">
        <v>1965</v>
      </c>
    </row>
    <row r="1187" customFormat="false" ht="15" hidden="false" customHeight="false" outlineLevel="0" collapsed="false">
      <c r="A1187" s="109" t="s">
        <v>96</v>
      </c>
      <c r="B1187" s="109" t="s">
        <v>102</v>
      </c>
      <c r="C1187" s="109" t="s">
        <v>548</v>
      </c>
      <c r="D1187" s="109" t="s">
        <v>55</v>
      </c>
      <c r="E1187" s="113" t="s">
        <v>24</v>
      </c>
      <c r="F1187" s="109" t="s">
        <v>2584</v>
      </c>
      <c r="G1187" s="109"/>
    </row>
    <row r="1188" customFormat="false" ht="23.85" hidden="false" customHeight="false" outlineLevel="0" collapsed="false">
      <c r="A1188" s="109" t="s">
        <v>96</v>
      </c>
      <c r="B1188" s="109" t="s">
        <v>102</v>
      </c>
      <c r="C1188" s="109" t="s">
        <v>548</v>
      </c>
      <c r="D1188" s="109" t="s">
        <v>59</v>
      </c>
      <c r="E1188" s="110" t="s">
        <v>18</v>
      </c>
      <c r="F1188" s="109" t="s">
        <v>2585</v>
      </c>
      <c r="G1188" s="111" t="s">
        <v>1479</v>
      </c>
    </row>
    <row r="1189" customFormat="false" ht="15" hidden="false" customHeight="false" outlineLevel="0" collapsed="false">
      <c r="A1189" s="109" t="s">
        <v>96</v>
      </c>
      <c r="B1189" s="109" t="s">
        <v>102</v>
      </c>
      <c r="C1189" s="109" t="s">
        <v>548</v>
      </c>
      <c r="D1189" s="109" t="s">
        <v>63</v>
      </c>
      <c r="E1189" s="114" t="s">
        <v>22</v>
      </c>
      <c r="F1189" s="109" t="s">
        <v>2586</v>
      </c>
      <c r="G1189" s="111" t="s">
        <v>1969</v>
      </c>
    </row>
    <row r="1190" customFormat="false" ht="15" hidden="false" customHeight="false" outlineLevel="0" collapsed="false">
      <c r="A1190" s="109" t="s">
        <v>96</v>
      </c>
      <c r="B1190" s="109" t="s">
        <v>102</v>
      </c>
      <c r="C1190" s="109" t="s">
        <v>548</v>
      </c>
      <c r="D1190" s="109" t="s">
        <v>67</v>
      </c>
      <c r="E1190" s="112" t="s">
        <v>16</v>
      </c>
      <c r="F1190" s="109" t="s">
        <v>2587</v>
      </c>
      <c r="G1190" s="111" t="s">
        <v>930</v>
      </c>
    </row>
    <row r="1191" customFormat="false" ht="15" hidden="false" customHeight="false" outlineLevel="0" collapsed="false">
      <c r="A1191" s="109" t="s">
        <v>96</v>
      </c>
      <c r="B1191" s="109" t="s">
        <v>102</v>
      </c>
      <c r="C1191" s="109" t="s">
        <v>548</v>
      </c>
      <c r="D1191" s="109" t="s">
        <v>71</v>
      </c>
      <c r="E1191" s="113" t="s">
        <v>24</v>
      </c>
      <c r="F1191" s="109" t="s">
        <v>2588</v>
      </c>
      <c r="G1191" s="109"/>
    </row>
    <row r="1192" customFormat="false" ht="23.85" hidden="false" customHeight="false" outlineLevel="0" collapsed="false">
      <c r="A1192" s="109" t="s">
        <v>96</v>
      </c>
      <c r="B1192" s="109" t="s">
        <v>102</v>
      </c>
      <c r="C1192" s="109" t="s">
        <v>549</v>
      </c>
      <c r="D1192" s="109" t="s">
        <v>35</v>
      </c>
      <c r="E1192" s="114" t="s">
        <v>22</v>
      </c>
      <c r="F1192" s="109" t="s">
        <v>2589</v>
      </c>
      <c r="G1192" s="111" t="s">
        <v>2590</v>
      </c>
    </row>
    <row r="1193" customFormat="false" ht="23.85" hidden="false" customHeight="false" outlineLevel="0" collapsed="false">
      <c r="A1193" s="109" t="s">
        <v>96</v>
      </c>
      <c r="B1193" s="109" t="s">
        <v>102</v>
      </c>
      <c r="C1193" s="109" t="s">
        <v>549</v>
      </c>
      <c r="D1193" s="109" t="s">
        <v>39</v>
      </c>
      <c r="E1193" s="110" t="s">
        <v>18</v>
      </c>
      <c r="F1193" s="109" t="s">
        <v>2591</v>
      </c>
      <c r="G1193" s="111" t="s">
        <v>2569</v>
      </c>
    </row>
    <row r="1194" customFormat="false" ht="23.85" hidden="false" customHeight="false" outlineLevel="0" collapsed="false">
      <c r="A1194" s="109" t="s">
        <v>96</v>
      </c>
      <c r="B1194" s="109" t="s">
        <v>102</v>
      </c>
      <c r="C1194" s="109" t="s">
        <v>549</v>
      </c>
      <c r="D1194" s="109" t="s">
        <v>43</v>
      </c>
      <c r="E1194" s="112" t="s">
        <v>16</v>
      </c>
      <c r="F1194" s="109" t="s">
        <v>2592</v>
      </c>
      <c r="G1194" s="111" t="s">
        <v>1035</v>
      </c>
    </row>
    <row r="1195" customFormat="false" ht="23.85" hidden="false" customHeight="false" outlineLevel="0" collapsed="false">
      <c r="A1195" s="109" t="s">
        <v>96</v>
      </c>
      <c r="B1195" s="109" t="s">
        <v>102</v>
      </c>
      <c r="C1195" s="109" t="s">
        <v>549</v>
      </c>
      <c r="D1195" s="109" t="s">
        <v>47</v>
      </c>
      <c r="E1195" s="114" t="s">
        <v>22</v>
      </c>
      <c r="F1195" s="109" t="s">
        <v>2593</v>
      </c>
      <c r="G1195" s="111" t="s">
        <v>2594</v>
      </c>
    </row>
    <row r="1196" customFormat="false" ht="23.85" hidden="false" customHeight="false" outlineLevel="0" collapsed="false">
      <c r="A1196" s="109" t="s">
        <v>96</v>
      </c>
      <c r="B1196" s="109" t="s">
        <v>102</v>
      </c>
      <c r="C1196" s="109" t="s">
        <v>549</v>
      </c>
      <c r="D1196" s="109" t="s">
        <v>51</v>
      </c>
      <c r="E1196" s="110" t="s">
        <v>18</v>
      </c>
      <c r="F1196" s="109" t="s">
        <v>2595</v>
      </c>
      <c r="G1196" s="111" t="s">
        <v>1168</v>
      </c>
    </row>
    <row r="1197" customFormat="false" ht="15" hidden="false" customHeight="false" outlineLevel="0" collapsed="false">
      <c r="A1197" s="109" t="s">
        <v>96</v>
      </c>
      <c r="B1197" s="109" t="s">
        <v>102</v>
      </c>
      <c r="C1197" s="109" t="s">
        <v>549</v>
      </c>
      <c r="D1197" s="109" t="s">
        <v>55</v>
      </c>
      <c r="E1197" s="113" t="s">
        <v>24</v>
      </c>
      <c r="F1197" s="109" t="s">
        <v>2596</v>
      </c>
      <c r="G1197" s="109"/>
    </row>
    <row r="1198" customFormat="false" ht="23.85" hidden="false" customHeight="false" outlineLevel="0" collapsed="false">
      <c r="A1198" s="109" t="s">
        <v>96</v>
      </c>
      <c r="B1198" s="109" t="s">
        <v>102</v>
      </c>
      <c r="C1198" s="109" t="s">
        <v>549</v>
      </c>
      <c r="D1198" s="109" t="s">
        <v>59</v>
      </c>
      <c r="E1198" s="114" t="s">
        <v>22</v>
      </c>
      <c r="F1198" s="109" t="s">
        <v>2597</v>
      </c>
      <c r="G1198" s="111" t="s">
        <v>1479</v>
      </c>
    </row>
    <row r="1199" customFormat="false" ht="15" hidden="false" customHeight="false" outlineLevel="0" collapsed="false">
      <c r="A1199" s="109" t="s">
        <v>96</v>
      </c>
      <c r="B1199" s="109" t="s">
        <v>102</v>
      </c>
      <c r="C1199" s="109" t="s">
        <v>549</v>
      </c>
      <c r="D1199" s="109" t="s">
        <v>63</v>
      </c>
      <c r="E1199" s="112" t="s">
        <v>16</v>
      </c>
      <c r="F1199" s="109" t="s">
        <v>2598</v>
      </c>
      <c r="G1199" s="111" t="s">
        <v>2599</v>
      </c>
    </row>
    <row r="1200" customFormat="false" ht="23.85" hidden="false" customHeight="false" outlineLevel="0" collapsed="false">
      <c r="A1200" s="109" t="s">
        <v>96</v>
      </c>
      <c r="B1200" s="109" t="s">
        <v>102</v>
      </c>
      <c r="C1200" s="109" t="s">
        <v>549</v>
      </c>
      <c r="D1200" s="109" t="s">
        <v>67</v>
      </c>
      <c r="E1200" s="114" t="s">
        <v>22</v>
      </c>
      <c r="F1200" s="109" t="s">
        <v>2600</v>
      </c>
      <c r="G1200" s="111" t="s">
        <v>930</v>
      </c>
    </row>
    <row r="1201" customFormat="false" ht="15" hidden="false" customHeight="false" outlineLevel="0" collapsed="false">
      <c r="A1201" s="109" t="s">
        <v>96</v>
      </c>
      <c r="B1201" s="109" t="s">
        <v>102</v>
      </c>
      <c r="C1201" s="109" t="s">
        <v>549</v>
      </c>
      <c r="D1201" s="109" t="s">
        <v>71</v>
      </c>
      <c r="E1201" s="113" t="s">
        <v>24</v>
      </c>
      <c r="F1201" s="109" t="s">
        <v>2601</v>
      </c>
      <c r="G1201" s="109"/>
    </row>
    <row r="1202" customFormat="false" ht="15" hidden="false" customHeight="false" outlineLevel="0" collapsed="false">
      <c r="A1202" s="109" t="s">
        <v>96</v>
      </c>
      <c r="B1202" s="109" t="s">
        <v>103</v>
      </c>
      <c r="C1202" s="109" t="s">
        <v>566</v>
      </c>
      <c r="D1202" s="109" t="s">
        <v>35</v>
      </c>
      <c r="E1202" s="113" t="s">
        <v>24</v>
      </c>
      <c r="F1202" s="109" t="s">
        <v>2602</v>
      </c>
      <c r="G1202" s="111" t="s">
        <v>2603</v>
      </c>
    </row>
    <row r="1203" customFormat="false" ht="15" hidden="false" customHeight="false" outlineLevel="0" collapsed="false">
      <c r="A1203" s="109" t="s">
        <v>96</v>
      </c>
      <c r="B1203" s="109" t="s">
        <v>103</v>
      </c>
      <c r="C1203" s="109" t="s">
        <v>566</v>
      </c>
      <c r="D1203" s="109" t="s">
        <v>39</v>
      </c>
      <c r="E1203" s="113" t="s">
        <v>24</v>
      </c>
      <c r="F1203" s="109" t="s">
        <v>2604</v>
      </c>
      <c r="G1203" s="109"/>
    </row>
    <row r="1204" customFormat="false" ht="15" hidden="false" customHeight="false" outlineLevel="0" collapsed="false">
      <c r="A1204" s="109" t="s">
        <v>96</v>
      </c>
      <c r="B1204" s="109" t="s">
        <v>103</v>
      </c>
      <c r="C1204" s="109" t="s">
        <v>566</v>
      </c>
      <c r="D1204" s="109" t="s">
        <v>43</v>
      </c>
      <c r="E1204" s="113" t="s">
        <v>24</v>
      </c>
      <c r="F1204" s="109" t="s">
        <v>2605</v>
      </c>
      <c r="G1204" s="109"/>
    </row>
    <row r="1205" customFormat="false" ht="15" hidden="false" customHeight="false" outlineLevel="0" collapsed="false">
      <c r="A1205" s="109" t="s">
        <v>96</v>
      </c>
      <c r="B1205" s="109" t="s">
        <v>103</v>
      </c>
      <c r="C1205" s="109" t="s">
        <v>566</v>
      </c>
      <c r="D1205" s="109" t="s">
        <v>47</v>
      </c>
      <c r="E1205" s="113" t="s">
        <v>24</v>
      </c>
      <c r="F1205" s="109" t="s">
        <v>2606</v>
      </c>
      <c r="G1205" s="109"/>
    </row>
    <row r="1206" customFormat="false" ht="15" hidden="false" customHeight="false" outlineLevel="0" collapsed="false">
      <c r="A1206" s="109" t="s">
        <v>96</v>
      </c>
      <c r="B1206" s="109" t="s">
        <v>103</v>
      </c>
      <c r="C1206" s="109" t="s">
        <v>566</v>
      </c>
      <c r="D1206" s="109" t="s">
        <v>51</v>
      </c>
      <c r="E1206" s="113" t="s">
        <v>24</v>
      </c>
      <c r="F1206" s="109" t="s">
        <v>2606</v>
      </c>
      <c r="G1206" s="109"/>
    </row>
    <row r="1207" customFormat="false" ht="15" hidden="false" customHeight="false" outlineLevel="0" collapsed="false">
      <c r="A1207" s="109" t="s">
        <v>96</v>
      </c>
      <c r="B1207" s="109" t="s">
        <v>103</v>
      </c>
      <c r="C1207" s="109" t="s">
        <v>566</v>
      </c>
      <c r="D1207" s="109" t="s">
        <v>55</v>
      </c>
      <c r="E1207" s="113" t="s">
        <v>24</v>
      </c>
      <c r="F1207" s="109" t="s">
        <v>2607</v>
      </c>
      <c r="G1207" s="109"/>
    </row>
    <row r="1208" customFormat="false" ht="15" hidden="false" customHeight="false" outlineLevel="0" collapsed="false">
      <c r="A1208" s="109" t="s">
        <v>96</v>
      </c>
      <c r="B1208" s="109" t="s">
        <v>103</v>
      </c>
      <c r="C1208" s="109" t="s">
        <v>566</v>
      </c>
      <c r="D1208" s="109" t="s">
        <v>59</v>
      </c>
      <c r="E1208" s="113" t="s">
        <v>24</v>
      </c>
      <c r="F1208" s="109" t="s">
        <v>2608</v>
      </c>
      <c r="G1208" s="109"/>
    </row>
    <row r="1209" customFormat="false" ht="15" hidden="false" customHeight="false" outlineLevel="0" collapsed="false">
      <c r="A1209" s="109" t="s">
        <v>96</v>
      </c>
      <c r="B1209" s="109" t="s">
        <v>103</v>
      </c>
      <c r="C1209" s="109" t="s">
        <v>566</v>
      </c>
      <c r="D1209" s="109" t="s">
        <v>63</v>
      </c>
      <c r="E1209" s="113" t="s">
        <v>24</v>
      </c>
      <c r="F1209" s="109" t="s">
        <v>2609</v>
      </c>
      <c r="G1209" s="109"/>
    </row>
    <row r="1210" customFormat="false" ht="15" hidden="false" customHeight="false" outlineLevel="0" collapsed="false">
      <c r="A1210" s="109" t="s">
        <v>96</v>
      </c>
      <c r="B1210" s="109" t="s">
        <v>103</v>
      </c>
      <c r="C1210" s="109" t="s">
        <v>566</v>
      </c>
      <c r="D1210" s="109" t="s">
        <v>67</v>
      </c>
      <c r="E1210" s="113" t="s">
        <v>24</v>
      </c>
      <c r="F1210" s="109" t="s">
        <v>2610</v>
      </c>
      <c r="G1210" s="109"/>
    </row>
    <row r="1211" customFormat="false" ht="15" hidden="false" customHeight="false" outlineLevel="0" collapsed="false">
      <c r="A1211" s="109" t="s">
        <v>96</v>
      </c>
      <c r="B1211" s="109" t="s">
        <v>103</v>
      </c>
      <c r="C1211" s="109" t="s">
        <v>566</v>
      </c>
      <c r="D1211" s="109" t="s">
        <v>71</v>
      </c>
      <c r="E1211" s="113" t="s">
        <v>24</v>
      </c>
      <c r="F1211" s="109" t="s">
        <v>2611</v>
      </c>
      <c r="G1211" s="109"/>
    </row>
    <row r="1212" customFormat="false" ht="15" hidden="false" customHeight="false" outlineLevel="0" collapsed="false">
      <c r="A1212" s="109" t="s">
        <v>96</v>
      </c>
      <c r="B1212" s="109" t="s">
        <v>103</v>
      </c>
      <c r="C1212" s="109" t="s">
        <v>567</v>
      </c>
      <c r="D1212" s="109" t="s">
        <v>35</v>
      </c>
      <c r="E1212" s="110" t="s">
        <v>18</v>
      </c>
      <c r="F1212" s="109" t="s">
        <v>2612</v>
      </c>
      <c r="G1212" s="111" t="s">
        <v>2603</v>
      </c>
    </row>
    <row r="1213" customFormat="false" ht="23.85" hidden="false" customHeight="false" outlineLevel="0" collapsed="false">
      <c r="A1213" s="109" t="s">
        <v>96</v>
      </c>
      <c r="B1213" s="109" t="s">
        <v>103</v>
      </c>
      <c r="C1213" s="109" t="s">
        <v>567</v>
      </c>
      <c r="D1213" s="109" t="s">
        <v>39</v>
      </c>
      <c r="E1213" s="115" t="s">
        <v>20</v>
      </c>
      <c r="F1213" s="109" t="s">
        <v>2613</v>
      </c>
      <c r="G1213" s="111" t="s">
        <v>2614</v>
      </c>
    </row>
    <row r="1214" customFormat="false" ht="23.85" hidden="false" customHeight="false" outlineLevel="0" collapsed="false">
      <c r="A1214" s="109" t="s">
        <v>96</v>
      </c>
      <c r="B1214" s="109" t="s">
        <v>103</v>
      </c>
      <c r="C1214" s="109" t="s">
        <v>567</v>
      </c>
      <c r="D1214" s="109" t="s">
        <v>43</v>
      </c>
      <c r="E1214" s="110" t="s">
        <v>18</v>
      </c>
      <c r="F1214" s="109" t="s">
        <v>2615</v>
      </c>
      <c r="G1214" s="111" t="s">
        <v>2616</v>
      </c>
    </row>
    <row r="1215" customFormat="false" ht="15" hidden="false" customHeight="false" outlineLevel="0" collapsed="false">
      <c r="A1215" s="109" t="s">
        <v>96</v>
      </c>
      <c r="B1215" s="109" t="s">
        <v>103</v>
      </c>
      <c r="C1215" s="109" t="s">
        <v>567</v>
      </c>
      <c r="D1215" s="109" t="s">
        <v>47</v>
      </c>
      <c r="E1215" s="113" t="s">
        <v>24</v>
      </c>
      <c r="F1215" s="109" t="s">
        <v>2617</v>
      </c>
      <c r="G1215" s="111" t="s">
        <v>2618</v>
      </c>
    </row>
    <row r="1216" customFormat="false" ht="23.85" hidden="false" customHeight="false" outlineLevel="0" collapsed="false">
      <c r="A1216" s="109" t="s">
        <v>96</v>
      </c>
      <c r="B1216" s="109" t="s">
        <v>103</v>
      </c>
      <c r="C1216" s="109" t="s">
        <v>567</v>
      </c>
      <c r="D1216" s="109" t="s">
        <v>51</v>
      </c>
      <c r="E1216" s="113" t="s">
        <v>24</v>
      </c>
      <c r="F1216" s="109" t="s">
        <v>2619</v>
      </c>
      <c r="G1216" s="111" t="s">
        <v>2620</v>
      </c>
    </row>
    <row r="1217" customFormat="false" ht="15" hidden="false" customHeight="false" outlineLevel="0" collapsed="false">
      <c r="A1217" s="109" t="s">
        <v>96</v>
      </c>
      <c r="B1217" s="109" t="s">
        <v>103</v>
      </c>
      <c r="C1217" s="109" t="s">
        <v>567</v>
      </c>
      <c r="D1217" s="109" t="s">
        <v>55</v>
      </c>
      <c r="E1217" s="110" t="s">
        <v>18</v>
      </c>
      <c r="F1217" s="109" t="s">
        <v>2621</v>
      </c>
      <c r="G1217" s="111" t="s">
        <v>2622</v>
      </c>
    </row>
    <row r="1218" customFormat="false" ht="15" hidden="false" customHeight="false" outlineLevel="0" collapsed="false">
      <c r="A1218" s="109" t="s">
        <v>96</v>
      </c>
      <c r="B1218" s="109" t="s">
        <v>103</v>
      </c>
      <c r="C1218" s="109" t="s">
        <v>567</v>
      </c>
      <c r="D1218" s="109" t="s">
        <v>59</v>
      </c>
      <c r="E1218" s="110" t="s">
        <v>18</v>
      </c>
      <c r="F1218" s="109" t="s">
        <v>2623</v>
      </c>
      <c r="G1218" s="111" t="s">
        <v>2624</v>
      </c>
    </row>
    <row r="1219" customFormat="false" ht="23.85" hidden="false" customHeight="false" outlineLevel="0" collapsed="false">
      <c r="A1219" s="109" t="s">
        <v>96</v>
      </c>
      <c r="B1219" s="109" t="s">
        <v>103</v>
      </c>
      <c r="C1219" s="109" t="s">
        <v>567</v>
      </c>
      <c r="D1219" s="109" t="s">
        <v>63</v>
      </c>
      <c r="E1219" s="110" t="s">
        <v>18</v>
      </c>
      <c r="F1219" s="109" t="s">
        <v>2625</v>
      </c>
      <c r="G1219" s="111" t="s">
        <v>2626</v>
      </c>
    </row>
    <row r="1220" customFormat="false" ht="15" hidden="false" customHeight="false" outlineLevel="0" collapsed="false">
      <c r="A1220" s="109" t="s">
        <v>96</v>
      </c>
      <c r="B1220" s="109" t="s">
        <v>103</v>
      </c>
      <c r="C1220" s="109" t="s">
        <v>567</v>
      </c>
      <c r="D1220" s="109" t="s">
        <v>67</v>
      </c>
      <c r="E1220" s="113" t="s">
        <v>24</v>
      </c>
      <c r="F1220" s="109" t="s">
        <v>2627</v>
      </c>
      <c r="G1220" s="111" t="s">
        <v>1743</v>
      </c>
    </row>
    <row r="1221" customFormat="false" ht="15" hidden="false" customHeight="false" outlineLevel="0" collapsed="false">
      <c r="A1221" s="109" t="s">
        <v>96</v>
      </c>
      <c r="B1221" s="109" t="s">
        <v>103</v>
      </c>
      <c r="C1221" s="109" t="s">
        <v>567</v>
      </c>
      <c r="D1221" s="109" t="s">
        <v>71</v>
      </c>
      <c r="E1221" s="113" t="s">
        <v>24</v>
      </c>
      <c r="F1221" s="109" t="s">
        <v>2628</v>
      </c>
      <c r="G1221" s="111" t="s">
        <v>2629</v>
      </c>
    </row>
    <row r="1222" customFormat="false" ht="23.85" hidden="false" customHeight="false" outlineLevel="0" collapsed="false">
      <c r="A1222" s="109" t="s">
        <v>96</v>
      </c>
      <c r="B1222" s="109" t="s">
        <v>103</v>
      </c>
      <c r="C1222" s="109" t="s">
        <v>569</v>
      </c>
      <c r="D1222" s="109" t="s">
        <v>35</v>
      </c>
      <c r="E1222" s="110" t="s">
        <v>18</v>
      </c>
      <c r="F1222" s="109" t="s">
        <v>2630</v>
      </c>
      <c r="G1222" s="111" t="s">
        <v>2631</v>
      </c>
    </row>
    <row r="1223" customFormat="false" ht="15" hidden="false" customHeight="false" outlineLevel="0" collapsed="false">
      <c r="A1223" s="109" t="s">
        <v>96</v>
      </c>
      <c r="B1223" s="109" t="s">
        <v>103</v>
      </c>
      <c r="C1223" s="109" t="s">
        <v>569</v>
      </c>
      <c r="D1223" s="109" t="s">
        <v>39</v>
      </c>
      <c r="E1223" s="115" t="s">
        <v>20</v>
      </c>
      <c r="F1223" s="109" t="s">
        <v>2632</v>
      </c>
      <c r="G1223" s="111" t="s">
        <v>2633</v>
      </c>
    </row>
    <row r="1224" customFormat="false" ht="15" hidden="false" customHeight="false" outlineLevel="0" collapsed="false">
      <c r="A1224" s="109" t="s">
        <v>96</v>
      </c>
      <c r="B1224" s="109" t="s">
        <v>103</v>
      </c>
      <c r="C1224" s="109" t="s">
        <v>569</v>
      </c>
      <c r="D1224" s="109" t="s">
        <v>43</v>
      </c>
      <c r="E1224" s="110" t="s">
        <v>18</v>
      </c>
      <c r="F1224" s="109" t="s">
        <v>2634</v>
      </c>
      <c r="G1224" s="111" t="s">
        <v>2616</v>
      </c>
    </row>
    <row r="1225" customFormat="false" ht="15" hidden="false" customHeight="false" outlineLevel="0" collapsed="false">
      <c r="A1225" s="109" t="s">
        <v>96</v>
      </c>
      <c r="B1225" s="109" t="s">
        <v>103</v>
      </c>
      <c r="C1225" s="109" t="s">
        <v>569</v>
      </c>
      <c r="D1225" s="109" t="s">
        <v>47</v>
      </c>
      <c r="E1225" s="115" t="s">
        <v>20</v>
      </c>
      <c r="F1225" s="109" t="s">
        <v>2635</v>
      </c>
      <c r="G1225" s="111" t="s">
        <v>2618</v>
      </c>
    </row>
    <row r="1226" customFormat="false" ht="15" hidden="false" customHeight="false" outlineLevel="0" collapsed="false">
      <c r="A1226" s="109" t="s">
        <v>96</v>
      </c>
      <c r="B1226" s="109" t="s">
        <v>103</v>
      </c>
      <c r="C1226" s="109" t="s">
        <v>569</v>
      </c>
      <c r="D1226" s="109" t="s">
        <v>51</v>
      </c>
      <c r="E1226" s="115" t="s">
        <v>20</v>
      </c>
      <c r="F1226" s="109" t="s">
        <v>2636</v>
      </c>
      <c r="G1226" s="111" t="s">
        <v>2637</v>
      </c>
    </row>
    <row r="1227" customFormat="false" ht="15" hidden="false" customHeight="false" outlineLevel="0" collapsed="false">
      <c r="A1227" s="109" t="s">
        <v>96</v>
      </c>
      <c r="B1227" s="109" t="s">
        <v>103</v>
      </c>
      <c r="C1227" s="109" t="s">
        <v>569</v>
      </c>
      <c r="D1227" s="109" t="s">
        <v>55</v>
      </c>
      <c r="E1227" s="110" t="s">
        <v>18</v>
      </c>
      <c r="F1227" s="109" t="s">
        <v>2638</v>
      </c>
      <c r="G1227" s="111" t="s">
        <v>2639</v>
      </c>
    </row>
    <row r="1228" customFormat="false" ht="23.85" hidden="false" customHeight="false" outlineLevel="0" collapsed="false">
      <c r="A1228" s="109" t="s">
        <v>96</v>
      </c>
      <c r="B1228" s="109" t="s">
        <v>103</v>
      </c>
      <c r="C1228" s="109" t="s">
        <v>569</v>
      </c>
      <c r="D1228" s="109" t="s">
        <v>59</v>
      </c>
      <c r="E1228" s="110" t="s">
        <v>18</v>
      </c>
      <c r="F1228" s="109" t="s">
        <v>2640</v>
      </c>
      <c r="G1228" s="111" t="s">
        <v>2624</v>
      </c>
    </row>
    <row r="1229" customFormat="false" ht="23.85" hidden="false" customHeight="false" outlineLevel="0" collapsed="false">
      <c r="A1229" s="109" t="s">
        <v>96</v>
      </c>
      <c r="B1229" s="109" t="s">
        <v>103</v>
      </c>
      <c r="C1229" s="109" t="s">
        <v>569</v>
      </c>
      <c r="D1229" s="109" t="s">
        <v>63</v>
      </c>
      <c r="E1229" s="110" t="s">
        <v>18</v>
      </c>
      <c r="F1229" s="109" t="s">
        <v>2641</v>
      </c>
      <c r="G1229" s="111" t="s">
        <v>2642</v>
      </c>
    </row>
    <row r="1230" customFormat="false" ht="15" hidden="false" customHeight="false" outlineLevel="0" collapsed="false">
      <c r="A1230" s="109" t="s">
        <v>96</v>
      </c>
      <c r="B1230" s="109" t="s">
        <v>103</v>
      </c>
      <c r="C1230" s="109" t="s">
        <v>569</v>
      </c>
      <c r="D1230" s="109" t="s">
        <v>67</v>
      </c>
      <c r="E1230" s="110" t="s">
        <v>18</v>
      </c>
      <c r="F1230" s="109" t="s">
        <v>2643</v>
      </c>
      <c r="G1230" s="111" t="s">
        <v>2644</v>
      </c>
    </row>
    <row r="1231" customFormat="false" ht="15" hidden="false" customHeight="false" outlineLevel="0" collapsed="false">
      <c r="A1231" s="109" t="s">
        <v>96</v>
      </c>
      <c r="B1231" s="109" t="s">
        <v>103</v>
      </c>
      <c r="C1231" s="109" t="s">
        <v>569</v>
      </c>
      <c r="D1231" s="109" t="s">
        <v>71</v>
      </c>
      <c r="E1231" s="113" t="s">
        <v>24</v>
      </c>
      <c r="F1231" s="109" t="s">
        <v>2645</v>
      </c>
      <c r="G1231" s="109"/>
    </row>
    <row r="1232" customFormat="false" ht="23.85" hidden="false" customHeight="false" outlineLevel="0" collapsed="false">
      <c r="A1232" s="109" t="s">
        <v>96</v>
      </c>
      <c r="B1232" s="109" t="s">
        <v>103</v>
      </c>
      <c r="C1232" s="109" t="s">
        <v>571</v>
      </c>
      <c r="D1232" s="109" t="s">
        <v>35</v>
      </c>
      <c r="E1232" s="110" t="s">
        <v>18</v>
      </c>
      <c r="F1232" s="109" t="s">
        <v>2646</v>
      </c>
      <c r="G1232" s="111" t="s">
        <v>2647</v>
      </c>
    </row>
    <row r="1233" customFormat="false" ht="15" hidden="false" customHeight="false" outlineLevel="0" collapsed="false">
      <c r="A1233" s="109" t="s">
        <v>96</v>
      </c>
      <c r="B1233" s="109" t="s">
        <v>103</v>
      </c>
      <c r="C1233" s="109" t="s">
        <v>571</v>
      </c>
      <c r="D1233" s="109" t="s">
        <v>39</v>
      </c>
      <c r="E1233" s="115" t="s">
        <v>20</v>
      </c>
      <c r="F1233" s="109" t="s">
        <v>2648</v>
      </c>
      <c r="G1233" s="111" t="s">
        <v>2649</v>
      </c>
    </row>
    <row r="1234" customFormat="false" ht="23.85" hidden="false" customHeight="false" outlineLevel="0" collapsed="false">
      <c r="A1234" s="109" t="s">
        <v>96</v>
      </c>
      <c r="B1234" s="109" t="s">
        <v>103</v>
      </c>
      <c r="C1234" s="109" t="s">
        <v>571</v>
      </c>
      <c r="D1234" s="109" t="s">
        <v>43</v>
      </c>
      <c r="E1234" s="110" t="s">
        <v>18</v>
      </c>
      <c r="F1234" s="109" t="s">
        <v>2650</v>
      </c>
      <c r="G1234" s="111" t="s">
        <v>2651</v>
      </c>
    </row>
    <row r="1235" customFormat="false" ht="15" hidden="false" customHeight="false" outlineLevel="0" collapsed="false">
      <c r="A1235" s="109" t="s">
        <v>96</v>
      </c>
      <c r="B1235" s="109" t="s">
        <v>103</v>
      </c>
      <c r="C1235" s="109" t="s">
        <v>571</v>
      </c>
      <c r="D1235" s="109" t="s">
        <v>47</v>
      </c>
      <c r="E1235" s="115" t="s">
        <v>20</v>
      </c>
      <c r="F1235" s="109" t="s">
        <v>2652</v>
      </c>
      <c r="G1235" s="111" t="s">
        <v>2618</v>
      </c>
    </row>
    <row r="1236" customFormat="false" ht="15" hidden="false" customHeight="false" outlineLevel="0" collapsed="false">
      <c r="A1236" s="109" t="s">
        <v>96</v>
      </c>
      <c r="B1236" s="109" t="s">
        <v>103</v>
      </c>
      <c r="C1236" s="109" t="s">
        <v>571</v>
      </c>
      <c r="D1236" s="109" t="s">
        <v>51</v>
      </c>
      <c r="E1236" s="115" t="s">
        <v>20</v>
      </c>
      <c r="F1236" s="109" t="s">
        <v>2653</v>
      </c>
      <c r="G1236" s="111" t="s">
        <v>2637</v>
      </c>
    </row>
    <row r="1237" customFormat="false" ht="15" hidden="false" customHeight="false" outlineLevel="0" collapsed="false">
      <c r="A1237" s="109" t="s">
        <v>96</v>
      </c>
      <c r="B1237" s="109" t="s">
        <v>103</v>
      </c>
      <c r="C1237" s="109" t="s">
        <v>571</v>
      </c>
      <c r="D1237" s="109" t="s">
        <v>55</v>
      </c>
      <c r="E1237" s="114" t="s">
        <v>22</v>
      </c>
      <c r="F1237" s="109" t="s">
        <v>2654</v>
      </c>
      <c r="G1237" s="111" t="s">
        <v>2655</v>
      </c>
    </row>
    <row r="1238" customFormat="false" ht="15" hidden="false" customHeight="false" outlineLevel="0" collapsed="false">
      <c r="A1238" s="109" t="s">
        <v>96</v>
      </c>
      <c r="B1238" s="109" t="s">
        <v>103</v>
      </c>
      <c r="C1238" s="109" t="s">
        <v>571</v>
      </c>
      <c r="D1238" s="109" t="s">
        <v>59</v>
      </c>
      <c r="E1238" s="114" t="s">
        <v>22</v>
      </c>
      <c r="F1238" s="109" t="s">
        <v>2656</v>
      </c>
      <c r="G1238" s="111" t="s">
        <v>2624</v>
      </c>
    </row>
    <row r="1239" customFormat="false" ht="23.85" hidden="false" customHeight="false" outlineLevel="0" collapsed="false">
      <c r="A1239" s="109" t="s">
        <v>96</v>
      </c>
      <c r="B1239" s="109" t="s">
        <v>103</v>
      </c>
      <c r="C1239" s="109" t="s">
        <v>571</v>
      </c>
      <c r="D1239" s="109" t="s">
        <v>63</v>
      </c>
      <c r="E1239" s="114" t="s">
        <v>22</v>
      </c>
      <c r="F1239" s="109" t="s">
        <v>2657</v>
      </c>
      <c r="G1239" s="111" t="s">
        <v>2626</v>
      </c>
    </row>
    <row r="1240" customFormat="false" ht="23.85" hidden="false" customHeight="false" outlineLevel="0" collapsed="false">
      <c r="A1240" s="109" t="s">
        <v>96</v>
      </c>
      <c r="B1240" s="109" t="s">
        <v>103</v>
      </c>
      <c r="C1240" s="109" t="s">
        <v>571</v>
      </c>
      <c r="D1240" s="109" t="s">
        <v>67</v>
      </c>
      <c r="E1240" s="114" t="s">
        <v>22</v>
      </c>
      <c r="F1240" s="109" t="s">
        <v>2658</v>
      </c>
      <c r="G1240" s="111" t="s">
        <v>2644</v>
      </c>
    </row>
    <row r="1241" customFormat="false" ht="15" hidden="false" customHeight="false" outlineLevel="0" collapsed="false">
      <c r="A1241" s="109" t="s">
        <v>96</v>
      </c>
      <c r="B1241" s="109" t="s">
        <v>103</v>
      </c>
      <c r="C1241" s="109" t="s">
        <v>571</v>
      </c>
      <c r="D1241" s="109" t="s">
        <v>71</v>
      </c>
      <c r="E1241" s="113" t="s">
        <v>24</v>
      </c>
      <c r="F1241" s="109" t="s">
        <v>2659</v>
      </c>
      <c r="G1241" s="109"/>
    </row>
    <row r="1242" customFormat="false" ht="15" hidden="false" customHeight="false" outlineLevel="0" collapsed="false">
      <c r="A1242" s="109" t="s">
        <v>96</v>
      </c>
      <c r="B1242" s="109" t="s">
        <v>103</v>
      </c>
      <c r="C1242" s="109" t="s">
        <v>572</v>
      </c>
      <c r="D1242" s="109" t="s">
        <v>35</v>
      </c>
      <c r="E1242" s="110" t="s">
        <v>18</v>
      </c>
      <c r="F1242" s="109" t="s">
        <v>2660</v>
      </c>
      <c r="G1242" s="111" t="s">
        <v>2661</v>
      </c>
    </row>
    <row r="1243" customFormat="false" ht="15" hidden="false" customHeight="false" outlineLevel="0" collapsed="false">
      <c r="A1243" s="109" t="s">
        <v>96</v>
      </c>
      <c r="B1243" s="109" t="s">
        <v>103</v>
      </c>
      <c r="C1243" s="109" t="s">
        <v>572</v>
      </c>
      <c r="D1243" s="109" t="s">
        <v>39</v>
      </c>
      <c r="E1243" s="115" t="s">
        <v>20</v>
      </c>
      <c r="F1243" s="109" t="s">
        <v>2662</v>
      </c>
      <c r="G1243" s="111" t="s">
        <v>2614</v>
      </c>
    </row>
    <row r="1244" customFormat="false" ht="23.85" hidden="false" customHeight="false" outlineLevel="0" collapsed="false">
      <c r="A1244" s="109" t="s">
        <v>96</v>
      </c>
      <c r="B1244" s="109" t="s">
        <v>103</v>
      </c>
      <c r="C1244" s="109" t="s">
        <v>572</v>
      </c>
      <c r="D1244" s="109" t="s">
        <v>43</v>
      </c>
      <c r="E1244" s="110" t="s">
        <v>18</v>
      </c>
      <c r="F1244" s="109" t="s">
        <v>2663</v>
      </c>
      <c r="G1244" s="111" t="s">
        <v>2664</v>
      </c>
    </row>
    <row r="1245" customFormat="false" ht="15" hidden="false" customHeight="false" outlineLevel="0" collapsed="false">
      <c r="A1245" s="109" t="s">
        <v>96</v>
      </c>
      <c r="B1245" s="109" t="s">
        <v>103</v>
      </c>
      <c r="C1245" s="109" t="s">
        <v>572</v>
      </c>
      <c r="D1245" s="109" t="s">
        <v>47</v>
      </c>
      <c r="E1245" s="115" t="s">
        <v>20</v>
      </c>
      <c r="F1245" s="109" t="s">
        <v>2665</v>
      </c>
      <c r="G1245" s="111" t="s">
        <v>2618</v>
      </c>
    </row>
    <row r="1246" customFormat="false" ht="15" hidden="false" customHeight="false" outlineLevel="0" collapsed="false">
      <c r="A1246" s="109" t="s">
        <v>96</v>
      </c>
      <c r="B1246" s="109" t="s">
        <v>103</v>
      </c>
      <c r="C1246" s="109" t="s">
        <v>572</v>
      </c>
      <c r="D1246" s="109" t="s">
        <v>51</v>
      </c>
      <c r="E1246" s="115" t="s">
        <v>20</v>
      </c>
      <c r="F1246" s="109" t="s">
        <v>2666</v>
      </c>
      <c r="G1246" s="111" t="s">
        <v>2637</v>
      </c>
    </row>
    <row r="1247" customFormat="false" ht="15" hidden="false" customHeight="false" outlineLevel="0" collapsed="false">
      <c r="A1247" s="109" t="s">
        <v>96</v>
      </c>
      <c r="B1247" s="109" t="s">
        <v>103</v>
      </c>
      <c r="C1247" s="109" t="s">
        <v>572</v>
      </c>
      <c r="D1247" s="109" t="s">
        <v>55</v>
      </c>
      <c r="E1247" s="110" t="s">
        <v>18</v>
      </c>
      <c r="F1247" s="109" t="s">
        <v>2667</v>
      </c>
      <c r="G1247" s="111" t="s">
        <v>2639</v>
      </c>
    </row>
    <row r="1248" customFormat="false" ht="15" hidden="false" customHeight="false" outlineLevel="0" collapsed="false">
      <c r="A1248" s="109" t="s">
        <v>96</v>
      </c>
      <c r="B1248" s="109" t="s">
        <v>103</v>
      </c>
      <c r="C1248" s="109" t="s">
        <v>572</v>
      </c>
      <c r="D1248" s="109" t="s">
        <v>59</v>
      </c>
      <c r="E1248" s="110" t="s">
        <v>18</v>
      </c>
      <c r="F1248" s="109" t="s">
        <v>2668</v>
      </c>
      <c r="G1248" s="111" t="s">
        <v>2624</v>
      </c>
    </row>
    <row r="1249" customFormat="false" ht="15" hidden="false" customHeight="false" outlineLevel="0" collapsed="false">
      <c r="A1249" s="109" t="s">
        <v>96</v>
      </c>
      <c r="B1249" s="109" t="s">
        <v>103</v>
      </c>
      <c r="C1249" s="109" t="s">
        <v>572</v>
      </c>
      <c r="D1249" s="109" t="s">
        <v>63</v>
      </c>
      <c r="E1249" s="113" t="s">
        <v>24</v>
      </c>
      <c r="F1249" s="109" t="s">
        <v>2669</v>
      </c>
      <c r="G1249" s="111" t="s">
        <v>2626</v>
      </c>
    </row>
    <row r="1250" customFormat="false" ht="15" hidden="false" customHeight="false" outlineLevel="0" collapsed="false">
      <c r="A1250" s="109" t="s">
        <v>96</v>
      </c>
      <c r="B1250" s="109" t="s">
        <v>103</v>
      </c>
      <c r="C1250" s="109" t="s">
        <v>572</v>
      </c>
      <c r="D1250" s="109" t="s">
        <v>67</v>
      </c>
      <c r="E1250" s="116" t="s">
        <v>26</v>
      </c>
      <c r="F1250" s="109" t="s">
        <v>2670</v>
      </c>
      <c r="G1250" s="109"/>
    </row>
    <row r="1251" customFormat="false" ht="15" hidden="false" customHeight="false" outlineLevel="0" collapsed="false">
      <c r="A1251" s="109" t="s">
        <v>96</v>
      </c>
      <c r="B1251" s="109" t="s">
        <v>103</v>
      </c>
      <c r="C1251" s="109" t="s">
        <v>572</v>
      </c>
      <c r="D1251" s="109" t="s">
        <v>71</v>
      </c>
      <c r="E1251" s="113" t="s">
        <v>24</v>
      </c>
      <c r="F1251" s="109" t="s">
        <v>2671</v>
      </c>
      <c r="G1251" s="109"/>
    </row>
    <row r="1252" customFormat="false" ht="15" hidden="false" customHeight="false" outlineLevel="0" collapsed="false">
      <c r="A1252" s="109" t="s">
        <v>96</v>
      </c>
      <c r="B1252" s="109" t="s">
        <v>104</v>
      </c>
      <c r="C1252" s="109" t="s">
        <v>573</v>
      </c>
      <c r="D1252" s="109" t="s">
        <v>35</v>
      </c>
      <c r="E1252" s="112" t="s">
        <v>16</v>
      </c>
      <c r="F1252" s="109" t="s">
        <v>2672</v>
      </c>
      <c r="G1252" s="111" t="s">
        <v>2673</v>
      </c>
    </row>
    <row r="1253" customFormat="false" ht="15" hidden="false" customHeight="false" outlineLevel="0" collapsed="false">
      <c r="A1253" s="109" t="s">
        <v>96</v>
      </c>
      <c r="B1253" s="109" t="s">
        <v>104</v>
      </c>
      <c r="C1253" s="109" t="s">
        <v>573</v>
      </c>
      <c r="D1253" s="109" t="s">
        <v>39</v>
      </c>
      <c r="E1253" s="112" t="s">
        <v>16</v>
      </c>
      <c r="F1253" s="109" t="s">
        <v>2674</v>
      </c>
      <c r="G1253" s="111" t="s">
        <v>2675</v>
      </c>
    </row>
    <row r="1254" customFormat="false" ht="23.85" hidden="false" customHeight="false" outlineLevel="0" collapsed="false">
      <c r="A1254" s="109" t="s">
        <v>96</v>
      </c>
      <c r="B1254" s="109" t="s">
        <v>104</v>
      </c>
      <c r="C1254" s="109" t="s">
        <v>573</v>
      </c>
      <c r="D1254" s="109" t="s">
        <v>43</v>
      </c>
      <c r="E1254" s="112" t="s">
        <v>16</v>
      </c>
      <c r="F1254" s="109" t="s">
        <v>2676</v>
      </c>
      <c r="G1254" s="111" t="s">
        <v>1196</v>
      </c>
    </row>
    <row r="1255" customFormat="false" ht="23.85" hidden="false" customHeight="false" outlineLevel="0" collapsed="false">
      <c r="A1255" s="109" t="s">
        <v>96</v>
      </c>
      <c r="B1255" s="109" t="s">
        <v>104</v>
      </c>
      <c r="C1255" s="109" t="s">
        <v>573</v>
      </c>
      <c r="D1255" s="109" t="s">
        <v>47</v>
      </c>
      <c r="E1255" s="114" t="s">
        <v>22</v>
      </c>
      <c r="F1255" s="109" t="s">
        <v>2677</v>
      </c>
      <c r="G1255" s="111" t="s">
        <v>2678</v>
      </c>
    </row>
    <row r="1256" customFormat="false" ht="23.85" hidden="false" customHeight="false" outlineLevel="0" collapsed="false">
      <c r="A1256" s="109" t="s">
        <v>96</v>
      </c>
      <c r="B1256" s="109" t="s">
        <v>104</v>
      </c>
      <c r="C1256" s="109" t="s">
        <v>573</v>
      </c>
      <c r="D1256" s="109" t="s">
        <v>51</v>
      </c>
      <c r="E1256" s="116" t="s">
        <v>26</v>
      </c>
      <c r="F1256" s="109" t="s">
        <v>2679</v>
      </c>
      <c r="G1256" s="109"/>
    </row>
    <row r="1257" customFormat="false" ht="15" hidden="false" customHeight="false" outlineLevel="0" collapsed="false">
      <c r="A1257" s="109" t="s">
        <v>96</v>
      </c>
      <c r="B1257" s="109" t="s">
        <v>104</v>
      </c>
      <c r="C1257" s="109" t="s">
        <v>573</v>
      </c>
      <c r="D1257" s="109" t="s">
        <v>55</v>
      </c>
      <c r="E1257" s="116" t="s">
        <v>26</v>
      </c>
      <c r="F1257" s="109" t="s">
        <v>2680</v>
      </c>
      <c r="G1257" s="109"/>
    </row>
    <row r="1258" customFormat="false" ht="23.85" hidden="false" customHeight="false" outlineLevel="0" collapsed="false">
      <c r="A1258" s="109" t="s">
        <v>96</v>
      </c>
      <c r="B1258" s="109" t="s">
        <v>104</v>
      </c>
      <c r="C1258" s="109" t="s">
        <v>573</v>
      </c>
      <c r="D1258" s="109" t="s">
        <v>59</v>
      </c>
      <c r="E1258" s="114" t="s">
        <v>22</v>
      </c>
      <c r="F1258" s="109" t="s">
        <v>2681</v>
      </c>
      <c r="G1258" s="111" t="s">
        <v>1172</v>
      </c>
    </row>
    <row r="1259" customFormat="false" ht="15" hidden="false" customHeight="false" outlineLevel="0" collapsed="false">
      <c r="A1259" s="109" t="s">
        <v>96</v>
      </c>
      <c r="B1259" s="109" t="s">
        <v>104</v>
      </c>
      <c r="C1259" s="109" t="s">
        <v>573</v>
      </c>
      <c r="D1259" s="109" t="s">
        <v>63</v>
      </c>
      <c r="E1259" s="114" t="s">
        <v>22</v>
      </c>
      <c r="F1259" s="109" t="s">
        <v>2682</v>
      </c>
      <c r="G1259" s="111" t="s">
        <v>2683</v>
      </c>
    </row>
    <row r="1260" customFormat="false" ht="15" hidden="false" customHeight="false" outlineLevel="0" collapsed="false">
      <c r="A1260" s="109" t="s">
        <v>96</v>
      </c>
      <c r="B1260" s="109" t="s">
        <v>104</v>
      </c>
      <c r="C1260" s="109" t="s">
        <v>573</v>
      </c>
      <c r="D1260" s="109" t="s">
        <v>67</v>
      </c>
      <c r="E1260" s="116" t="s">
        <v>26</v>
      </c>
      <c r="F1260" s="109" t="s">
        <v>2684</v>
      </c>
      <c r="G1260" s="109"/>
    </row>
    <row r="1261" customFormat="false" ht="15" hidden="false" customHeight="false" outlineLevel="0" collapsed="false">
      <c r="A1261" s="109" t="s">
        <v>96</v>
      </c>
      <c r="B1261" s="109" t="s">
        <v>104</v>
      </c>
      <c r="C1261" s="109" t="s">
        <v>573</v>
      </c>
      <c r="D1261" s="109" t="s">
        <v>71</v>
      </c>
      <c r="E1261" s="116" t="s">
        <v>26</v>
      </c>
      <c r="F1261" s="109" t="s">
        <v>2685</v>
      </c>
      <c r="G1261" s="109"/>
    </row>
    <row r="1262" customFormat="false" ht="15" hidden="false" customHeight="false" outlineLevel="0" collapsed="false">
      <c r="A1262" s="109" t="s">
        <v>96</v>
      </c>
      <c r="B1262" s="109" t="s">
        <v>104</v>
      </c>
      <c r="C1262" s="109" t="s">
        <v>575</v>
      </c>
      <c r="D1262" s="109" t="s">
        <v>35</v>
      </c>
      <c r="E1262" s="115" t="s">
        <v>20</v>
      </c>
      <c r="F1262" s="109" t="s">
        <v>2686</v>
      </c>
      <c r="G1262" s="111" t="s">
        <v>2687</v>
      </c>
    </row>
    <row r="1263" customFormat="false" ht="15" hidden="false" customHeight="false" outlineLevel="0" collapsed="false">
      <c r="A1263" s="109" t="s">
        <v>96</v>
      </c>
      <c r="B1263" s="109" t="s">
        <v>104</v>
      </c>
      <c r="C1263" s="109" t="s">
        <v>575</v>
      </c>
      <c r="D1263" s="109" t="s">
        <v>39</v>
      </c>
      <c r="E1263" s="115" t="s">
        <v>20</v>
      </c>
      <c r="F1263" s="109" t="s">
        <v>2688</v>
      </c>
      <c r="G1263" s="111" t="s">
        <v>2689</v>
      </c>
    </row>
    <row r="1264" customFormat="false" ht="15" hidden="false" customHeight="false" outlineLevel="0" collapsed="false">
      <c r="A1264" s="109" t="s">
        <v>96</v>
      </c>
      <c r="B1264" s="109" t="s">
        <v>104</v>
      </c>
      <c r="C1264" s="109" t="s">
        <v>575</v>
      </c>
      <c r="D1264" s="109" t="s">
        <v>43</v>
      </c>
      <c r="E1264" s="115" t="s">
        <v>20</v>
      </c>
      <c r="F1264" s="109" t="s">
        <v>2690</v>
      </c>
      <c r="G1264" s="111" t="s">
        <v>2691</v>
      </c>
    </row>
    <row r="1265" customFormat="false" ht="15" hidden="false" customHeight="false" outlineLevel="0" collapsed="false">
      <c r="A1265" s="109" t="s">
        <v>96</v>
      </c>
      <c r="B1265" s="109" t="s">
        <v>104</v>
      </c>
      <c r="C1265" s="109" t="s">
        <v>575</v>
      </c>
      <c r="D1265" s="109" t="s">
        <v>47</v>
      </c>
      <c r="E1265" s="115" t="s">
        <v>20</v>
      </c>
      <c r="F1265" s="109" t="s">
        <v>2692</v>
      </c>
      <c r="G1265" s="111" t="s">
        <v>2693</v>
      </c>
    </row>
    <row r="1266" customFormat="false" ht="15" hidden="false" customHeight="false" outlineLevel="0" collapsed="false">
      <c r="A1266" s="109" t="s">
        <v>96</v>
      </c>
      <c r="B1266" s="109" t="s">
        <v>104</v>
      </c>
      <c r="C1266" s="109" t="s">
        <v>575</v>
      </c>
      <c r="D1266" s="109" t="s">
        <v>51</v>
      </c>
      <c r="E1266" s="115" t="s">
        <v>20</v>
      </c>
      <c r="F1266" s="109" t="s">
        <v>2694</v>
      </c>
      <c r="G1266" s="111" t="s">
        <v>2695</v>
      </c>
    </row>
    <row r="1267" customFormat="false" ht="15" hidden="false" customHeight="false" outlineLevel="0" collapsed="false">
      <c r="A1267" s="109" t="s">
        <v>96</v>
      </c>
      <c r="B1267" s="109" t="s">
        <v>104</v>
      </c>
      <c r="C1267" s="109" t="s">
        <v>575</v>
      </c>
      <c r="D1267" s="109" t="s">
        <v>55</v>
      </c>
      <c r="E1267" s="113" t="s">
        <v>24</v>
      </c>
      <c r="F1267" s="109" t="s">
        <v>2696</v>
      </c>
      <c r="G1267" s="109"/>
    </row>
    <row r="1268" customFormat="false" ht="15" hidden="false" customHeight="false" outlineLevel="0" collapsed="false">
      <c r="A1268" s="109" t="s">
        <v>96</v>
      </c>
      <c r="B1268" s="109" t="s">
        <v>104</v>
      </c>
      <c r="C1268" s="109" t="s">
        <v>575</v>
      </c>
      <c r="D1268" s="109" t="s">
        <v>59</v>
      </c>
      <c r="E1268" s="113" t="s">
        <v>24</v>
      </c>
      <c r="F1268" s="109" t="s">
        <v>2697</v>
      </c>
      <c r="G1268" s="109"/>
    </row>
    <row r="1269" customFormat="false" ht="15" hidden="false" customHeight="false" outlineLevel="0" collapsed="false">
      <c r="A1269" s="109" t="s">
        <v>96</v>
      </c>
      <c r="B1269" s="109" t="s">
        <v>104</v>
      </c>
      <c r="C1269" s="109" t="s">
        <v>575</v>
      </c>
      <c r="D1269" s="109" t="s">
        <v>63</v>
      </c>
      <c r="E1269" s="113" t="s">
        <v>24</v>
      </c>
      <c r="F1269" s="109" t="s">
        <v>2697</v>
      </c>
      <c r="G1269" s="109"/>
    </row>
    <row r="1270" customFormat="false" ht="15" hidden="false" customHeight="false" outlineLevel="0" collapsed="false">
      <c r="A1270" s="109" t="s">
        <v>96</v>
      </c>
      <c r="B1270" s="109" t="s">
        <v>104</v>
      </c>
      <c r="C1270" s="109" t="s">
        <v>575</v>
      </c>
      <c r="D1270" s="109" t="s">
        <v>67</v>
      </c>
      <c r="E1270" s="114" t="s">
        <v>22</v>
      </c>
      <c r="F1270" s="109" t="s">
        <v>2698</v>
      </c>
      <c r="G1270" s="111" t="s">
        <v>1239</v>
      </c>
    </row>
    <row r="1271" customFormat="false" ht="15" hidden="false" customHeight="false" outlineLevel="0" collapsed="false">
      <c r="A1271" s="109" t="s">
        <v>96</v>
      </c>
      <c r="B1271" s="109" t="s">
        <v>104</v>
      </c>
      <c r="C1271" s="109" t="s">
        <v>575</v>
      </c>
      <c r="D1271" s="109" t="s">
        <v>71</v>
      </c>
      <c r="E1271" s="113" t="s">
        <v>24</v>
      </c>
      <c r="F1271" s="109" t="s">
        <v>2696</v>
      </c>
      <c r="G1271" s="109"/>
    </row>
    <row r="1272" customFormat="false" ht="15" hidden="false" customHeight="false" outlineLevel="0" collapsed="false">
      <c r="A1272" s="109" t="s">
        <v>96</v>
      </c>
      <c r="B1272" s="109" t="s">
        <v>104</v>
      </c>
      <c r="C1272" s="109" t="s">
        <v>577</v>
      </c>
      <c r="D1272" s="109" t="s">
        <v>35</v>
      </c>
      <c r="E1272" s="112" t="s">
        <v>16</v>
      </c>
      <c r="F1272" s="109" t="s">
        <v>2699</v>
      </c>
      <c r="G1272" s="111" t="s">
        <v>2700</v>
      </c>
    </row>
    <row r="1273" customFormat="false" ht="15" hidden="false" customHeight="false" outlineLevel="0" collapsed="false">
      <c r="A1273" s="109" t="s">
        <v>96</v>
      </c>
      <c r="B1273" s="109" t="s">
        <v>104</v>
      </c>
      <c r="C1273" s="109" t="s">
        <v>577</v>
      </c>
      <c r="D1273" s="109" t="s">
        <v>39</v>
      </c>
      <c r="E1273" s="112" t="s">
        <v>16</v>
      </c>
      <c r="F1273" s="109" t="s">
        <v>2701</v>
      </c>
      <c r="G1273" s="111" t="s">
        <v>2702</v>
      </c>
    </row>
    <row r="1274" customFormat="false" ht="15" hidden="false" customHeight="false" outlineLevel="0" collapsed="false">
      <c r="A1274" s="109" t="s">
        <v>96</v>
      </c>
      <c r="B1274" s="109" t="s">
        <v>104</v>
      </c>
      <c r="C1274" s="109" t="s">
        <v>577</v>
      </c>
      <c r="D1274" s="109" t="s">
        <v>43</v>
      </c>
      <c r="E1274" s="113" t="s">
        <v>24</v>
      </c>
      <c r="F1274" s="109" t="s">
        <v>2703</v>
      </c>
      <c r="G1274" s="109"/>
    </row>
    <row r="1275" customFormat="false" ht="23.85" hidden="false" customHeight="false" outlineLevel="0" collapsed="false">
      <c r="A1275" s="109" t="s">
        <v>96</v>
      </c>
      <c r="B1275" s="109" t="s">
        <v>104</v>
      </c>
      <c r="C1275" s="109" t="s">
        <v>577</v>
      </c>
      <c r="D1275" s="109" t="s">
        <v>47</v>
      </c>
      <c r="E1275" s="114" t="s">
        <v>22</v>
      </c>
      <c r="F1275" s="109" t="s">
        <v>2704</v>
      </c>
      <c r="G1275" s="109"/>
    </row>
    <row r="1276" customFormat="false" ht="15" hidden="false" customHeight="false" outlineLevel="0" collapsed="false">
      <c r="A1276" s="109" t="s">
        <v>96</v>
      </c>
      <c r="B1276" s="109" t="s">
        <v>104</v>
      </c>
      <c r="C1276" s="109" t="s">
        <v>577</v>
      </c>
      <c r="D1276" s="109" t="s">
        <v>51</v>
      </c>
      <c r="E1276" s="113" t="s">
        <v>24</v>
      </c>
      <c r="F1276" s="109" t="s">
        <v>2705</v>
      </c>
      <c r="G1276" s="109"/>
    </row>
    <row r="1277" customFormat="false" ht="15" hidden="false" customHeight="false" outlineLevel="0" collapsed="false">
      <c r="A1277" s="109" t="s">
        <v>96</v>
      </c>
      <c r="B1277" s="109" t="s">
        <v>104</v>
      </c>
      <c r="C1277" s="109" t="s">
        <v>577</v>
      </c>
      <c r="D1277" s="109" t="s">
        <v>55</v>
      </c>
      <c r="E1277" s="116" t="s">
        <v>26</v>
      </c>
      <c r="F1277" s="109" t="s">
        <v>2706</v>
      </c>
      <c r="G1277" s="109"/>
    </row>
    <row r="1278" customFormat="false" ht="15" hidden="false" customHeight="false" outlineLevel="0" collapsed="false">
      <c r="A1278" s="109" t="s">
        <v>96</v>
      </c>
      <c r="B1278" s="109" t="s">
        <v>104</v>
      </c>
      <c r="C1278" s="109" t="s">
        <v>577</v>
      </c>
      <c r="D1278" s="109" t="s">
        <v>59</v>
      </c>
      <c r="E1278" s="116" t="s">
        <v>26</v>
      </c>
      <c r="F1278" s="109" t="s">
        <v>2707</v>
      </c>
      <c r="G1278" s="109"/>
    </row>
    <row r="1279" customFormat="false" ht="15" hidden="false" customHeight="false" outlineLevel="0" collapsed="false">
      <c r="A1279" s="109" t="s">
        <v>96</v>
      </c>
      <c r="B1279" s="109" t="s">
        <v>104</v>
      </c>
      <c r="C1279" s="109" t="s">
        <v>577</v>
      </c>
      <c r="D1279" s="109" t="s">
        <v>63</v>
      </c>
      <c r="E1279" s="113" t="s">
        <v>24</v>
      </c>
      <c r="F1279" s="109" t="s">
        <v>2708</v>
      </c>
      <c r="G1279" s="109"/>
    </row>
    <row r="1280" customFormat="false" ht="15" hidden="false" customHeight="false" outlineLevel="0" collapsed="false">
      <c r="A1280" s="109" t="s">
        <v>96</v>
      </c>
      <c r="B1280" s="109" t="s">
        <v>104</v>
      </c>
      <c r="C1280" s="109" t="s">
        <v>577</v>
      </c>
      <c r="D1280" s="109" t="s">
        <v>67</v>
      </c>
      <c r="E1280" s="116" t="s">
        <v>26</v>
      </c>
      <c r="F1280" s="109" t="s">
        <v>2709</v>
      </c>
      <c r="G1280" s="109"/>
    </row>
    <row r="1281" customFormat="false" ht="15" hidden="false" customHeight="false" outlineLevel="0" collapsed="false">
      <c r="A1281" s="109" t="s">
        <v>96</v>
      </c>
      <c r="B1281" s="109" t="s">
        <v>104</v>
      </c>
      <c r="C1281" s="109" t="s">
        <v>577</v>
      </c>
      <c r="D1281" s="109" t="s">
        <v>71</v>
      </c>
      <c r="E1281" s="116" t="s">
        <v>26</v>
      </c>
      <c r="F1281" s="109" t="s">
        <v>2710</v>
      </c>
      <c r="G1281" s="109"/>
    </row>
    <row r="1282" customFormat="false" ht="15" hidden="false" customHeight="false" outlineLevel="0" collapsed="false">
      <c r="A1282" s="109" t="s">
        <v>96</v>
      </c>
      <c r="B1282" s="109" t="s">
        <v>104</v>
      </c>
      <c r="C1282" s="109" t="s">
        <v>579</v>
      </c>
      <c r="D1282" s="109" t="s">
        <v>35</v>
      </c>
      <c r="E1282" s="114" t="s">
        <v>22</v>
      </c>
      <c r="F1282" s="109" t="s">
        <v>2711</v>
      </c>
      <c r="G1282" s="111" t="s">
        <v>1082</v>
      </c>
    </row>
    <row r="1283" customFormat="false" ht="15" hidden="false" customHeight="false" outlineLevel="0" collapsed="false">
      <c r="A1283" s="109" t="s">
        <v>96</v>
      </c>
      <c r="B1283" s="109" t="s">
        <v>104</v>
      </c>
      <c r="C1283" s="109" t="s">
        <v>579</v>
      </c>
      <c r="D1283" s="109" t="s">
        <v>39</v>
      </c>
      <c r="E1283" s="112" t="s">
        <v>16</v>
      </c>
      <c r="F1283" s="109" t="s">
        <v>2712</v>
      </c>
      <c r="G1283" s="111" t="s">
        <v>869</v>
      </c>
    </row>
    <row r="1284" customFormat="false" ht="23.85" hidden="false" customHeight="false" outlineLevel="0" collapsed="false">
      <c r="A1284" s="109" t="s">
        <v>96</v>
      </c>
      <c r="B1284" s="109" t="s">
        <v>104</v>
      </c>
      <c r="C1284" s="109" t="s">
        <v>579</v>
      </c>
      <c r="D1284" s="109" t="s">
        <v>43</v>
      </c>
      <c r="E1284" s="112" t="s">
        <v>16</v>
      </c>
      <c r="F1284" s="109" t="s">
        <v>2713</v>
      </c>
      <c r="G1284" s="111" t="s">
        <v>1035</v>
      </c>
    </row>
    <row r="1285" customFormat="false" ht="23.85" hidden="false" customHeight="false" outlineLevel="0" collapsed="false">
      <c r="A1285" s="109" t="s">
        <v>96</v>
      </c>
      <c r="B1285" s="109" t="s">
        <v>104</v>
      </c>
      <c r="C1285" s="109" t="s">
        <v>579</v>
      </c>
      <c r="D1285" s="109" t="s">
        <v>47</v>
      </c>
      <c r="E1285" s="114" t="s">
        <v>22</v>
      </c>
      <c r="F1285" s="109" t="s">
        <v>2714</v>
      </c>
      <c r="G1285" s="111" t="s">
        <v>1310</v>
      </c>
    </row>
    <row r="1286" customFormat="false" ht="23.85" hidden="false" customHeight="false" outlineLevel="0" collapsed="false">
      <c r="A1286" s="109" t="s">
        <v>96</v>
      </c>
      <c r="B1286" s="109" t="s">
        <v>104</v>
      </c>
      <c r="C1286" s="109" t="s">
        <v>579</v>
      </c>
      <c r="D1286" s="109" t="s">
        <v>51</v>
      </c>
      <c r="E1286" s="114" t="s">
        <v>22</v>
      </c>
      <c r="F1286" s="109" t="s">
        <v>2715</v>
      </c>
      <c r="G1286" s="111" t="s">
        <v>1232</v>
      </c>
    </row>
    <row r="1287" customFormat="false" ht="15" hidden="false" customHeight="false" outlineLevel="0" collapsed="false">
      <c r="A1287" s="109" t="s">
        <v>96</v>
      </c>
      <c r="B1287" s="109" t="s">
        <v>104</v>
      </c>
      <c r="C1287" s="109" t="s">
        <v>579</v>
      </c>
      <c r="D1287" s="109" t="s">
        <v>55</v>
      </c>
      <c r="E1287" s="113" t="s">
        <v>24</v>
      </c>
      <c r="F1287" s="109" t="s">
        <v>2716</v>
      </c>
      <c r="G1287" s="109"/>
    </row>
    <row r="1288" customFormat="false" ht="23.85" hidden="false" customHeight="false" outlineLevel="0" collapsed="false">
      <c r="A1288" s="109" t="s">
        <v>96</v>
      </c>
      <c r="B1288" s="109" t="s">
        <v>104</v>
      </c>
      <c r="C1288" s="109" t="s">
        <v>579</v>
      </c>
      <c r="D1288" s="109" t="s">
        <v>59</v>
      </c>
      <c r="E1288" s="114" t="s">
        <v>22</v>
      </c>
      <c r="F1288" s="109" t="s">
        <v>2717</v>
      </c>
      <c r="G1288" s="111" t="s">
        <v>1172</v>
      </c>
    </row>
    <row r="1289" customFormat="false" ht="15" hidden="false" customHeight="false" outlineLevel="0" collapsed="false">
      <c r="A1289" s="109" t="s">
        <v>96</v>
      </c>
      <c r="B1289" s="109" t="s">
        <v>104</v>
      </c>
      <c r="C1289" s="109" t="s">
        <v>579</v>
      </c>
      <c r="D1289" s="109" t="s">
        <v>63</v>
      </c>
      <c r="E1289" s="114" t="s">
        <v>22</v>
      </c>
      <c r="F1289" s="109" t="s">
        <v>2718</v>
      </c>
      <c r="G1289" s="111" t="s">
        <v>1237</v>
      </c>
    </row>
    <row r="1290" customFormat="false" ht="23.85" hidden="false" customHeight="false" outlineLevel="0" collapsed="false">
      <c r="A1290" s="109" t="s">
        <v>96</v>
      </c>
      <c r="B1290" s="109" t="s">
        <v>104</v>
      </c>
      <c r="C1290" s="109" t="s">
        <v>579</v>
      </c>
      <c r="D1290" s="109" t="s">
        <v>67</v>
      </c>
      <c r="E1290" s="114" t="s">
        <v>22</v>
      </c>
      <c r="F1290" s="109" t="s">
        <v>2719</v>
      </c>
      <c r="G1290" s="111" t="s">
        <v>1239</v>
      </c>
    </row>
    <row r="1291" customFormat="false" ht="15" hidden="false" customHeight="false" outlineLevel="0" collapsed="false">
      <c r="A1291" s="109" t="s">
        <v>96</v>
      </c>
      <c r="B1291" s="109" t="s">
        <v>104</v>
      </c>
      <c r="C1291" s="109" t="s">
        <v>579</v>
      </c>
      <c r="D1291" s="109" t="s">
        <v>71</v>
      </c>
      <c r="E1291" s="113" t="s">
        <v>24</v>
      </c>
      <c r="F1291" s="109" t="s">
        <v>2720</v>
      </c>
      <c r="G1291" s="111" t="s">
        <v>884</v>
      </c>
    </row>
    <row r="1292" customFormat="false" ht="15" hidden="false" customHeight="false" outlineLevel="0" collapsed="false">
      <c r="A1292" s="109" t="s">
        <v>105</v>
      </c>
      <c r="B1292" s="109" t="s">
        <v>106</v>
      </c>
      <c r="C1292" s="109" t="s">
        <v>581</v>
      </c>
      <c r="D1292" s="109" t="s">
        <v>35</v>
      </c>
      <c r="E1292" s="112" t="s">
        <v>16</v>
      </c>
      <c r="F1292" s="109" t="s">
        <v>2721</v>
      </c>
      <c r="G1292" s="111" t="s">
        <v>2722</v>
      </c>
    </row>
    <row r="1293" customFormat="false" ht="15" hidden="false" customHeight="false" outlineLevel="0" collapsed="false">
      <c r="A1293" s="109" t="s">
        <v>105</v>
      </c>
      <c r="B1293" s="109" t="s">
        <v>106</v>
      </c>
      <c r="C1293" s="109" t="s">
        <v>581</v>
      </c>
      <c r="D1293" s="109" t="s">
        <v>39</v>
      </c>
      <c r="E1293" s="112" t="s">
        <v>16</v>
      </c>
      <c r="F1293" s="109" t="s">
        <v>2723</v>
      </c>
      <c r="G1293" s="111" t="s">
        <v>2724</v>
      </c>
    </row>
    <row r="1294" customFormat="false" ht="23.85" hidden="false" customHeight="false" outlineLevel="0" collapsed="false">
      <c r="A1294" s="109" t="s">
        <v>105</v>
      </c>
      <c r="B1294" s="109" t="s">
        <v>106</v>
      </c>
      <c r="C1294" s="109" t="s">
        <v>581</v>
      </c>
      <c r="D1294" s="109" t="s">
        <v>43</v>
      </c>
      <c r="E1294" s="112" t="s">
        <v>16</v>
      </c>
      <c r="F1294" s="109" t="s">
        <v>2725</v>
      </c>
      <c r="G1294" s="111" t="s">
        <v>2726</v>
      </c>
    </row>
    <row r="1295" customFormat="false" ht="23.85" hidden="false" customHeight="false" outlineLevel="0" collapsed="false">
      <c r="A1295" s="109" t="s">
        <v>105</v>
      </c>
      <c r="B1295" s="109" t="s">
        <v>106</v>
      </c>
      <c r="C1295" s="109" t="s">
        <v>581</v>
      </c>
      <c r="D1295" s="109" t="s">
        <v>47</v>
      </c>
      <c r="E1295" s="114" t="s">
        <v>22</v>
      </c>
      <c r="F1295" s="109" t="s">
        <v>2727</v>
      </c>
      <c r="G1295" s="111" t="s">
        <v>2728</v>
      </c>
    </row>
    <row r="1296" customFormat="false" ht="23.85" hidden="false" customHeight="false" outlineLevel="0" collapsed="false">
      <c r="A1296" s="109" t="s">
        <v>105</v>
      </c>
      <c r="B1296" s="109" t="s">
        <v>106</v>
      </c>
      <c r="C1296" s="109" t="s">
        <v>581</v>
      </c>
      <c r="D1296" s="109" t="s">
        <v>51</v>
      </c>
      <c r="E1296" s="110" t="s">
        <v>18</v>
      </c>
      <c r="F1296" s="109" t="s">
        <v>2729</v>
      </c>
      <c r="G1296" s="111" t="s">
        <v>2730</v>
      </c>
    </row>
    <row r="1297" customFormat="false" ht="15" hidden="false" customHeight="false" outlineLevel="0" collapsed="false">
      <c r="A1297" s="109" t="s">
        <v>105</v>
      </c>
      <c r="B1297" s="109" t="s">
        <v>106</v>
      </c>
      <c r="C1297" s="109" t="s">
        <v>581</v>
      </c>
      <c r="D1297" s="109" t="s">
        <v>55</v>
      </c>
      <c r="E1297" s="112" t="s">
        <v>16</v>
      </c>
      <c r="F1297" s="109" t="s">
        <v>2731</v>
      </c>
      <c r="G1297" s="111" t="s">
        <v>2732</v>
      </c>
    </row>
    <row r="1298" customFormat="false" ht="23.85" hidden="false" customHeight="false" outlineLevel="0" collapsed="false">
      <c r="A1298" s="109" t="s">
        <v>105</v>
      </c>
      <c r="B1298" s="109" t="s">
        <v>106</v>
      </c>
      <c r="C1298" s="109" t="s">
        <v>581</v>
      </c>
      <c r="D1298" s="109" t="s">
        <v>59</v>
      </c>
      <c r="E1298" s="113" t="s">
        <v>24</v>
      </c>
      <c r="F1298" s="109" t="s">
        <v>2733</v>
      </c>
      <c r="G1298" s="111" t="s">
        <v>2734</v>
      </c>
    </row>
    <row r="1299" customFormat="false" ht="15" hidden="false" customHeight="false" outlineLevel="0" collapsed="false">
      <c r="A1299" s="109" t="s">
        <v>105</v>
      </c>
      <c r="B1299" s="109" t="s">
        <v>106</v>
      </c>
      <c r="C1299" s="109" t="s">
        <v>581</v>
      </c>
      <c r="D1299" s="109" t="s">
        <v>63</v>
      </c>
      <c r="E1299" s="112" t="s">
        <v>16</v>
      </c>
      <c r="F1299" s="109" t="s">
        <v>2735</v>
      </c>
      <c r="G1299" s="111" t="s">
        <v>2736</v>
      </c>
    </row>
    <row r="1300" customFormat="false" ht="15" hidden="false" customHeight="false" outlineLevel="0" collapsed="false">
      <c r="A1300" s="109" t="s">
        <v>105</v>
      </c>
      <c r="B1300" s="109" t="s">
        <v>106</v>
      </c>
      <c r="C1300" s="109" t="s">
        <v>581</v>
      </c>
      <c r="D1300" s="109" t="s">
        <v>67</v>
      </c>
      <c r="E1300" s="112" t="s">
        <v>16</v>
      </c>
      <c r="F1300" s="109" t="s">
        <v>2737</v>
      </c>
      <c r="G1300" s="111" t="s">
        <v>1935</v>
      </c>
    </row>
    <row r="1301" customFormat="false" ht="15" hidden="false" customHeight="false" outlineLevel="0" collapsed="false">
      <c r="A1301" s="109" t="s">
        <v>105</v>
      </c>
      <c r="B1301" s="109" t="s">
        <v>106</v>
      </c>
      <c r="C1301" s="109" t="s">
        <v>581</v>
      </c>
      <c r="D1301" s="109" t="s">
        <v>71</v>
      </c>
      <c r="E1301" s="112" t="s">
        <v>16</v>
      </c>
      <c r="F1301" s="109" t="s">
        <v>2738</v>
      </c>
      <c r="G1301" s="111" t="s">
        <v>2310</v>
      </c>
    </row>
    <row r="1302" customFormat="false" ht="23.85" hidden="false" customHeight="false" outlineLevel="0" collapsed="false">
      <c r="A1302" s="109" t="s">
        <v>105</v>
      </c>
      <c r="B1302" s="109" t="s">
        <v>106</v>
      </c>
      <c r="C1302" s="109" t="s">
        <v>583</v>
      </c>
      <c r="D1302" s="109" t="s">
        <v>35</v>
      </c>
      <c r="E1302" s="109" t="s">
        <v>28</v>
      </c>
      <c r="F1302" s="109" t="s">
        <v>2739</v>
      </c>
      <c r="G1302" s="111" t="s">
        <v>2740</v>
      </c>
    </row>
    <row r="1303" customFormat="false" ht="23.85" hidden="false" customHeight="false" outlineLevel="0" collapsed="false">
      <c r="A1303" s="109" t="s">
        <v>105</v>
      </c>
      <c r="B1303" s="109" t="s">
        <v>106</v>
      </c>
      <c r="C1303" s="109" t="s">
        <v>583</v>
      </c>
      <c r="D1303" s="109" t="s">
        <v>39</v>
      </c>
      <c r="E1303" s="109" t="s">
        <v>28</v>
      </c>
      <c r="F1303" s="109" t="s">
        <v>2741</v>
      </c>
      <c r="G1303" s="111" t="s">
        <v>2742</v>
      </c>
    </row>
    <row r="1304" customFormat="false" ht="23.85" hidden="false" customHeight="false" outlineLevel="0" collapsed="false">
      <c r="A1304" s="109" t="s">
        <v>105</v>
      </c>
      <c r="B1304" s="109" t="s">
        <v>106</v>
      </c>
      <c r="C1304" s="109" t="s">
        <v>583</v>
      </c>
      <c r="D1304" s="109" t="s">
        <v>43</v>
      </c>
      <c r="E1304" s="109" t="s">
        <v>28</v>
      </c>
      <c r="F1304" s="109" t="s">
        <v>2743</v>
      </c>
      <c r="G1304" s="111" t="s">
        <v>2726</v>
      </c>
    </row>
    <row r="1305" customFormat="false" ht="23.85" hidden="false" customHeight="false" outlineLevel="0" collapsed="false">
      <c r="A1305" s="109" t="s">
        <v>105</v>
      </c>
      <c r="B1305" s="109" t="s">
        <v>106</v>
      </c>
      <c r="C1305" s="109" t="s">
        <v>583</v>
      </c>
      <c r="D1305" s="109" t="s">
        <v>47</v>
      </c>
      <c r="E1305" s="109" t="s">
        <v>28</v>
      </c>
      <c r="F1305" s="109" t="s">
        <v>2744</v>
      </c>
      <c r="G1305" s="111" t="s">
        <v>2728</v>
      </c>
    </row>
    <row r="1306" customFormat="false" ht="23.85" hidden="false" customHeight="false" outlineLevel="0" collapsed="false">
      <c r="A1306" s="109" t="s">
        <v>105</v>
      </c>
      <c r="B1306" s="109" t="s">
        <v>106</v>
      </c>
      <c r="C1306" s="109" t="s">
        <v>583</v>
      </c>
      <c r="D1306" s="109" t="s">
        <v>51</v>
      </c>
      <c r="E1306" s="109" t="s">
        <v>28</v>
      </c>
      <c r="F1306" s="109" t="s">
        <v>2745</v>
      </c>
      <c r="G1306" s="111" t="s">
        <v>2730</v>
      </c>
    </row>
    <row r="1307" customFormat="false" ht="23.85" hidden="false" customHeight="false" outlineLevel="0" collapsed="false">
      <c r="A1307" s="109" t="s">
        <v>105</v>
      </c>
      <c r="B1307" s="109" t="s">
        <v>106</v>
      </c>
      <c r="C1307" s="109" t="s">
        <v>583</v>
      </c>
      <c r="D1307" s="109" t="s">
        <v>55</v>
      </c>
      <c r="E1307" s="109" t="s">
        <v>28</v>
      </c>
      <c r="F1307" s="109" t="s">
        <v>2746</v>
      </c>
      <c r="G1307" s="111" t="s">
        <v>2747</v>
      </c>
    </row>
    <row r="1308" customFormat="false" ht="23.85" hidden="false" customHeight="false" outlineLevel="0" collapsed="false">
      <c r="A1308" s="109" t="s">
        <v>105</v>
      </c>
      <c r="B1308" s="109" t="s">
        <v>106</v>
      </c>
      <c r="C1308" s="109" t="s">
        <v>583</v>
      </c>
      <c r="D1308" s="109" t="s">
        <v>59</v>
      </c>
      <c r="E1308" s="109" t="s">
        <v>28</v>
      </c>
      <c r="F1308" s="109" t="s">
        <v>2748</v>
      </c>
      <c r="G1308" s="111" t="s">
        <v>992</v>
      </c>
    </row>
    <row r="1309" customFormat="false" ht="23.85" hidden="false" customHeight="false" outlineLevel="0" collapsed="false">
      <c r="A1309" s="109" t="s">
        <v>105</v>
      </c>
      <c r="B1309" s="109" t="s">
        <v>106</v>
      </c>
      <c r="C1309" s="109" t="s">
        <v>583</v>
      </c>
      <c r="D1309" s="109" t="s">
        <v>63</v>
      </c>
      <c r="E1309" s="109" t="s">
        <v>28</v>
      </c>
      <c r="F1309" s="109" t="s">
        <v>2749</v>
      </c>
      <c r="G1309" s="111" t="s">
        <v>2736</v>
      </c>
    </row>
    <row r="1310" customFormat="false" ht="23.85" hidden="false" customHeight="false" outlineLevel="0" collapsed="false">
      <c r="A1310" s="109" t="s">
        <v>105</v>
      </c>
      <c r="B1310" s="109" t="s">
        <v>106</v>
      </c>
      <c r="C1310" s="109" t="s">
        <v>583</v>
      </c>
      <c r="D1310" s="109" t="s">
        <v>67</v>
      </c>
      <c r="E1310" s="109" t="s">
        <v>28</v>
      </c>
      <c r="F1310" s="109" t="s">
        <v>2750</v>
      </c>
      <c r="G1310" s="111" t="s">
        <v>1935</v>
      </c>
    </row>
    <row r="1311" customFormat="false" ht="23.85" hidden="false" customHeight="false" outlineLevel="0" collapsed="false">
      <c r="A1311" s="109" t="s">
        <v>105</v>
      </c>
      <c r="B1311" s="109" t="s">
        <v>106</v>
      </c>
      <c r="C1311" s="109" t="s">
        <v>583</v>
      </c>
      <c r="D1311" s="109" t="s">
        <v>71</v>
      </c>
      <c r="E1311" s="109" t="s">
        <v>28</v>
      </c>
      <c r="F1311" s="109" t="s">
        <v>2751</v>
      </c>
      <c r="G1311" s="111" t="s">
        <v>1990</v>
      </c>
    </row>
    <row r="1312" customFormat="false" ht="15" hidden="false" customHeight="false" outlineLevel="0" collapsed="false">
      <c r="A1312" s="109" t="s">
        <v>105</v>
      </c>
      <c r="B1312" s="109" t="s">
        <v>106</v>
      </c>
      <c r="C1312" s="109" t="s">
        <v>585</v>
      </c>
      <c r="D1312" s="109" t="s">
        <v>35</v>
      </c>
      <c r="E1312" s="113" t="s">
        <v>24</v>
      </c>
      <c r="F1312" s="109" t="s">
        <v>2752</v>
      </c>
      <c r="G1312" s="109"/>
    </row>
    <row r="1313" customFormat="false" ht="15" hidden="false" customHeight="false" outlineLevel="0" collapsed="false">
      <c r="A1313" s="109" t="s">
        <v>105</v>
      </c>
      <c r="B1313" s="109" t="s">
        <v>106</v>
      </c>
      <c r="C1313" s="109" t="s">
        <v>585</v>
      </c>
      <c r="D1313" s="109" t="s">
        <v>39</v>
      </c>
      <c r="E1313" s="113" t="s">
        <v>24</v>
      </c>
      <c r="F1313" s="109" t="s">
        <v>2753</v>
      </c>
      <c r="G1313" s="109"/>
    </row>
    <row r="1314" customFormat="false" ht="15" hidden="false" customHeight="false" outlineLevel="0" collapsed="false">
      <c r="A1314" s="109" t="s">
        <v>105</v>
      </c>
      <c r="B1314" s="109" t="s">
        <v>106</v>
      </c>
      <c r="C1314" s="109" t="s">
        <v>585</v>
      </c>
      <c r="D1314" s="109" t="s">
        <v>43</v>
      </c>
      <c r="E1314" s="113" t="s">
        <v>24</v>
      </c>
      <c r="F1314" s="109" t="s">
        <v>2754</v>
      </c>
      <c r="G1314" s="109"/>
    </row>
    <row r="1315" customFormat="false" ht="15" hidden="false" customHeight="false" outlineLevel="0" collapsed="false">
      <c r="A1315" s="109" t="s">
        <v>105</v>
      </c>
      <c r="B1315" s="109" t="s">
        <v>106</v>
      </c>
      <c r="C1315" s="109" t="s">
        <v>585</v>
      </c>
      <c r="D1315" s="109" t="s">
        <v>47</v>
      </c>
      <c r="E1315" s="112" t="s">
        <v>16</v>
      </c>
      <c r="F1315" s="109" t="s">
        <v>2755</v>
      </c>
      <c r="G1315" s="111" t="s">
        <v>2100</v>
      </c>
    </row>
    <row r="1316" customFormat="false" ht="23.85" hidden="false" customHeight="false" outlineLevel="0" collapsed="false">
      <c r="A1316" s="109" t="s">
        <v>105</v>
      </c>
      <c r="B1316" s="109" t="s">
        <v>106</v>
      </c>
      <c r="C1316" s="109" t="s">
        <v>585</v>
      </c>
      <c r="D1316" s="109" t="s">
        <v>51</v>
      </c>
      <c r="E1316" s="112" t="s">
        <v>16</v>
      </c>
      <c r="F1316" s="109" t="s">
        <v>2756</v>
      </c>
      <c r="G1316" s="111" t="s">
        <v>2757</v>
      </c>
    </row>
    <row r="1317" customFormat="false" ht="23.85" hidden="false" customHeight="false" outlineLevel="0" collapsed="false">
      <c r="A1317" s="109" t="s">
        <v>105</v>
      </c>
      <c r="B1317" s="109" t="s">
        <v>106</v>
      </c>
      <c r="C1317" s="109" t="s">
        <v>585</v>
      </c>
      <c r="D1317" s="109" t="s">
        <v>55</v>
      </c>
      <c r="E1317" s="114" t="s">
        <v>22</v>
      </c>
      <c r="F1317" s="109" t="s">
        <v>2758</v>
      </c>
      <c r="G1317" s="111" t="s">
        <v>2292</v>
      </c>
    </row>
    <row r="1318" customFormat="false" ht="23.85" hidden="false" customHeight="false" outlineLevel="0" collapsed="false">
      <c r="A1318" s="109" t="s">
        <v>105</v>
      </c>
      <c r="B1318" s="109" t="s">
        <v>106</v>
      </c>
      <c r="C1318" s="109" t="s">
        <v>585</v>
      </c>
      <c r="D1318" s="109" t="s">
        <v>59</v>
      </c>
      <c r="E1318" s="112" t="s">
        <v>16</v>
      </c>
      <c r="F1318" s="109" t="s">
        <v>2759</v>
      </c>
      <c r="G1318" s="111" t="s">
        <v>2734</v>
      </c>
    </row>
    <row r="1319" customFormat="false" ht="15" hidden="false" customHeight="false" outlineLevel="0" collapsed="false">
      <c r="A1319" s="109" t="s">
        <v>105</v>
      </c>
      <c r="B1319" s="109" t="s">
        <v>106</v>
      </c>
      <c r="C1319" s="109" t="s">
        <v>585</v>
      </c>
      <c r="D1319" s="109" t="s">
        <v>63</v>
      </c>
      <c r="E1319" s="113" t="s">
        <v>24</v>
      </c>
      <c r="F1319" s="109" t="s">
        <v>2760</v>
      </c>
      <c r="G1319" s="109"/>
    </row>
    <row r="1320" customFormat="false" ht="15" hidden="false" customHeight="false" outlineLevel="0" collapsed="false">
      <c r="A1320" s="109" t="s">
        <v>105</v>
      </c>
      <c r="B1320" s="109" t="s">
        <v>106</v>
      </c>
      <c r="C1320" s="109" t="s">
        <v>585</v>
      </c>
      <c r="D1320" s="109" t="s">
        <v>67</v>
      </c>
      <c r="E1320" s="113" t="s">
        <v>24</v>
      </c>
      <c r="F1320" s="109" t="s">
        <v>2761</v>
      </c>
      <c r="G1320" s="109"/>
    </row>
    <row r="1321" customFormat="false" ht="15" hidden="false" customHeight="false" outlineLevel="0" collapsed="false">
      <c r="A1321" s="109" t="s">
        <v>105</v>
      </c>
      <c r="B1321" s="109" t="s">
        <v>106</v>
      </c>
      <c r="C1321" s="109" t="s">
        <v>585</v>
      </c>
      <c r="D1321" s="109" t="s">
        <v>71</v>
      </c>
      <c r="E1321" s="113" t="s">
        <v>24</v>
      </c>
      <c r="F1321" s="109" t="s">
        <v>2754</v>
      </c>
      <c r="G1321" s="109"/>
    </row>
    <row r="1322" customFormat="false" ht="23.85" hidden="false" customHeight="false" outlineLevel="0" collapsed="false">
      <c r="A1322" s="109" t="s">
        <v>105</v>
      </c>
      <c r="B1322" s="109" t="s">
        <v>106</v>
      </c>
      <c r="C1322" s="109" t="s">
        <v>587</v>
      </c>
      <c r="D1322" s="109" t="s">
        <v>35</v>
      </c>
      <c r="E1322" s="114" t="s">
        <v>22</v>
      </c>
      <c r="F1322" s="109" t="s">
        <v>2762</v>
      </c>
      <c r="G1322" s="111" t="s">
        <v>2763</v>
      </c>
    </row>
    <row r="1323" customFormat="false" ht="23.85" hidden="false" customHeight="false" outlineLevel="0" collapsed="false">
      <c r="A1323" s="109" t="s">
        <v>105</v>
      </c>
      <c r="B1323" s="109" t="s">
        <v>106</v>
      </c>
      <c r="C1323" s="109" t="s">
        <v>587</v>
      </c>
      <c r="D1323" s="109" t="s">
        <v>39</v>
      </c>
      <c r="E1323" s="114" t="s">
        <v>22</v>
      </c>
      <c r="F1323" s="109" t="s">
        <v>2764</v>
      </c>
      <c r="G1323" s="111" t="s">
        <v>852</v>
      </c>
    </row>
    <row r="1324" customFormat="false" ht="15" hidden="false" customHeight="false" outlineLevel="0" collapsed="false">
      <c r="A1324" s="109" t="s">
        <v>105</v>
      </c>
      <c r="B1324" s="109" t="s">
        <v>106</v>
      </c>
      <c r="C1324" s="109" t="s">
        <v>587</v>
      </c>
      <c r="D1324" s="109" t="s">
        <v>43</v>
      </c>
      <c r="E1324" s="114" t="s">
        <v>22</v>
      </c>
      <c r="F1324" s="109" t="s">
        <v>2765</v>
      </c>
      <c r="G1324" s="111" t="s">
        <v>854</v>
      </c>
    </row>
    <row r="1325" customFormat="false" ht="23.85" hidden="false" customHeight="false" outlineLevel="0" collapsed="false">
      <c r="A1325" s="109" t="s">
        <v>105</v>
      </c>
      <c r="B1325" s="109" t="s">
        <v>106</v>
      </c>
      <c r="C1325" s="109" t="s">
        <v>587</v>
      </c>
      <c r="D1325" s="109" t="s">
        <v>47</v>
      </c>
      <c r="E1325" s="110" t="s">
        <v>18</v>
      </c>
      <c r="F1325" s="109" t="s">
        <v>2766</v>
      </c>
      <c r="G1325" s="111" t="s">
        <v>2767</v>
      </c>
    </row>
    <row r="1326" customFormat="false" ht="23.85" hidden="false" customHeight="false" outlineLevel="0" collapsed="false">
      <c r="A1326" s="109" t="s">
        <v>105</v>
      </c>
      <c r="B1326" s="109" t="s">
        <v>106</v>
      </c>
      <c r="C1326" s="109" t="s">
        <v>587</v>
      </c>
      <c r="D1326" s="109" t="s">
        <v>51</v>
      </c>
      <c r="E1326" s="110" t="s">
        <v>18</v>
      </c>
      <c r="F1326" s="109" t="s">
        <v>2768</v>
      </c>
      <c r="G1326" s="111" t="s">
        <v>2730</v>
      </c>
    </row>
    <row r="1327" customFormat="false" ht="23.85" hidden="false" customHeight="false" outlineLevel="0" collapsed="false">
      <c r="A1327" s="109" t="s">
        <v>105</v>
      </c>
      <c r="B1327" s="109" t="s">
        <v>106</v>
      </c>
      <c r="C1327" s="109" t="s">
        <v>587</v>
      </c>
      <c r="D1327" s="109" t="s">
        <v>55</v>
      </c>
      <c r="E1327" s="112" t="s">
        <v>16</v>
      </c>
      <c r="F1327" s="109" t="s">
        <v>2769</v>
      </c>
      <c r="G1327" s="111" t="s">
        <v>2770</v>
      </c>
    </row>
    <row r="1328" customFormat="false" ht="23.85" hidden="false" customHeight="false" outlineLevel="0" collapsed="false">
      <c r="A1328" s="109" t="s">
        <v>105</v>
      </c>
      <c r="B1328" s="109" t="s">
        <v>106</v>
      </c>
      <c r="C1328" s="109" t="s">
        <v>587</v>
      </c>
      <c r="D1328" s="109" t="s">
        <v>59</v>
      </c>
      <c r="E1328" s="114" t="s">
        <v>22</v>
      </c>
      <c r="F1328" s="109" t="s">
        <v>2771</v>
      </c>
      <c r="G1328" s="111" t="s">
        <v>842</v>
      </c>
    </row>
    <row r="1329" customFormat="false" ht="15" hidden="false" customHeight="false" outlineLevel="0" collapsed="false">
      <c r="A1329" s="109" t="s">
        <v>105</v>
      </c>
      <c r="B1329" s="109" t="s">
        <v>106</v>
      </c>
      <c r="C1329" s="109" t="s">
        <v>587</v>
      </c>
      <c r="D1329" s="109" t="s">
        <v>63</v>
      </c>
      <c r="E1329" s="113" t="s">
        <v>24</v>
      </c>
      <c r="F1329" s="109" t="s">
        <v>2772</v>
      </c>
      <c r="G1329" s="109"/>
    </row>
    <row r="1330" customFormat="false" ht="15" hidden="false" customHeight="false" outlineLevel="0" collapsed="false">
      <c r="A1330" s="109" t="s">
        <v>105</v>
      </c>
      <c r="B1330" s="109" t="s">
        <v>106</v>
      </c>
      <c r="C1330" s="109" t="s">
        <v>587</v>
      </c>
      <c r="D1330" s="109" t="s">
        <v>67</v>
      </c>
      <c r="E1330" s="114" t="s">
        <v>22</v>
      </c>
      <c r="F1330" s="109" t="s">
        <v>2773</v>
      </c>
      <c r="G1330" s="111" t="s">
        <v>864</v>
      </c>
    </row>
    <row r="1331" customFormat="false" ht="15" hidden="false" customHeight="false" outlineLevel="0" collapsed="false">
      <c r="A1331" s="109" t="s">
        <v>105</v>
      </c>
      <c r="B1331" s="109" t="s">
        <v>106</v>
      </c>
      <c r="C1331" s="109" t="s">
        <v>587</v>
      </c>
      <c r="D1331" s="109" t="s">
        <v>71</v>
      </c>
      <c r="E1331" s="113" t="s">
        <v>24</v>
      </c>
      <c r="F1331" s="109" t="s">
        <v>2774</v>
      </c>
      <c r="G1331" s="109"/>
    </row>
    <row r="1332" customFormat="false" ht="15" hidden="false" customHeight="false" outlineLevel="0" collapsed="false">
      <c r="A1332" s="109" t="s">
        <v>105</v>
      </c>
      <c r="B1332" s="109" t="s">
        <v>106</v>
      </c>
      <c r="C1332" s="109" t="s">
        <v>588</v>
      </c>
      <c r="D1332" s="109" t="s">
        <v>35</v>
      </c>
      <c r="E1332" s="114" t="s">
        <v>22</v>
      </c>
      <c r="F1332" s="109" t="s">
        <v>2775</v>
      </c>
      <c r="G1332" s="109"/>
    </row>
    <row r="1333" customFormat="false" ht="23.85" hidden="false" customHeight="false" outlineLevel="0" collapsed="false">
      <c r="A1333" s="109" t="s">
        <v>105</v>
      </c>
      <c r="B1333" s="109" t="s">
        <v>106</v>
      </c>
      <c r="C1333" s="109" t="s">
        <v>588</v>
      </c>
      <c r="D1333" s="109" t="s">
        <v>39</v>
      </c>
      <c r="E1333" s="114" t="s">
        <v>22</v>
      </c>
      <c r="F1333" s="109" t="s">
        <v>2776</v>
      </c>
      <c r="G1333" s="111" t="s">
        <v>2777</v>
      </c>
    </row>
    <row r="1334" customFormat="false" ht="15" hidden="false" customHeight="false" outlineLevel="0" collapsed="false">
      <c r="A1334" s="109" t="s">
        <v>105</v>
      </c>
      <c r="B1334" s="109" t="s">
        <v>106</v>
      </c>
      <c r="C1334" s="109" t="s">
        <v>588</v>
      </c>
      <c r="D1334" s="109" t="s">
        <v>43</v>
      </c>
      <c r="E1334" s="113" t="s">
        <v>24</v>
      </c>
      <c r="F1334" s="109" t="s">
        <v>2778</v>
      </c>
      <c r="G1334" s="111" t="s">
        <v>854</v>
      </c>
    </row>
    <row r="1335" customFormat="false" ht="23.85" hidden="false" customHeight="false" outlineLevel="0" collapsed="false">
      <c r="A1335" s="109" t="s">
        <v>105</v>
      </c>
      <c r="B1335" s="109" t="s">
        <v>106</v>
      </c>
      <c r="C1335" s="109" t="s">
        <v>588</v>
      </c>
      <c r="D1335" s="109" t="s">
        <v>47</v>
      </c>
      <c r="E1335" s="112" t="s">
        <v>16</v>
      </c>
      <c r="F1335" s="109" t="s">
        <v>2779</v>
      </c>
      <c r="G1335" s="111" t="s">
        <v>2100</v>
      </c>
    </row>
    <row r="1336" customFormat="false" ht="23.85" hidden="false" customHeight="false" outlineLevel="0" collapsed="false">
      <c r="A1336" s="109" t="s">
        <v>105</v>
      </c>
      <c r="B1336" s="109" t="s">
        <v>106</v>
      </c>
      <c r="C1336" s="109" t="s">
        <v>588</v>
      </c>
      <c r="D1336" s="109" t="s">
        <v>51</v>
      </c>
      <c r="E1336" s="112" t="s">
        <v>16</v>
      </c>
      <c r="F1336" s="109" t="s">
        <v>2780</v>
      </c>
      <c r="G1336" s="111" t="s">
        <v>2781</v>
      </c>
    </row>
    <row r="1337" customFormat="false" ht="15" hidden="false" customHeight="false" outlineLevel="0" collapsed="false">
      <c r="A1337" s="109" t="s">
        <v>105</v>
      </c>
      <c r="B1337" s="109" t="s">
        <v>106</v>
      </c>
      <c r="C1337" s="109" t="s">
        <v>588</v>
      </c>
      <c r="D1337" s="109" t="s">
        <v>55</v>
      </c>
      <c r="E1337" s="114" t="s">
        <v>22</v>
      </c>
      <c r="F1337" s="109" t="s">
        <v>2782</v>
      </c>
      <c r="G1337" s="111" t="s">
        <v>2783</v>
      </c>
    </row>
    <row r="1338" customFormat="false" ht="15" hidden="false" customHeight="false" outlineLevel="0" collapsed="false">
      <c r="A1338" s="109" t="s">
        <v>105</v>
      </c>
      <c r="B1338" s="109" t="s">
        <v>106</v>
      </c>
      <c r="C1338" s="109" t="s">
        <v>588</v>
      </c>
      <c r="D1338" s="109" t="s">
        <v>59</v>
      </c>
      <c r="E1338" s="112" t="s">
        <v>16</v>
      </c>
      <c r="F1338" s="109" t="s">
        <v>2784</v>
      </c>
      <c r="G1338" s="111" t="s">
        <v>2785</v>
      </c>
    </row>
    <row r="1339" customFormat="false" ht="15" hidden="false" customHeight="false" outlineLevel="0" collapsed="false">
      <c r="A1339" s="109" t="s">
        <v>105</v>
      </c>
      <c r="B1339" s="109" t="s">
        <v>106</v>
      </c>
      <c r="C1339" s="109" t="s">
        <v>588</v>
      </c>
      <c r="D1339" s="109" t="s">
        <v>63</v>
      </c>
      <c r="E1339" s="114" t="s">
        <v>22</v>
      </c>
      <c r="F1339" s="109" t="s">
        <v>2786</v>
      </c>
      <c r="G1339" s="109"/>
    </row>
    <row r="1340" customFormat="false" ht="15" hidden="false" customHeight="false" outlineLevel="0" collapsed="false">
      <c r="A1340" s="109" t="s">
        <v>105</v>
      </c>
      <c r="B1340" s="109" t="s">
        <v>106</v>
      </c>
      <c r="C1340" s="109" t="s">
        <v>588</v>
      </c>
      <c r="D1340" s="109" t="s">
        <v>67</v>
      </c>
      <c r="E1340" s="113" t="s">
        <v>24</v>
      </c>
      <c r="F1340" s="109" t="s">
        <v>2787</v>
      </c>
      <c r="G1340" s="109"/>
    </row>
    <row r="1341" customFormat="false" ht="15" hidden="false" customHeight="false" outlineLevel="0" collapsed="false">
      <c r="A1341" s="109" t="s">
        <v>105</v>
      </c>
      <c r="B1341" s="109" t="s">
        <v>106</v>
      </c>
      <c r="C1341" s="109" t="s">
        <v>588</v>
      </c>
      <c r="D1341" s="109" t="s">
        <v>71</v>
      </c>
      <c r="E1341" s="113" t="s">
        <v>24</v>
      </c>
      <c r="F1341" s="109" t="s">
        <v>2788</v>
      </c>
      <c r="G1341" s="109"/>
    </row>
    <row r="1342" customFormat="false" ht="23.85" hidden="false" customHeight="false" outlineLevel="0" collapsed="false">
      <c r="A1342" s="109" t="s">
        <v>105</v>
      </c>
      <c r="B1342" s="109" t="s">
        <v>107</v>
      </c>
      <c r="C1342" s="109" t="s">
        <v>591</v>
      </c>
      <c r="D1342" s="109" t="s">
        <v>35</v>
      </c>
      <c r="E1342" s="112" t="s">
        <v>16</v>
      </c>
      <c r="F1342" s="109" t="s">
        <v>2789</v>
      </c>
      <c r="G1342" s="111" t="s">
        <v>2790</v>
      </c>
    </row>
    <row r="1343" customFormat="false" ht="15" hidden="false" customHeight="false" outlineLevel="0" collapsed="false">
      <c r="A1343" s="109" t="s">
        <v>105</v>
      </c>
      <c r="B1343" s="109" t="s">
        <v>107</v>
      </c>
      <c r="C1343" s="109" t="s">
        <v>591</v>
      </c>
      <c r="D1343" s="109" t="s">
        <v>39</v>
      </c>
      <c r="E1343" s="112" t="s">
        <v>16</v>
      </c>
      <c r="F1343" s="109" t="s">
        <v>2791</v>
      </c>
      <c r="G1343" s="111" t="s">
        <v>852</v>
      </c>
    </row>
    <row r="1344" customFormat="false" ht="15" hidden="false" customHeight="false" outlineLevel="0" collapsed="false">
      <c r="A1344" s="109" t="s">
        <v>105</v>
      </c>
      <c r="B1344" s="109" t="s">
        <v>107</v>
      </c>
      <c r="C1344" s="109" t="s">
        <v>591</v>
      </c>
      <c r="D1344" s="109" t="s">
        <v>43</v>
      </c>
      <c r="E1344" s="112" t="s">
        <v>16</v>
      </c>
      <c r="F1344" s="109" t="s">
        <v>2792</v>
      </c>
      <c r="G1344" s="111" t="s">
        <v>854</v>
      </c>
    </row>
    <row r="1345" customFormat="false" ht="15" hidden="false" customHeight="false" outlineLevel="0" collapsed="false">
      <c r="A1345" s="109" t="s">
        <v>105</v>
      </c>
      <c r="B1345" s="109" t="s">
        <v>107</v>
      </c>
      <c r="C1345" s="109" t="s">
        <v>591</v>
      </c>
      <c r="D1345" s="109" t="s">
        <v>47</v>
      </c>
      <c r="E1345" s="112" t="s">
        <v>16</v>
      </c>
      <c r="F1345" s="109" t="s">
        <v>2793</v>
      </c>
      <c r="G1345" s="111" t="s">
        <v>836</v>
      </c>
    </row>
    <row r="1346" customFormat="false" ht="15" hidden="false" customHeight="false" outlineLevel="0" collapsed="false">
      <c r="A1346" s="109" t="s">
        <v>105</v>
      </c>
      <c r="B1346" s="109" t="s">
        <v>107</v>
      </c>
      <c r="C1346" s="109" t="s">
        <v>591</v>
      </c>
      <c r="D1346" s="109" t="s">
        <v>51</v>
      </c>
      <c r="E1346" s="112" t="s">
        <v>16</v>
      </c>
      <c r="F1346" s="109" t="s">
        <v>2794</v>
      </c>
      <c r="G1346" s="111" t="s">
        <v>857</v>
      </c>
    </row>
    <row r="1347" customFormat="false" ht="15" hidden="false" customHeight="false" outlineLevel="0" collapsed="false">
      <c r="A1347" s="109" t="s">
        <v>105</v>
      </c>
      <c r="B1347" s="109" t="s">
        <v>107</v>
      </c>
      <c r="C1347" s="109" t="s">
        <v>591</v>
      </c>
      <c r="D1347" s="109" t="s">
        <v>55</v>
      </c>
      <c r="E1347" s="112" t="s">
        <v>16</v>
      </c>
      <c r="F1347" s="109" t="s">
        <v>2795</v>
      </c>
      <c r="G1347" s="111" t="s">
        <v>859</v>
      </c>
    </row>
    <row r="1348" customFormat="false" ht="15" hidden="false" customHeight="false" outlineLevel="0" collapsed="false">
      <c r="A1348" s="109" t="s">
        <v>105</v>
      </c>
      <c r="B1348" s="109" t="s">
        <v>107</v>
      </c>
      <c r="C1348" s="109" t="s">
        <v>591</v>
      </c>
      <c r="D1348" s="109" t="s">
        <v>59</v>
      </c>
      <c r="E1348" s="112" t="s">
        <v>16</v>
      </c>
      <c r="F1348" s="109" t="s">
        <v>2796</v>
      </c>
      <c r="G1348" s="111" t="s">
        <v>861</v>
      </c>
    </row>
    <row r="1349" customFormat="false" ht="15" hidden="false" customHeight="false" outlineLevel="0" collapsed="false">
      <c r="A1349" s="109" t="s">
        <v>105</v>
      </c>
      <c r="B1349" s="109" t="s">
        <v>107</v>
      </c>
      <c r="C1349" s="109" t="s">
        <v>591</v>
      </c>
      <c r="D1349" s="109" t="s">
        <v>63</v>
      </c>
      <c r="E1349" s="112" t="s">
        <v>16</v>
      </c>
      <c r="F1349" s="109" t="s">
        <v>2797</v>
      </c>
      <c r="G1349" s="111" t="s">
        <v>2798</v>
      </c>
    </row>
    <row r="1350" customFormat="false" ht="15" hidden="false" customHeight="false" outlineLevel="0" collapsed="false">
      <c r="A1350" s="109" t="s">
        <v>105</v>
      </c>
      <c r="B1350" s="109" t="s">
        <v>107</v>
      </c>
      <c r="C1350" s="109" t="s">
        <v>591</v>
      </c>
      <c r="D1350" s="109" t="s">
        <v>67</v>
      </c>
      <c r="E1350" s="114" t="s">
        <v>22</v>
      </c>
      <c r="F1350" s="109" t="s">
        <v>2799</v>
      </c>
      <c r="G1350" s="111" t="s">
        <v>2210</v>
      </c>
    </row>
    <row r="1351" customFormat="false" ht="15" hidden="false" customHeight="false" outlineLevel="0" collapsed="false">
      <c r="A1351" s="109" t="s">
        <v>105</v>
      </c>
      <c r="B1351" s="109" t="s">
        <v>107</v>
      </c>
      <c r="C1351" s="109" t="s">
        <v>591</v>
      </c>
      <c r="D1351" s="109" t="s">
        <v>71</v>
      </c>
      <c r="E1351" s="114" t="s">
        <v>22</v>
      </c>
      <c r="F1351" s="109" t="s">
        <v>2800</v>
      </c>
      <c r="G1351" s="111" t="s">
        <v>2310</v>
      </c>
    </row>
    <row r="1352" customFormat="false" ht="23.85" hidden="false" customHeight="false" outlineLevel="0" collapsed="false">
      <c r="A1352" s="109" t="s">
        <v>105</v>
      </c>
      <c r="B1352" s="109" t="s">
        <v>107</v>
      </c>
      <c r="C1352" s="109" t="s">
        <v>593</v>
      </c>
      <c r="D1352" s="109" t="s">
        <v>35</v>
      </c>
      <c r="E1352" s="114" t="s">
        <v>22</v>
      </c>
      <c r="F1352" s="109" t="s">
        <v>2801</v>
      </c>
      <c r="G1352" s="111" t="s">
        <v>2802</v>
      </c>
    </row>
    <row r="1353" customFormat="false" ht="15" hidden="false" customHeight="false" outlineLevel="0" collapsed="false">
      <c r="A1353" s="109" t="s">
        <v>105</v>
      </c>
      <c r="B1353" s="109" t="s">
        <v>107</v>
      </c>
      <c r="C1353" s="109" t="s">
        <v>593</v>
      </c>
      <c r="D1353" s="109" t="s">
        <v>39</v>
      </c>
      <c r="E1353" s="112" t="s">
        <v>16</v>
      </c>
      <c r="F1353" s="109" t="s">
        <v>2803</v>
      </c>
      <c r="G1353" s="111" t="s">
        <v>2804</v>
      </c>
    </row>
    <row r="1354" customFormat="false" ht="15" hidden="false" customHeight="false" outlineLevel="0" collapsed="false">
      <c r="A1354" s="109" t="s">
        <v>105</v>
      </c>
      <c r="B1354" s="109" t="s">
        <v>107</v>
      </c>
      <c r="C1354" s="109" t="s">
        <v>593</v>
      </c>
      <c r="D1354" s="109" t="s">
        <v>43</v>
      </c>
      <c r="E1354" s="112" t="s">
        <v>16</v>
      </c>
      <c r="F1354" s="109" t="s">
        <v>2805</v>
      </c>
      <c r="G1354" s="111" t="s">
        <v>854</v>
      </c>
    </row>
    <row r="1355" customFormat="false" ht="15" hidden="false" customHeight="false" outlineLevel="0" collapsed="false">
      <c r="A1355" s="109" t="s">
        <v>105</v>
      </c>
      <c r="B1355" s="109" t="s">
        <v>107</v>
      </c>
      <c r="C1355" s="109" t="s">
        <v>593</v>
      </c>
      <c r="D1355" s="109" t="s">
        <v>47</v>
      </c>
      <c r="E1355" s="112" t="s">
        <v>16</v>
      </c>
      <c r="F1355" s="109" t="s">
        <v>2806</v>
      </c>
      <c r="G1355" s="111" t="s">
        <v>2037</v>
      </c>
    </row>
    <row r="1356" customFormat="false" ht="23.85" hidden="false" customHeight="false" outlineLevel="0" collapsed="false">
      <c r="A1356" s="109" t="s">
        <v>105</v>
      </c>
      <c r="B1356" s="109" t="s">
        <v>107</v>
      </c>
      <c r="C1356" s="109" t="s">
        <v>593</v>
      </c>
      <c r="D1356" s="109" t="s">
        <v>51</v>
      </c>
      <c r="E1356" s="112" t="s">
        <v>16</v>
      </c>
      <c r="F1356" s="109" t="s">
        <v>2807</v>
      </c>
      <c r="G1356" s="111" t="s">
        <v>2730</v>
      </c>
    </row>
    <row r="1357" customFormat="false" ht="15" hidden="false" customHeight="false" outlineLevel="0" collapsed="false">
      <c r="A1357" s="109" t="s">
        <v>105</v>
      </c>
      <c r="B1357" s="109" t="s">
        <v>107</v>
      </c>
      <c r="C1357" s="109" t="s">
        <v>593</v>
      </c>
      <c r="D1357" s="109" t="s">
        <v>55</v>
      </c>
      <c r="E1357" s="114" t="s">
        <v>22</v>
      </c>
      <c r="F1357" s="109" t="s">
        <v>2808</v>
      </c>
      <c r="G1357" s="111" t="s">
        <v>1201</v>
      </c>
    </row>
    <row r="1358" customFormat="false" ht="15" hidden="false" customHeight="false" outlineLevel="0" collapsed="false">
      <c r="A1358" s="109" t="s">
        <v>105</v>
      </c>
      <c r="B1358" s="109" t="s">
        <v>107</v>
      </c>
      <c r="C1358" s="109" t="s">
        <v>593</v>
      </c>
      <c r="D1358" s="109" t="s">
        <v>59</v>
      </c>
      <c r="E1358" s="112" t="s">
        <v>16</v>
      </c>
      <c r="F1358" s="109" t="s">
        <v>2809</v>
      </c>
      <c r="G1358" s="111" t="s">
        <v>992</v>
      </c>
    </row>
    <row r="1359" customFormat="false" ht="15" hidden="false" customHeight="false" outlineLevel="0" collapsed="false">
      <c r="A1359" s="109" t="s">
        <v>105</v>
      </c>
      <c r="B1359" s="109" t="s">
        <v>107</v>
      </c>
      <c r="C1359" s="109" t="s">
        <v>593</v>
      </c>
      <c r="D1359" s="109" t="s">
        <v>63</v>
      </c>
      <c r="E1359" s="112" t="s">
        <v>16</v>
      </c>
      <c r="F1359" s="109" t="s">
        <v>2810</v>
      </c>
      <c r="G1359" s="111" t="s">
        <v>2798</v>
      </c>
    </row>
    <row r="1360" customFormat="false" ht="15" hidden="false" customHeight="false" outlineLevel="0" collapsed="false">
      <c r="A1360" s="109" t="s">
        <v>105</v>
      </c>
      <c r="B1360" s="109" t="s">
        <v>107</v>
      </c>
      <c r="C1360" s="109" t="s">
        <v>593</v>
      </c>
      <c r="D1360" s="109" t="s">
        <v>67</v>
      </c>
      <c r="E1360" s="113" t="s">
        <v>24</v>
      </c>
      <c r="F1360" s="109" t="s">
        <v>2811</v>
      </c>
      <c r="G1360" s="109"/>
    </row>
    <row r="1361" customFormat="false" ht="23.85" hidden="false" customHeight="false" outlineLevel="0" collapsed="false">
      <c r="A1361" s="109" t="s">
        <v>105</v>
      </c>
      <c r="B1361" s="109" t="s">
        <v>107</v>
      </c>
      <c r="C1361" s="109" t="s">
        <v>593</v>
      </c>
      <c r="D1361" s="109" t="s">
        <v>71</v>
      </c>
      <c r="E1361" s="114" t="s">
        <v>22</v>
      </c>
      <c r="F1361" s="109" t="s">
        <v>2812</v>
      </c>
      <c r="G1361" s="111" t="s">
        <v>949</v>
      </c>
    </row>
    <row r="1362" customFormat="false" ht="15" hidden="false" customHeight="false" outlineLevel="0" collapsed="false">
      <c r="A1362" s="109" t="s">
        <v>105</v>
      </c>
      <c r="B1362" s="109" t="s">
        <v>107</v>
      </c>
      <c r="C1362" s="109" t="s">
        <v>594</v>
      </c>
      <c r="D1362" s="109" t="s">
        <v>35</v>
      </c>
      <c r="E1362" s="114" t="s">
        <v>22</v>
      </c>
      <c r="F1362" s="109" t="s">
        <v>2813</v>
      </c>
      <c r="G1362" s="111" t="s">
        <v>2814</v>
      </c>
    </row>
    <row r="1363" customFormat="false" ht="23.85" hidden="false" customHeight="false" outlineLevel="0" collapsed="false">
      <c r="A1363" s="109" t="s">
        <v>105</v>
      </c>
      <c r="B1363" s="109" t="s">
        <v>107</v>
      </c>
      <c r="C1363" s="109" t="s">
        <v>594</v>
      </c>
      <c r="D1363" s="109" t="s">
        <v>39</v>
      </c>
      <c r="E1363" s="114" t="s">
        <v>22</v>
      </c>
      <c r="F1363" s="109" t="s">
        <v>2815</v>
      </c>
      <c r="G1363" s="111" t="s">
        <v>2816</v>
      </c>
    </row>
    <row r="1364" customFormat="false" ht="23.85" hidden="false" customHeight="false" outlineLevel="0" collapsed="false">
      <c r="A1364" s="109" t="s">
        <v>105</v>
      </c>
      <c r="B1364" s="109" t="s">
        <v>107</v>
      </c>
      <c r="C1364" s="109" t="s">
        <v>594</v>
      </c>
      <c r="D1364" s="109" t="s">
        <v>43</v>
      </c>
      <c r="E1364" s="112" t="s">
        <v>16</v>
      </c>
      <c r="F1364" s="109" t="s">
        <v>2817</v>
      </c>
      <c r="G1364" s="111" t="s">
        <v>2366</v>
      </c>
    </row>
    <row r="1365" customFormat="false" ht="23.85" hidden="false" customHeight="false" outlineLevel="0" collapsed="false">
      <c r="A1365" s="109" t="s">
        <v>105</v>
      </c>
      <c r="B1365" s="109" t="s">
        <v>107</v>
      </c>
      <c r="C1365" s="109" t="s">
        <v>594</v>
      </c>
      <c r="D1365" s="109" t="s">
        <v>47</v>
      </c>
      <c r="E1365" s="114" t="s">
        <v>22</v>
      </c>
      <c r="F1365" s="109" t="s">
        <v>2818</v>
      </c>
      <c r="G1365" s="111" t="s">
        <v>2037</v>
      </c>
    </row>
    <row r="1366" customFormat="false" ht="15" hidden="false" customHeight="false" outlineLevel="0" collapsed="false">
      <c r="A1366" s="109" t="s">
        <v>105</v>
      </c>
      <c r="B1366" s="109" t="s">
        <v>107</v>
      </c>
      <c r="C1366" s="109" t="s">
        <v>594</v>
      </c>
      <c r="D1366" s="109" t="s">
        <v>51</v>
      </c>
      <c r="E1366" s="112" t="s">
        <v>16</v>
      </c>
      <c r="F1366" s="109" t="s">
        <v>2819</v>
      </c>
      <c r="G1366" s="111" t="s">
        <v>2820</v>
      </c>
    </row>
    <row r="1367" customFormat="false" ht="15" hidden="false" customHeight="false" outlineLevel="0" collapsed="false">
      <c r="A1367" s="109" t="s">
        <v>105</v>
      </c>
      <c r="B1367" s="109" t="s">
        <v>107</v>
      </c>
      <c r="C1367" s="109" t="s">
        <v>594</v>
      </c>
      <c r="D1367" s="109" t="s">
        <v>55</v>
      </c>
      <c r="E1367" s="112" t="s">
        <v>16</v>
      </c>
      <c r="F1367" s="109" t="s">
        <v>2821</v>
      </c>
      <c r="G1367" s="111" t="s">
        <v>2822</v>
      </c>
    </row>
    <row r="1368" customFormat="false" ht="23.85" hidden="false" customHeight="false" outlineLevel="0" collapsed="false">
      <c r="A1368" s="109" t="s">
        <v>105</v>
      </c>
      <c r="B1368" s="109" t="s">
        <v>107</v>
      </c>
      <c r="C1368" s="109" t="s">
        <v>594</v>
      </c>
      <c r="D1368" s="109" t="s">
        <v>59</v>
      </c>
      <c r="E1368" s="112" t="s">
        <v>16</v>
      </c>
      <c r="F1368" s="109" t="s">
        <v>2823</v>
      </c>
      <c r="G1368" s="111" t="s">
        <v>1138</v>
      </c>
    </row>
    <row r="1369" customFormat="false" ht="23.85" hidden="false" customHeight="false" outlineLevel="0" collapsed="false">
      <c r="A1369" s="109" t="s">
        <v>105</v>
      </c>
      <c r="B1369" s="109" t="s">
        <v>107</v>
      </c>
      <c r="C1369" s="109" t="s">
        <v>594</v>
      </c>
      <c r="D1369" s="109" t="s">
        <v>63</v>
      </c>
      <c r="E1369" s="112" t="s">
        <v>16</v>
      </c>
      <c r="F1369" s="109" t="s">
        <v>2824</v>
      </c>
      <c r="G1369" s="111" t="s">
        <v>2825</v>
      </c>
    </row>
    <row r="1370" customFormat="false" ht="15" hidden="false" customHeight="false" outlineLevel="0" collapsed="false">
      <c r="A1370" s="109" t="s">
        <v>105</v>
      </c>
      <c r="B1370" s="109" t="s">
        <v>107</v>
      </c>
      <c r="C1370" s="109" t="s">
        <v>594</v>
      </c>
      <c r="D1370" s="109" t="s">
        <v>67</v>
      </c>
      <c r="E1370" s="112" t="s">
        <v>16</v>
      </c>
      <c r="F1370" s="109" t="s">
        <v>2826</v>
      </c>
      <c r="G1370" s="111" t="s">
        <v>864</v>
      </c>
    </row>
    <row r="1371" customFormat="false" ht="15" hidden="false" customHeight="false" outlineLevel="0" collapsed="false">
      <c r="A1371" s="109" t="s">
        <v>105</v>
      </c>
      <c r="B1371" s="109" t="s">
        <v>107</v>
      </c>
      <c r="C1371" s="109" t="s">
        <v>594</v>
      </c>
      <c r="D1371" s="109" t="s">
        <v>71</v>
      </c>
      <c r="E1371" s="112" t="s">
        <v>16</v>
      </c>
      <c r="F1371" s="109" t="s">
        <v>2827</v>
      </c>
      <c r="G1371" s="111" t="s">
        <v>2828</v>
      </c>
    </row>
    <row r="1372" customFormat="false" ht="23.85" hidden="false" customHeight="false" outlineLevel="0" collapsed="false">
      <c r="A1372" s="109" t="s">
        <v>105</v>
      </c>
      <c r="B1372" s="109" t="s">
        <v>107</v>
      </c>
      <c r="C1372" s="109" t="s">
        <v>595</v>
      </c>
      <c r="D1372" s="109" t="s">
        <v>35</v>
      </c>
      <c r="E1372" s="110" t="s">
        <v>18</v>
      </c>
      <c r="F1372" s="109" t="s">
        <v>2829</v>
      </c>
      <c r="G1372" s="111" t="s">
        <v>2830</v>
      </c>
    </row>
    <row r="1373" customFormat="false" ht="15" hidden="false" customHeight="false" outlineLevel="0" collapsed="false">
      <c r="A1373" s="109" t="s">
        <v>105</v>
      </c>
      <c r="B1373" s="109" t="s">
        <v>107</v>
      </c>
      <c r="C1373" s="109" t="s">
        <v>595</v>
      </c>
      <c r="D1373" s="109" t="s">
        <v>39</v>
      </c>
      <c r="E1373" s="112" t="s">
        <v>16</v>
      </c>
      <c r="F1373" s="109" t="s">
        <v>2831</v>
      </c>
      <c r="G1373" s="111" t="s">
        <v>2832</v>
      </c>
    </row>
    <row r="1374" customFormat="false" ht="15" hidden="false" customHeight="false" outlineLevel="0" collapsed="false">
      <c r="A1374" s="109" t="s">
        <v>105</v>
      </c>
      <c r="B1374" s="109" t="s">
        <v>107</v>
      </c>
      <c r="C1374" s="109" t="s">
        <v>595</v>
      </c>
      <c r="D1374" s="109" t="s">
        <v>43</v>
      </c>
      <c r="E1374" s="112" t="s">
        <v>16</v>
      </c>
      <c r="F1374" s="109" t="s">
        <v>2833</v>
      </c>
      <c r="G1374" s="111" t="s">
        <v>854</v>
      </c>
    </row>
    <row r="1375" customFormat="false" ht="23.85" hidden="false" customHeight="false" outlineLevel="0" collapsed="false">
      <c r="A1375" s="109" t="s">
        <v>105</v>
      </c>
      <c r="B1375" s="109" t="s">
        <v>107</v>
      </c>
      <c r="C1375" s="109" t="s">
        <v>595</v>
      </c>
      <c r="D1375" s="109" t="s">
        <v>47</v>
      </c>
      <c r="E1375" s="112" t="s">
        <v>16</v>
      </c>
      <c r="F1375" s="109" t="s">
        <v>2834</v>
      </c>
      <c r="G1375" s="111" t="s">
        <v>2037</v>
      </c>
    </row>
    <row r="1376" customFormat="false" ht="15" hidden="false" customHeight="false" outlineLevel="0" collapsed="false">
      <c r="A1376" s="109" t="s">
        <v>105</v>
      </c>
      <c r="B1376" s="109" t="s">
        <v>107</v>
      </c>
      <c r="C1376" s="109" t="s">
        <v>595</v>
      </c>
      <c r="D1376" s="109" t="s">
        <v>51</v>
      </c>
      <c r="E1376" s="112" t="s">
        <v>16</v>
      </c>
      <c r="F1376" s="109" t="s">
        <v>2835</v>
      </c>
      <c r="G1376" s="111" t="s">
        <v>2820</v>
      </c>
    </row>
    <row r="1377" customFormat="false" ht="15" hidden="false" customHeight="false" outlineLevel="0" collapsed="false">
      <c r="A1377" s="109" t="s">
        <v>105</v>
      </c>
      <c r="B1377" s="109" t="s">
        <v>107</v>
      </c>
      <c r="C1377" s="109" t="s">
        <v>595</v>
      </c>
      <c r="D1377" s="109" t="s">
        <v>55</v>
      </c>
      <c r="E1377" s="114" t="s">
        <v>22</v>
      </c>
      <c r="F1377" s="109" t="s">
        <v>2836</v>
      </c>
      <c r="G1377" s="111" t="s">
        <v>1368</v>
      </c>
    </row>
    <row r="1378" customFormat="false" ht="23.85" hidden="false" customHeight="false" outlineLevel="0" collapsed="false">
      <c r="A1378" s="109" t="s">
        <v>105</v>
      </c>
      <c r="B1378" s="109" t="s">
        <v>107</v>
      </c>
      <c r="C1378" s="109" t="s">
        <v>595</v>
      </c>
      <c r="D1378" s="109" t="s">
        <v>59</v>
      </c>
      <c r="E1378" s="112" t="s">
        <v>16</v>
      </c>
      <c r="F1378" s="109" t="s">
        <v>2837</v>
      </c>
      <c r="G1378" s="111" t="s">
        <v>1155</v>
      </c>
    </row>
    <row r="1379" customFormat="false" ht="15" hidden="false" customHeight="false" outlineLevel="0" collapsed="false">
      <c r="A1379" s="109" t="s">
        <v>105</v>
      </c>
      <c r="B1379" s="109" t="s">
        <v>107</v>
      </c>
      <c r="C1379" s="109" t="s">
        <v>595</v>
      </c>
      <c r="D1379" s="109" t="s">
        <v>63</v>
      </c>
      <c r="E1379" s="112" t="s">
        <v>16</v>
      </c>
      <c r="F1379" s="109" t="s">
        <v>2838</v>
      </c>
      <c r="G1379" s="111" t="s">
        <v>2798</v>
      </c>
    </row>
    <row r="1380" customFormat="false" ht="15" hidden="false" customHeight="false" outlineLevel="0" collapsed="false">
      <c r="A1380" s="109" t="s">
        <v>105</v>
      </c>
      <c r="B1380" s="109" t="s">
        <v>107</v>
      </c>
      <c r="C1380" s="109" t="s">
        <v>595</v>
      </c>
      <c r="D1380" s="109" t="s">
        <v>67</v>
      </c>
      <c r="E1380" s="113" t="s">
        <v>24</v>
      </c>
      <c r="F1380" s="109" t="s">
        <v>2839</v>
      </c>
      <c r="G1380" s="109"/>
    </row>
    <row r="1381" customFormat="false" ht="15" hidden="false" customHeight="false" outlineLevel="0" collapsed="false">
      <c r="A1381" s="109" t="s">
        <v>105</v>
      </c>
      <c r="B1381" s="109" t="s">
        <v>107</v>
      </c>
      <c r="C1381" s="109" t="s">
        <v>595</v>
      </c>
      <c r="D1381" s="109" t="s">
        <v>71</v>
      </c>
      <c r="E1381" s="113" t="s">
        <v>24</v>
      </c>
      <c r="F1381" s="109" t="s">
        <v>2840</v>
      </c>
      <c r="G1381" s="109"/>
    </row>
    <row r="1382" customFormat="false" ht="23.85" hidden="false" customHeight="false" outlineLevel="0" collapsed="false">
      <c r="A1382" s="109" t="s">
        <v>105</v>
      </c>
      <c r="B1382" s="109" t="s">
        <v>108</v>
      </c>
      <c r="C1382" s="109" t="s">
        <v>597</v>
      </c>
      <c r="D1382" s="109" t="s">
        <v>35</v>
      </c>
      <c r="E1382" s="115" t="s">
        <v>20</v>
      </c>
      <c r="F1382" s="109" t="s">
        <v>2841</v>
      </c>
      <c r="G1382" s="111" t="s">
        <v>2842</v>
      </c>
    </row>
    <row r="1383" customFormat="false" ht="23.85" hidden="false" customHeight="false" outlineLevel="0" collapsed="false">
      <c r="A1383" s="109" t="s">
        <v>105</v>
      </c>
      <c r="B1383" s="109" t="s">
        <v>108</v>
      </c>
      <c r="C1383" s="109" t="s">
        <v>597</v>
      </c>
      <c r="D1383" s="109" t="s">
        <v>39</v>
      </c>
      <c r="E1383" s="112" t="s">
        <v>16</v>
      </c>
      <c r="F1383" s="109" t="s">
        <v>2843</v>
      </c>
      <c r="G1383" s="111" t="s">
        <v>2832</v>
      </c>
    </row>
    <row r="1384" customFormat="false" ht="23.85" hidden="false" customHeight="false" outlineLevel="0" collapsed="false">
      <c r="A1384" s="109" t="s">
        <v>105</v>
      </c>
      <c r="B1384" s="109" t="s">
        <v>108</v>
      </c>
      <c r="C1384" s="109" t="s">
        <v>597</v>
      </c>
      <c r="D1384" s="109" t="s">
        <v>43</v>
      </c>
      <c r="E1384" s="112" t="s">
        <v>16</v>
      </c>
      <c r="F1384" s="109" t="s">
        <v>2844</v>
      </c>
      <c r="G1384" s="111" t="s">
        <v>854</v>
      </c>
    </row>
    <row r="1385" customFormat="false" ht="23.85" hidden="false" customHeight="false" outlineLevel="0" collapsed="false">
      <c r="A1385" s="109" t="s">
        <v>105</v>
      </c>
      <c r="B1385" s="109" t="s">
        <v>108</v>
      </c>
      <c r="C1385" s="109" t="s">
        <v>597</v>
      </c>
      <c r="D1385" s="109" t="s">
        <v>47</v>
      </c>
      <c r="E1385" s="112" t="s">
        <v>16</v>
      </c>
      <c r="F1385" s="109" t="s">
        <v>2845</v>
      </c>
      <c r="G1385" s="111" t="s">
        <v>2037</v>
      </c>
    </row>
    <row r="1386" customFormat="false" ht="23.85" hidden="false" customHeight="false" outlineLevel="0" collapsed="false">
      <c r="A1386" s="109" t="s">
        <v>105</v>
      </c>
      <c r="B1386" s="109" t="s">
        <v>108</v>
      </c>
      <c r="C1386" s="109" t="s">
        <v>597</v>
      </c>
      <c r="D1386" s="109" t="s">
        <v>51</v>
      </c>
      <c r="E1386" s="112" t="s">
        <v>16</v>
      </c>
      <c r="F1386" s="109" t="s">
        <v>2846</v>
      </c>
      <c r="G1386" s="111" t="s">
        <v>2847</v>
      </c>
    </row>
    <row r="1387" customFormat="false" ht="23.85" hidden="false" customHeight="false" outlineLevel="0" collapsed="false">
      <c r="A1387" s="109" t="s">
        <v>105</v>
      </c>
      <c r="B1387" s="109" t="s">
        <v>108</v>
      </c>
      <c r="C1387" s="109" t="s">
        <v>597</v>
      </c>
      <c r="D1387" s="109" t="s">
        <v>55</v>
      </c>
      <c r="E1387" s="114" t="s">
        <v>22</v>
      </c>
      <c r="F1387" s="109" t="s">
        <v>2848</v>
      </c>
      <c r="G1387" s="111" t="s">
        <v>2783</v>
      </c>
    </row>
    <row r="1388" customFormat="false" ht="23.85" hidden="false" customHeight="false" outlineLevel="0" collapsed="false">
      <c r="A1388" s="109" t="s">
        <v>105</v>
      </c>
      <c r="B1388" s="109" t="s">
        <v>108</v>
      </c>
      <c r="C1388" s="109" t="s">
        <v>597</v>
      </c>
      <c r="D1388" s="109" t="s">
        <v>59</v>
      </c>
      <c r="E1388" s="112" t="s">
        <v>16</v>
      </c>
      <c r="F1388" s="109" t="s">
        <v>2849</v>
      </c>
      <c r="G1388" s="111" t="s">
        <v>2785</v>
      </c>
    </row>
    <row r="1389" customFormat="false" ht="23.85" hidden="false" customHeight="false" outlineLevel="0" collapsed="false">
      <c r="A1389" s="109" t="s">
        <v>105</v>
      </c>
      <c r="B1389" s="109" t="s">
        <v>108</v>
      </c>
      <c r="C1389" s="109" t="s">
        <v>597</v>
      </c>
      <c r="D1389" s="109" t="s">
        <v>63</v>
      </c>
      <c r="E1389" s="112" t="s">
        <v>16</v>
      </c>
      <c r="F1389" s="109" t="s">
        <v>2850</v>
      </c>
      <c r="G1389" s="111" t="s">
        <v>2851</v>
      </c>
    </row>
    <row r="1390" customFormat="false" ht="23.85" hidden="false" customHeight="false" outlineLevel="0" collapsed="false">
      <c r="A1390" s="109" t="s">
        <v>105</v>
      </c>
      <c r="B1390" s="109" t="s">
        <v>108</v>
      </c>
      <c r="C1390" s="109" t="s">
        <v>597</v>
      </c>
      <c r="D1390" s="109" t="s">
        <v>67</v>
      </c>
      <c r="E1390" s="114" t="s">
        <v>22</v>
      </c>
      <c r="F1390" s="109" t="s">
        <v>2852</v>
      </c>
      <c r="G1390" s="111" t="s">
        <v>1684</v>
      </c>
    </row>
    <row r="1391" customFormat="false" ht="23.85" hidden="false" customHeight="false" outlineLevel="0" collapsed="false">
      <c r="A1391" s="109" t="s">
        <v>105</v>
      </c>
      <c r="B1391" s="109" t="s">
        <v>108</v>
      </c>
      <c r="C1391" s="109" t="s">
        <v>597</v>
      </c>
      <c r="D1391" s="109" t="s">
        <v>71</v>
      </c>
      <c r="E1391" s="114" t="s">
        <v>22</v>
      </c>
      <c r="F1391" s="109" t="s">
        <v>2853</v>
      </c>
      <c r="G1391" s="111" t="s">
        <v>949</v>
      </c>
    </row>
    <row r="1392" customFormat="false" ht="23.85" hidden="false" customHeight="false" outlineLevel="0" collapsed="false">
      <c r="A1392" s="109" t="s">
        <v>105</v>
      </c>
      <c r="B1392" s="109" t="s">
        <v>108</v>
      </c>
      <c r="C1392" s="109" t="s">
        <v>599</v>
      </c>
      <c r="D1392" s="109" t="s">
        <v>35</v>
      </c>
      <c r="E1392" s="114" t="s">
        <v>22</v>
      </c>
      <c r="F1392" s="109" t="s">
        <v>2854</v>
      </c>
      <c r="G1392" s="111" t="s">
        <v>2855</v>
      </c>
    </row>
    <row r="1393" customFormat="false" ht="23.85" hidden="false" customHeight="false" outlineLevel="0" collapsed="false">
      <c r="A1393" s="109" t="s">
        <v>105</v>
      </c>
      <c r="B1393" s="109" t="s">
        <v>108</v>
      </c>
      <c r="C1393" s="109" t="s">
        <v>599</v>
      </c>
      <c r="D1393" s="109" t="s">
        <v>39</v>
      </c>
      <c r="E1393" s="114" t="s">
        <v>22</v>
      </c>
      <c r="F1393" s="109" t="s">
        <v>2856</v>
      </c>
      <c r="G1393" s="111" t="s">
        <v>2857</v>
      </c>
    </row>
    <row r="1394" customFormat="false" ht="23.85" hidden="false" customHeight="false" outlineLevel="0" collapsed="false">
      <c r="A1394" s="109" t="s">
        <v>105</v>
      </c>
      <c r="B1394" s="109" t="s">
        <v>108</v>
      </c>
      <c r="C1394" s="109" t="s">
        <v>599</v>
      </c>
      <c r="D1394" s="109" t="s">
        <v>43</v>
      </c>
      <c r="E1394" s="114" t="s">
        <v>22</v>
      </c>
      <c r="F1394" s="109" t="s">
        <v>2858</v>
      </c>
      <c r="G1394" s="111" t="s">
        <v>2859</v>
      </c>
    </row>
    <row r="1395" customFormat="false" ht="23.85" hidden="false" customHeight="false" outlineLevel="0" collapsed="false">
      <c r="A1395" s="109" t="s">
        <v>105</v>
      </c>
      <c r="B1395" s="109" t="s">
        <v>108</v>
      </c>
      <c r="C1395" s="109" t="s">
        <v>599</v>
      </c>
      <c r="D1395" s="109" t="s">
        <v>47</v>
      </c>
      <c r="E1395" s="115" t="s">
        <v>20</v>
      </c>
      <c r="F1395" s="109" t="s">
        <v>2860</v>
      </c>
      <c r="G1395" s="111" t="s">
        <v>1392</v>
      </c>
    </row>
    <row r="1396" customFormat="false" ht="23.85" hidden="false" customHeight="false" outlineLevel="0" collapsed="false">
      <c r="A1396" s="109" t="s">
        <v>105</v>
      </c>
      <c r="B1396" s="109" t="s">
        <v>108</v>
      </c>
      <c r="C1396" s="109" t="s">
        <v>599</v>
      </c>
      <c r="D1396" s="109" t="s">
        <v>51</v>
      </c>
      <c r="E1396" s="110" t="s">
        <v>18</v>
      </c>
      <c r="F1396" s="109" t="s">
        <v>2861</v>
      </c>
      <c r="G1396" s="111" t="s">
        <v>2781</v>
      </c>
    </row>
    <row r="1397" customFormat="false" ht="23.85" hidden="false" customHeight="false" outlineLevel="0" collapsed="false">
      <c r="A1397" s="109" t="s">
        <v>105</v>
      </c>
      <c r="B1397" s="109" t="s">
        <v>108</v>
      </c>
      <c r="C1397" s="109" t="s">
        <v>599</v>
      </c>
      <c r="D1397" s="109" t="s">
        <v>55</v>
      </c>
      <c r="E1397" s="114" t="s">
        <v>22</v>
      </c>
      <c r="F1397" s="109" t="s">
        <v>2862</v>
      </c>
      <c r="G1397" s="111" t="s">
        <v>2353</v>
      </c>
    </row>
    <row r="1398" customFormat="false" ht="23.85" hidden="false" customHeight="false" outlineLevel="0" collapsed="false">
      <c r="A1398" s="109" t="s">
        <v>105</v>
      </c>
      <c r="B1398" s="109" t="s">
        <v>108</v>
      </c>
      <c r="C1398" s="109" t="s">
        <v>599</v>
      </c>
      <c r="D1398" s="109" t="s">
        <v>59</v>
      </c>
      <c r="E1398" s="110" t="s">
        <v>18</v>
      </c>
      <c r="F1398" s="109" t="s">
        <v>2863</v>
      </c>
      <c r="G1398" s="111" t="s">
        <v>2785</v>
      </c>
    </row>
    <row r="1399" customFormat="false" ht="23.85" hidden="false" customHeight="false" outlineLevel="0" collapsed="false">
      <c r="A1399" s="109" t="s">
        <v>105</v>
      </c>
      <c r="B1399" s="109" t="s">
        <v>108</v>
      </c>
      <c r="C1399" s="109" t="s">
        <v>599</v>
      </c>
      <c r="D1399" s="109" t="s">
        <v>63</v>
      </c>
      <c r="E1399" s="114" t="s">
        <v>22</v>
      </c>
      <c r="F1399" s="109" t="s">
        <v>2864</v>
      </c>
      <c r="G1399" s="111" t="s">
        <v>2851</v>
      </c>
    </row>
    <row r="1400" customFormat="false" ht="23.85" hidden="false" customHeight="false" outlineLevel="0" collapsed="false">
      <c r="A1400" s="109" t="s">
        <v>105</v>
      </c>
      <c r="B1400" s="109" t="s">
        <v>108</v>
      </c>
      <c r="C1400" s="109" t="s">
        <v>599</v>
      </c>
      <c r="D1400" s="109" t="s">
        <v>67</v>
      </c>
      <c r="E1400" s="113" t="s">
        <v>24</v>
      </c>
      <c r="F1400" s="109" t="s">
        <v>2865</v>
      </c>
      <c r="G1400" s="109"/>
    </row>
    <row r="1401" customFormat="false" ht="23.85" hidden="false" customHeight="false" outlineLevel="0" collapsed="false">
      <c r="A1401" s="109" t="s">
        <v>105</v>
      </c>
      <c r="B1401" s="109" t="s">
        <v>108</v>
      </c>
      <c r="C1401" s="109" t="s">
        <v>599</v>
      </c>
      <c r="D1401" s="109" t="s">
        <v>71</v>
      </c>
      <c r="E1401" s="113" t="s">
        <v>24</v>
      </c>
      <c r="F1401" s="109" t="s">
        <v>2865</v>
      </c>
      <c r="G1401" s="109"/>
    </row>
    <row r="1402" customFormat="false" ht="23.85" hidden="false" customHeight="false" outlineLevel="0" collapsed="false">
      <c r="A1402" s="109" t="s">
        <v>105</v>
      </c>
      <c r="B1402" s="109" t="s">
        <v>108</v>
      </c>
      <c r="C1402" s="109" t="s">
        <v>601</v>
      </c>
      <c r="D1402" s="109" t="s">
        <v>35</v>
      </c>
      <c r="E1402" s="115" t="s">
        <v>20</v>
      </c>
      <c r="F1402" s="109" t="s">
        <v>2866</v>
      </c>
      <c r="G1402" s="111" t="s">
        <v>2867</v>
      </c>
    </row>
    <row r="1403" customFormat="false" ht="23.85" hidden="false" customHeight="false" outlineLevel="0" collapsed="false">
      <c r="A1403" s="109" t="s">
        <v>105</v>
      </c>
      <c r="B1403" s="109" t="s">
        <v>108</v>
      </c>
      <c r="C1403" s="109" t="s">
        <v>601</v>
      </c>
      <c r="D1403" s="109" t="s">
        <v>39</v>
      </c>
      <c r="E1403" s="112" t="s">
        <v>16</v>
      </c>
      <c r="F1403" s="109" t="s">
        <v>2868</v>
      </c>
      <c r="G1403" s="111" t="s">
        <v>2869</v>
      </c>
    </row>
    <row r="1404" customFormat="false" ht="23.85" hidden="false" customHeight="false" outlineLevel="0" collapsed="false">
      <c r="A1404" s="109" t="s">
        <v>105</v>
      </c>
      <c r="B1404" s="109" t="s">
        <v>108</v>
      </c>
      <c r="C1404" s="109" t="s">
        <v>601</v>
      </c>
      <c r="D1404" s="109" t="s">
        <v>43</v>
      </c>
      <c r="E1404" s="114" t="s">
        <v>22</v>
      </c>
      <c r="F1404" s="109" t="s">
        <v>2870</v>
      </c>
      <c r="G1404" s="111" t="s">
        <v>2871</v>
      </c>
    </row>
    <row r="1405" customFormat="false" ht="23.85" hidden="false" customHeight="false" outlineLevel="0" collapsed="false">
      <c r="A1405" s="109" t="s">
        <v>105</v>
      </c>
      <c r="B1405" s="109" t="s">
        <v>108</v>
      </c>
      <c r="C1405" s="109" t="s">
        <v>601</v>
      </c>
      <c r="D1405" s="109" t="s">
        <v>47</v>
      </c>
      <c r="E1405" s="113" t="s">
        <v>24</v>
      </c>
      <c r="F1405" s="109" t="s">
        <v>2872</v>
      </c>
      <c r="G1405" s="111" t="s">
        <v>2349</v>
      </c>
    </row>
    <row r="1406" customFormat="false" ht="23.85" hidden="false" customHeight="false" outlineLevel="0" collapsed="false">
      <c r="A1406" s="109" t="s">
        <v>105</v>
      </c>
      <c r="B1406" s="109" t="s">
        <v>108</v>
      </c>
      <c r="C1406" s="109" t="s">
        <v>601</v>
      </c>
      <c r="D1406" s="109" t="s">
        <v>51</v>
      </c>
      <c r="E1406" s="113" t="s">
        <v>24</v>
      </c>
      <c r="F1406" s="109" t="s">
        <v>2873</v>
      </c>
      <c r="G1406" s="111" t="s">
        <v>1677</v>
      </c>
    </row>
    <row r="1407" customFormat="false" ht="23.85" hidden="false" customHeight="false" outlineLevel="0" collapsed="false">
      <c r="A1407" s="109" t="s">
        <v>105</v>
      </c>
      <c r="B1407" s="109" t="s">
        <v>108</v>
      </c>
      <c r="C1407" s="109" t="s">
        <v>601</v>
      </c>
      <c r="D1407" s="109" t="s">
        <v>55</v>
      </c>
      <c r="E1407" s="113" t="s">
        <v>24</v>
      </c>
      <c r="F1407" s="109" t="s">
        <v>2874</v>
      </c>
      <c r="G1407" s="109"/>
    </row>
    <row r="1408" customFormat="false" ht="23.85" hidden="false" customHeight="false" outlineLevel="0" collapsed="false">
      <c r="A1408" s="109" t="s">
        <v>105</v>
      </c>
      <c r="B1408" s="109" t="s">
        <v>108</v>
      </c>
      <c r="C1408" s="109" t="s">
        <v>601</v>
      </c>
      <c r="D1408" s="109" t="s">
        <v>59</v>
      </c>
      <c r="E1408" s="114" t="s">
        <v>22</v>
      </c>
      <c r="F1408" s="109" t="s">
        <v>2875</v>
      </c>
      <c r="G1408" s="111" t="s">
        <v>1155</v>
      </c>
    </row>
    <row r="1409" customFormat="false" ht="23.85" hidden="false" customHeight="false" outlineLevel="0" collapsed="false">
      <c r="A1409" s="109" t="s">
        <v>105</v>
      </c>
      <c r="B1409" s="109" t="s">
        <v>108</v>
      </c>
      <c r="C1409" s="109" t="s">
        <v>601</v>
      </c>
      <c r="D1409" s="109" t="s">
        <v>63</v>
      </c>
      <c r="E1409" s="113" t="s">
        <v>24</v>
      </c>
      <c r="F1409" s="109" t="s">
        <v>2876</v>
      </c>
      <c r="G1409" s="109"/>
    </row>
    <row r="1410" customFormat="false" ht="23.85" hidden="false" customHeight="false" outlineLevel="0" collapsed="false">
      <c r="A1410" s="109" t="s">
        <v>105</v>
      </c>
      <c r="B1410" s="109" t="s">
        <v>108</v>
      </c>
      <c r="C1410" s="109" t="s">
        <v>601</v>
      </c>
      <c r="D1410" s="109" t="s">
        <v>67</v>
      </c>
      <c r="E1410" s="113" t="s">
        <v>24</v>
      </c>
      <c r="F1410" s="109" t="s">
        <v>2877</v>
      </c>
      <c r="G1410" s="109"/>
    </row>
    <row r="1411" customFormat="false" ht="23.85" hidden="false" customHeight="false" outlineLevel="0" collapsed="false">
      <c r="A1411" s="109" t="s">
        <v>105</v>
      </c>
      <c r="B1411" s="109" t="s">
        <v>108</v>
      </c>
      <c r="C1411" s="109" t="s">
        <v>601</v>
      </c>
      <c r="D1411" s="109" t="s">
        <v>71</v>
      </c>
      <c r="E1411" s="113" t="s">
        <v>24</v>
      </c>
      <c r="F1411" s="109" t="s">
        <v>2659</v>
      </c>
      <c r="G1411" s="109"/>
    </row>
    <row r="1412" customFormat="false" ht="23.85" hidden="false" customHeight="false" outlineLevel="0" collapsed="false">
      <c r="A1412" s="109" t="s">
        <v>105</v>
      </c>
      <c r="B1412" s="109" t="s">
        <v>108</v>
      </c>
      <c r="C1412" s="109" t="s">
        <v>602</v>
      </c>
      <c r="D1412" s="109" t="s">
        <v>35</v>
      </c>
      <c r="E1412" s="114" t="s">
        <v>22</v>
      </c>
      <c r="F1412" s="109" t="s">
        <v>2878</v>
      </c>
      <c r="G1412" s="109"/>
    </row>
    <row r="1413" customFormat="false" ht="23.85" hidden="false" customHeight="false" outlineLevel="0" collapsed="false">
      <c r="A1413" s="109" t="s">
        <v>105</v>
      </c>
      <c r="B1413" s="109" t="s">
        <v>108</v>
      </c>
      <c r="C1413" s="109" t="s">
        <v>602</v>
      </c>
      <c r="D1413" s="109" t="s">
        <v>39</v>
      </c>
      <c r="E1413" s="112" t="s">
        <v>16</v>
      </c>
      <c r="F1413" s="109" t="s">
        <v>2879</v>
      </c>
      <c r="G1413" s="111" t="s">
        <v>852</v>
      </c>
    </row>
    <row r="1414" customFormat="false" ht="23.85" hidden="false" customHeight="false" outlineLevel="0" collapsed="false">
      <c r="A1414" s="109" t="s">
        <v>105</v>
      </c>
      <c r="B1414" s="109" t="s">
        <v>108</v>
      </c>
      <c r="C1414" s="109" t="s">
        <v>602</v>
      </c>
      <c r="D1414" s="109" t="s">
        <v>43</v>
      </c>
      <c r="E1414" s="112" t="s">
        <v>16</v>
      </c>
      <c r="F1414" s="109" t="s">
        <v>2880</v>
      </c>
      <c r="G1414" s="111" t="s">
        <v>854</v>
      </c>
    </row>
    <row r="1415" customFormat="false" ht="23.85" hidden="false" customHeight="false" outlineLevel="0" collapsed="false">
      <c r="A1415" s="109" t="s">
        <v>105</v>
      </c>
      <c r="B1415" s="109" t="s">
        <v>108</v>
      </c>
      <c r="C1415" s="109" t="s">
        <v>602</v>
      </c>
      <c r="D1415" s="109" t="s">
        <v>47</v>
      </c>
      <c r="E1415" s="114" t="s">
        <v>22</v>
      </c>
      <c r="F1415" s="109" t="s">
        <v>2881</v>
      </c>
      <c r="G1415" s="111" t="s">
        <v>1392</v>
      </c>
    </row>
    <row r="1416" customFormat="false" ht="23.85" hidden="false" customHeight="false" outlineLevel="0" collapsed="false">
      <c r="A1416" s="109" t="s">
        <v>105</v>
      </c>
      <c r="B1416" s="109" t="s">
        <v>108</v>
      </c>
      <c r="C1416" s="109" t="s">
        <v>602</v>
      </c>
      <c r="D1416" s="109" t="s">
        <v>51</v>
      </c>
      <c r="E1416" s="110" t="s">
        <v>18</v>
      </c>
      <c r="F1416" s="109" t="s">
        <v>2882</v>
      </c>
      <c r="G1416" s="111" t="s">
        <v>2781</v>
      </c>
    </row>
    <row r="1417" customFormat="false" ht="23.85" hidden="false" customHeight="false" outlineLevel="0" collapsed="false">
      <c r="A1417" s="109" t="s">
        <v>105</v>
      </c>
      <c r="B1417" s="109" t="s">
        <v>108</v>
      </c>
      <c r="C1417" s="109" t="s">
        <v>602</v>
      </c>
      <c r="D1417" s="109" t="s">
        <v>55</v>
      </c>
      <c r="E1417" s="112" t="s">
        <v>16</v>
      </c>
      <c r="F1417" s="109" t="s">
        <v>2883</v>
      </c>
      <c r="G1417" s="111" t="s">
        <v>2884</v>
      </c>
    </row>
    <row r="1418" customFormat="false" ht="23.85" hidden="false" customHeight="false" outlineLevel="0" collapsed="false">
      <c r="A1418" s="109" t="s">
        <v>105</v>
      </c>
      <c r="B1418" s="109" t="s">
        <v>108</v>
      </c>
      <c r="C1418" s="109" t="s">
        <v>602</v>
      </c>
      <c r="D1418" s="109" t="s">
        <v>59</v>
      </c>
      <c r="E1418" s="114" t="s">
        <v>22</v>
      </c>
      <c r="F1418" s="109" t="s">
        <v>2885</v>
      </c>
      <c r="G1418" s="111" t="s">
        <v>2785</v>
      </c>
    </row>
    <row r="1419" customFormat="false" ht="23.85" hidden="false" customHeight="false" outlineLevel="0" collapsed="false">
      <c r="A1419" s="109" t="s">
        <v>105</v>
      </c>
      <c r="B1419" s="109" t="s">
        <v>108</v>
      </c>
      <c r="C1419" s="109" t="s">
        <v>602</v>
      </c>
      <c r="D1419" s="109" t="s">
        <v>63</v>
      </c>
      <c r="E1419" s="112" t="s">
        <v>16</v>
      </c>
      <c r="F1419" s="109" t="s">
        <v>2886</v>
      </c>
      <c r="G1419" s="111" t="s">
        <v>2851</v>
      </c>
    </row>
    <row r="1420" customFormat="false" ht="23.85" hidden="false" customHeight="false" outlineLevel="0" collapsed="false">
      <c r="A1420" s="109" t="s">
        <v>105</v>
      </c>
      <c r="B1420" s="109" t="s">
        <v>108</v>
      </c>
      <c r="C1420" s="109" t="s">
        <v>602</v>
      </c>
      <c r="D1420" s="109" t="s">
        <v>67</v>
      </c>
      <c r="E1420" s="112" t="s">
        <v>16</v>
      </c>
      <c r="F1420" s="109" t="s">
        <v>2887</v>
      </c>
      <c r="G1420" s="111" t="s">
        <v>2888</v>
      </c>
    </row>
    <row r="1421" customFormat="false" ht="23.85" hidden="false" customHeight="false" outlineLevel="0" collapsed="false">
      <c r="A1421" s="109" t="s">
        <v>105</v>
      </c>
      <c r="B1421" s="109" t="s">
        <v>108</v>
      </c>
      <c r="C1421" s="109" t="s">
        <v>602</v>
      </c>
      <c r="D1421" s="109" t="s">
        <v>71</v>
      </c>
      <c r="E1421" s="114" t="s">
        <v>22</v>
      </c>
      <c r="F1421" s="109" t="s">
        <v>2889</v>
      </c>
      <c r="G1421" s="109"/>
    </row>
    <row r="1422" customFormat="false" ht="23.85" hidden="false" customHeight="false" outlineLevel="0" collapsed="false">
      <c r="A1422" s="109" t="s">
        <v>105</v>
      </c>
      <c r="B1422" s="109" t="s">
        <v>109</v>
      </c>
      <c r="C1422" s="109" t="s">
        <v>604</v>
      </c>
      <c r="D1422" s="109" t="s">
        <v>35</v>
      </c>
      <c r="E1422" s="112" t="s">
        <v>16</v>
      </c>
      <c r="F1422" s="109" t="s">
        <v>2890</v>
      </c>
      <c r="G1422" s="111" t="s">
        <v>2891</v>
      </c>
    </row>
    <row r="1423" customFormat="false" ht="15" hidden="false" customHeight="false" outlineLevel="0" collapsed="false">
      <c r="A1423" s="109" t="s">
        <v>105</v>
      </c>
      <c r="B1423" s="109" t="s">
        <v>109</v>
      </c>
      <c r="C1423" s="109" t="s">
        <v>604</v>
      </c>
      <c r="D1423" s="109" t="s">
        <v>39</v>
      </c>
      <c r="E1423" s="112" t="s">
        <v>16</v>
      </c>
      <c r="F1423" s="109" t="s">
        <v>2892</v>
      </c>
      <c r="G1423" s="111" t="s">
        <v>2893</v>
      </c>
    </row>
    <row r="1424" customFormat="false" ht="15" hidden="false" customHeight="false" outlineLevel="0" collapsed="false">
      <c r="A1424" s="109" t="s">
        <v>105</v>
      </c>
      <c r="B1424" s="109" t="s">
        <v>109</v>
      </c>
      <c r="C1424" s="109" t="s">
        <v>604</v>
      </c>
      <c r="D1424" s="109" t="s">
        <v>43</v>
      </c>
      <c r="E1424" s="112" t="s">
        <v>16</v>
      </c>
      <c r="F1424" s="109" t="s">
        <v>2894</v>
      </c>
      <c r="G1424" s="111" t="s">
        <v>2895</v>
      </c>
    </row>
    <row r="1425" customFormat="false" ht="23.85" hidden="false" customHeight="false" outlineLevel="0" collapsed="false">
      <c r="A1425" s="109" t="s">
        <v>105</v>
      </c>
      <c r="B1425" s="109" t="s">
        <v>109</v>
      </c>
      <c r="C1425" s="109" t="s">
        <v>604</v>
      </c>
      <c r="D1425" s="109" t="s">
        <v>47</v>
      </c>
      <c r="E1425" s="112" t="s">
        <v>16</v>
      </c>
      <c r="F1425" s="109" t="s">
        <v>2896</v>
      </c>
      <c r="G1425" s="111" t="s">
        <v>2897</v>
      </c>
    </row>
    <row r="1426" customFormat="false" ht="23.85" hidden="false" customHeight="false" outlineLevel="0" collapsed="false">
      <c r="A1426" s="109" t="s">
        <v>105</v>
      </c>
      <c r="B1426" s="109" t="s">
        <v>109</v>
      </c>
      <c r="C1426" s="109" t="s">
        <v>604</v>
      </c>
      <c r="D1426" s="109" t="s">
        <v>51</v>
      </c>
      <c r="E1426" s="112" t="s">
        <v>16</v>
      </c>
      <c r="F1426" s="109" t="s">
        <v>2898</v>
      </c>
      <c r="G1426" s="111" t="s">
        <v>2899</v>
      </c>
    </row>
    <row r="1427" customFormat="false" ht="15" hidden="false" customHeight="false" outlineLevel="0" collapsed="false">
      <c r="A1427" s="109" t="s">
        <v>105</v>
      </c>
      <c r="B1427" s="109" t="s">
        <v>109</v>
      </c>
      <c r="C1427" s="109" t="s">
        <v>604</v>
      </c>
      <c r="D1427" s="109" t="s">
        <v>55</v>
      </c>
      <c r="E1427" s="112" t="s">
        <v>16</v>
      </c>
      <c r="F1427" s="109" t="s">
        <v>2900</v>
      </c>
      <c r="G1427" s="111" t="s">
        <v>2901</v>
      </c>
    </row>
    <row r="1428" customFormat="false" ht="15" hidden="false" customHeight="false" outlineLevel="0" collapsed="false">
      <c r="A1428" s="109" t="s">
        <v>105</v>
      </c>
      <c r="B1428" s="109" t="s">
        <v>109</v>
      </c>
      <c r="C1428" s="109" t="s">
        <v>604</v>
      </c>
      <c r="D1428" s="109" t="s">
        <v>59</v>
      </c>
      <c r="E1428" s="112" t="s">
        <v>16</v>
      </c>
      <c r="F1428" s="109" t="s">
        <v>2902</v>
      </c>
      <c r="G1428" s="111" t="s">
        <v>2336</v>
      </c>
    </row>
    <row r="1429" customFormat="false" ht="15" hidden="false" customHeight="false" outlineLevel="0" collapsed="false">
      <c r="A1429" s="109" t="s">
        <v>105</v>
      </c>
      <c r="B1429" s="109" t="s">
        <v>109</v>
      </c>
      <c r="C1429" s="109" t="s">
        <v>604</v>
      </c>
      <c r="D1429" s="109" t="s">
        <v>63</v>
      </c>
      <c r="E1429" s="112" t="s">
        <v>16</v>
      </c>
      <c r="F1429" s="109" t="s">
        <v>2903</v>
      </c>
      <c r="G1429" s="111" t="s">
        <v>2904</v>
      </c>
    </row>
    <row r="1430" customFormat="false" ht="15" hidden="false" customHeight="false" outlineLevel="0" collapsed="false">
      <c r="A1430" s="109" t="s">
        <v>105</v>
      </c>
      <c r="B1430" s="109" t="s">
        <v>109</v>
      </c>
      <c r="C1430" s="109" t="s">
        <v>604</v>
      </c>
      <c r="D1430" s="109" t="s">
        <v>67</v>
      </c>
      <c r="E1430" s="112" t="s">
        <v>16</v>
      </c>
      <c r="F1430" s="109" t="s">
        <v>2905</v>
      </c>
      <c r="G1430" s="111" t="s">
        <v>2123</v>
      </c>
    </row>
    <row r="1431" customFormat="false" ht="23.85" hidden="false" customHeight="false" outlineLevel="0" collapsed="false">
      <c r="A1431" s="109" t="s">
        <v>105</v>
      </c>
      <c r="B1431" s="109" t="s">
        <v>109</v>
      </c>
      <c r="C1431" s="109" t="s">
        <v>604</v>
      </c>
      <c r="D1431" s="109" t="s">
        <v>71</v>
      </c>
      <c r="E1431" s="112" t="s">
        <v>16</v>
      </c>
      <c r="F1431" s="109" t="s">
        <v>2906</v>
      </c>
      <c r="G1431" s="111" t="s">
        <v>2907</v>
      </c>
    </row>
    <row r="1432" customFormat="false" ht="23.85" hidden="false" customHeight="false" outlineLevel="0" collapsed="false">
      <c r="A1432" s="109" t="s">
        <v>105</v>
      </c>
      <c r="B1432" s="109" t="s">
        <v>109</v>
      </c>
      <c r="C1432" s="109" t="s">
        <v>606</v>
      </c>
      <c r="D1432" s="109" t="s">
        <v>35</v>
      </c>
      <c r="E1432" s="112" t="s">
        <v>16</v>
      </c>
      <c r="F1432" s="109" t="s">
        <v>2908</v>
      </c>
      <c r="G1432" s="111" t="s">
        <v>2909</v>
      </c>
    </row>
    <row r="1433" customFormat="false" ht="23.85" hidden="false" customHeight="false" outlineLevel="0" collapsed="false">
      <c r="A1433" s="109" t="s">
        <v>105</v>
      </c>
      <c r="B1433" s="109" t="s">
        <v>109</v>
      </c>
      <c r="C1433" s="109" t="s">
        <v>606</v>
      </c>
      <c r="D1433" s="109" t="s">
        <v>39</v>
      </c>
      <c r="E1433" s="112" t="s">
        <v>16</v>
      </c>
      <c r="F1433" s="109" t="s">
        <v>2910</v>
      </c>
      <c r="G1433" s="111" t="s">
        <v>2911</v>
      </c>
    </row>
    <row r="1434" customFormat="false" ht="15" hidden="false" customHeight="false" outlineLevel="0" collapsed="false">
      <c r="A1434" s="109" t="s">
        <v>105</v>
      </c>
      <c r="B1434" s="109" t="s">
        <v>109</v>
      </c>
      <c r="C1434" s="109" t="s">
        <v>606</v>
      </c>
      <c r="D1434" s="109" t="s">
        <v>43</v>
      </c>
      <c r="E1434" s="112" t="s">
        <v>16</v>
      </c>
      <c r="F1434" s="109" t="s">
        <v>2912</v>
      </c>
      <c r="G1434" s="111" t="s">
        <v>2329</v>
      </c>
    </row>
    <row r="1435" customFormat="false" ht="23.85" hidden="false" customHeight="false" outlineLevel="0" collapsed="false">
      <c r="A1435" s="109" t="s">
        <v>105</v>
      </c>
      <c r="B1435" s="109" t="s">
        <v>109</v>
      </c>
      <c r="C1435" s="109" t="s">
        <v>606</v>
      </c>
      <c r="D1435" s="109" t="s">
        <v>47</v>
      </c>
      <c r="E1435" s="112" t="s">
        <v>16</v>
      </c>
      <c r="F1435" s="109" t="s">
        <v>2913</v>
      </c>
      <c r="G1435" s="111" t="s">
        <v>2914</v>
      </c>
    </row>
    <row r="1436" customFormat="false" ht="23.85" hidden="false" customHeight="false" outlineLevel="0" collapsed="false">
      <c r="A1436" s="109" t="s">
        <v>105</v>
      </c>
      <c r="B1436" s="109" t="s">
        <v>109</v>
      </c>
      <c r="C1436" s="109" t="s">
        <v>606</v>
      </c>
      <c r="D1436" s="109" t="s">
        <v>51</v>
      </c>
      <c r="E1436" s="112" t="s">
        <v>16</v>
      </c>
      <c r="F1436" s="109" t="s">
        <v>2915</v>
      </c>
      <c r="G1436" s="111" t="s">
        <v>2695</v>
      </c>
    </row>
    <row r="1437" customFormat="false" ht="15" hidden="false" customHeight="false" outlineLevel="0" collapsed="false">
      <c r="A1437" s="109" t="s">
        <v>105</v>
      </c>
      <c r="B1437" s="109" t="s">
        <v>109</v>
      </c>
      <c r="C1437" s="109" t="s">
        <v>606</v>
      </c>
      <c r="D1437" s="109" t="s">
        <v>55</v>
      </c>
      <c r="E1437" s="112" t="s">
        <v>16</v>
      </c>
      <c r="F1437" s="109" t="s">
        <v>2916</v>
      </c>
      <c r="G1437" s="111" t="s">
        <v>2917</v>
      </c>
    </row>
    <row r="1438" customFormat="false" ht="15" hidden="false" customHeight="false" outlineLevel="0" collapsed="false">
      <c r="A1438" s="109" t="s">
        <v>105</v>
      </c>
      <c r="B1438" s="109" t="s">
        <v>109</v>
      </c>
      <c r="C1438" s="109" t="s">
        <v>606</v>
      </c>
      <c r="D1438" s="109" t="s">
        <v>59</v>
      </c>
      <c r="E1438" s="112" t="s">
        <v>16</v>
      </c>
      <c r="F1438" s="109" t="s">
        <v>2918</v>
      </c>
      <c r="G1438" s="111" t="s">
        <v>1856</v>
      </c>
    </row>
    <row r="1439" customFormat="false" ht="15" hidden="false" customHeight="false" outlineLevel="0" collapsed="false">
      <c r="A1439" s="109" t="s">
        <v>105</v>
      </c>
      <c r="B1439" s="109" t="s">
        <v>109</v>
      </c>
      <c r="C1439" s="109" t="s">
        <v>606</v>
      </c>
      <c r="D1439" s="109" t="s">
        <v>63</v>
      </c>
      <c r="E1439" s="113" t="s">
        <v>24</v>
      </c>
      <c r="F1439" s="109" t="s">
        <v>2919</v>
      </c>
      <c r="G1439" s="111" t="s">
        <v>2904</v>
      </c>
    </row>
    <row r="1440" customFormat="false" ht="23.85" hidden="false" customHeight="false" outlineLevel="0" collapsed="false">
      <c r="A1440" s="109" t="s">
        <v>105</v>
      </c>
      <c r="B1440" s="109" t="s">
        <v>109</v>
      </c>
      <c r="C1440" s="109" t="s">
        <v>606</v>
      </c>
      <c r="D1440" s="109" t="s">
        <v>67</v>
      </c>
      <c r="E1440" s="110" t="s">
        <v>18</v>
      </c>
      <c r="F1440" s="109" t="s">
        <v>2920</v>
      </c>
      <c r="G1440" s="111" t="s">
        <v>2339</v>
      </c>
    </row>
    <row r="1441" customFormat="false" ht="15" hidden="false" customHeight="false" outlineLevel="0" collapsed="false">
      <c r="A1441" s="109" t="s">
        <v>105</v>
      </c>
      <c r="B1441" s="109" t="s">
        <v>109</v>
      </c>
      <c r="C1441" s="109" t="s">
        <v>606</v>
      </c>
      <c r="D1441" s="109" t="s">
        <v>71</v>
      </c>
      <c r="E1441" s="112" t="s">
        <v>16</v>
      </c>
      <c r="F1441" s="109" t="s">
        <v>2921</v>
      </c>
      <c r="G1441" s="111" t="s">
        <v>1066</v>
      </c>
    </row>
    <row r="1442" customFormat="false" ht="15" hidden="false" customHeight="false" outlineLevel="0" collapsed="false">
      <c r="A1442" s="109" t="s">
        <v>105</v>
      </c>
      <c r="B1442" s="109" t="s">
        <v>109</v>
      </c>
      <c r="C1442" s="109" t="s">
        <v>607</v>
      </c>
      <c r="D1442" s="109" t="s">
        <v>35</v>
      </c>
      <c r="E1442" s="112" t="s">
        <v>16</v>
      </c>
      <c r="F1442" s="109" t="s">
        <v>2922</v>
      </c>
      <c r="G1442" s="111" t="s">
        <v>2923</v>
      </c>
    </row>
    <row r="1443" customFormat="false" ht="15" hidden="false" customHeight="false" outlineLevel="0" collapsed="false">
      <c r="A1443" s="109" t="s">
        <v>105</v>
      </c>
      <c r="B1443" s="109" t="s">
        <v>109</v>
      </c>
      <c r="C1443" s="109" t="s">
        <v>607</v>
      </c>
      <c r="D1443" s="109" t="s">
        <v>39</v>
      </c>
      <c r="E1443" s="112" t="s">
        <v>16</v>
      </c>
      <c r="F1443" s="109" t="s">
        <v>2924</v>
      </c>
      <c r="G1443" s="111" t="s">
        <v>2925</v>
      </c>
    </row>
    <row r="1444" customFormat="false" ht="15" hidden="false" customHeight="false" outlineLevel="0" collapsed="false">
      <c r="A1444" s="109" t="s">
        <v>105</v>
      </c>
      <c r="B1444" s="109" t="s">
        <v>109</v>
      </c>
      <c r="C1444" s="109" t="s">
        <v>607</v>
      </c>
      <c r="D1444" s="109" t="s">
        <v>43</v>
      </c>
      <c r="E1444" s="112" t="s">
        <v>16</v>
      </c>
      <c r="F1444" s="109" t="s">
        <v>2926</v>
      </c>
      <c r="G1444" s="111" t="s">
        <v>2927</v>
      </c>
    </row>
    <row r="1445" customFormat="false" ht="23.85" hidden="false" customHeight="false" outlineLevel="0" collapsed="false">
      <c r="A1445" s="109" t="s">
        <v>105</v>
      </c>
      <c r="B1445" s="109" t="s">
        <v>109</v>
      </c>
      <c r="C1445" s="109" t="s">
        <v>607</v>
      </c>
      <c r="D1445" s="109" t="s">
        <v>47</v>
      </c>
      <c r="E1445" s="112" t="s">
        <v>16</v>
      </c>
      <c r="F1445" s="109" t="s">
        <v>2928</v>
      </c>
      <c r="G1445" s="111" t="s">
        <v>2929</v>
      </c>
    </row>
    <row r="1446" customFormat="false" ht="15" hidden="false" customHeight="false" outlineLevel="0" collapsed="false">
      <c r="A1446" s="109" t="s">
        <v>105</v>
      </c>
      <c r="B1446" s="109" t="s">
        <v>109</v>
      </c>
      <c r="C1446" s="109" t="s">
        <v>607</v>
      </c>
      <c r="D1446" s="109" t="s">
        <v>51</v>
      </c>
      <c r="E1446" s="112" t="s">
        <v>16</v>
      </c>
      <c r="F1446" s="109" t="s">
        <v>2930</v>
      </c>
      <c r="G1446" s="111" t="s">
        <v>2931</v>
      </c>
    </row>
    <row r="1447" customFormat="false" ht="15" hidden="false" customHeight="false" outlineLevel="0" collapsed="false">
      <c r="A1447" s="109" t="s">
        <v>105</v>
      </c>
      <c r="B1447" s="109" t="s">
        <v>109</v>
      </c>
      <c r="C1447" s="109" t="s">
        <v>607</v>
      </c>
      <c r="D1447" s="109" t="s">
        <v>55</v>
      </c>
      <c r="E1447" s="112" t="s">
        <v>16</v>
      </c>
      <c r="F1447" s="109" t="s">
        <v>2932</v>
      </c>
      <c r="G1447" s="111" t="s">
        <v>2933</v>
      </c>
    </row>
    <row r="1448" customFormat="false" ht="23.85" hidden="false" customHeight="false" outlineLevel="0" collapsed="false">
      <c r="A1448" s="109" t="s">
        <v>105</v>
      </c>
      <c r="B1448" s="109" t="s">
        <v>109</v>
      </c>
      <c r="C1448" s="109" t="s">
        <v>607</v>
      </c>
      <c r="D1448" s="109" t="s">
        <v>59</v>
      </c>
      <c r="E1448" s="112" t="s">
        <v>16</v>
      </c>
      <c r="F1448" s="109" t="s">
        <v>2934</v>
      </c>
      <c r="G1448" s="111" t="s">
        <v>1479</v>
      </c>
    </row>
    <row r="1449" customFormat="false" ht="15" hidden="false" customHeight="false" outlineLevel="0" collapsed="false">
      <c r="A1449" s="109" t="s">
        <v>105</v>
      </c>
      <c r="B1449" s="109" t="s">
        <v>109</v>
      </c>
      <c r="C1449" s="109" t="s">
        <v>607</v>
      </c>
      <c r="D1449" s="109" t="s">
        <v>63</v>
      </c>
      <c r="E1449" s="112" t="s">
        <v>16</v>
      </c>
      <c r="F1449" s="109" t="s">
        <v>2935</v>
      </c>
      <c r="G1449" s="111" t="s">
        <v>2936</v>
      </c>
    </row>
    <row r="1450" customFormat="false" ht="23.85" hidden="false" customHeight="false" outlineLevel="0" collapsed="false">
      <c r="A1450" s="109" t="s">
        <v>105</v>
      </c>
      <c r="B1450" s="109" t="s">
        <v>109</v>
      </c>
      <c r="C1450" s="109" t="s">
        <v>607</v>
      </c>
      <c r="D1450" s="109" t="s">
        <v>67</v>
      </c>
      <c r="E1450" s="114" t="s">
        <v>22</v>
      </c>
      <c r="F1450" s="109" t="s">
        <v>2937</v>
      </c>
      <c r="G1450" s="111" t="s">
        <v>2938</v>
      </c>
    </row>
    <row r="1451" customFormat="false" ht="23.85" hidden="false" customHeight="false" outlineLevel="0" collapsed="false">
      <c r="A1451" s="109" t="s">
        <v>105</v>
      </c>
      <c r="B1451" s="109" t="s">
        <v>109</v>
      </c>
      <c r="C1451" s="109" t="s">
        <v>607</v>
      </c>
      <c r="D1451" s="109" t="s">
        <v>71</v>
      </c>
      <c r="E1451" s="114" t="s">
        <v>22</v>
      </c>
      <c r="F1451" s="109" t="s">
        <v>2939</v>
      </c>
      <c r="G1451" s="111" t="s">
        <v>998</v>
      </c>
    </row>
    <row r="1452" customFormat="false" ht="23.85" hidden="false" customHeight="false" outlineLevel="0" collapsed="false">
      <c r="A1452" s="109" t="s">
        <v>105</v>
      </c>
      <c r="B1452" s="109" t="s">
        <v>109</v>
      </c>
      <c r="C1452" s="109" t="s">
        <v>609</v>
      </c>
      <c r="D1452" s="109" t="s">
        <v>35</v>
      </c>
      <c r="E1452" s="112" t="s">
        <v>16</v>
      </c>
      <c r="F1452" s="109" t="s">
        <v>2940</v>
      </c>
      <c r="G1452" s="111" t="s">
        <v>2941</v>
      </c>
    </row>
    <row r="1453" customFormat="false" ht="15" hidden="false" customHeight="false" outlineLevel="0" collapsed="false">
      <c r="A1453" s="109" t="s">
        <v>105</v>
      </c>
      <c r="B1453" s="109" t="s">
        <v>109</v>
      </c>
      <c r="C1453" s="109" t="s">
        <v>609</v>
      </c>
      <c r="D1453" s="109" t="s">
        <v>39</v>
      </c>
      <c r="E1453" s="112" t="s">
        <v>16</v>
      </c>
      <c r="F1453" s="109" t="s">
        <v>2942</v>
      </c>
      <c r="G1453" s="111" t="s">
        <v>2943</v>
      </c>
    </row>
    <row r="1454" customFormat="false" ht="15" hidden="false" customHeight="false" outlineLevel="0" collapsed="false">
      <c r="A1454" s="109" t="s">
        <v>105</v>
      </c>
      <c r="B1454" s="109" t="s">
        <v>109</v>
      </c>
      <c r="C1454" s="109" t="s">
        <v>609</v>
      </c>
      <c r="D1454" s="109" t="s">
        <v>43</v>
      </c>
      <c r="E1454" s="112" t="s">
        <v>16</v>
      </c>
      <c r="F1454" s="109" t="s">
        <v>2944</v>
      </c>
      <c r="G1454" s="111" t="s">
        <v>2945</v>
      </c>
    </row>
    <row r="1455" customFormat="false" ht="15" hidden="false" customHeight="false" outlineLevel="0" collapsed="false">
      <c r="A1455" s="109" t="s">
        <v>105</v>
      </c>
      <c r="B1455" s="109" t="s">
        <v>109</v>
      </c>
      <c r="C1455" s="109" t="s">
        <v>609</v>
      </c>
      <c r="D1455" s="109" t="s">
        <v>47</v>
      </c>
      <c r="E1455" s="112" t="s">
        <v>16</v>
      </c>
      <c r="F1455" s="109" t="s">
        <v>2946</v>
      </c>
      <c r="G1455" s="111" t="s">
        <v>2897</v>
      </c>
    </row>
    <row r="1456" customFormat="false" ht="15" hidden="false" customHeight="false" outlineLevel="0" collapsed="false">
      <c r="A1456" s="109" t="s">
        <v>105</v>
      </c>
      <c r="B1456" s="109" t="s">
        <v>109</v>
      </c>
      <c r="C1456" s="109" t="s">
        <v>609</v>
      </c>
      <c r="D1456" s="109" t="s">
        <v>51</v>
      </c>
      <c r="E1456" s="112" t="s">
        <v>16</v>
      </c>
      <c r="F1456" s="109" t="s">
        <v>2947</v>
      </c>
      <c r="G1456" s="111" t="s">
        <v>2948</v>
      </c>
    </row>
    <row r="1457" customFormat="false" ht="15" hidden="false" customHeight="false" outlineLevel="0" collapsed="false">
      <c r="A1457" s="109" t="s">
        <v>105</v>
      </c>
      <c r="B1457" s="109" t="s">
        <v>109</v>
      </c>
      <c r="C1457" s="109" t="s">
        <v>609</v>
      </c>
      <c r="D1457" s="109" t="s">
        <v>55</v>
      </c>
      <c r="E1457" s="112" t="s">
        <v>16</v>
      </c>
      <c r="F1457" s="109" t="s">
        <v>2949</v>
      </c>
      <c r="G1457" s="111" t="s">
        <v>2950</v>
      </c>
    </row>
    <row r="1458" customFormat="false" ht="23.85" hidden="false" customHeight="false" outlineLevel="0" collapsed="false">
      <c r="A1458" s="109" t="s">
        <v>105</v>
      </c>
      <c r="B1458" s="109" t="s">
        <v>109</v>
      </c>
      <c r="C1458" s="109" t="s">
        <v>609</v>
      </c>
      <c r="D1458" s="109" t="s">
        <v>59</v>
      </c>
      <c r="E1458" s="112" t="s">
        <v>16</v>
      </c>
      <c r="F1458" s="109" t="s">
        <v>2951</v>
      </c>
      <c r="G1458" s="111" t="s">
        <v>2734</v>
      </c>
    </row>
    <row r="1459" customFormat="false" ht="15" hidden="false" customHeight="false" outlineLevel="0" collapsed="false">
      <c r="A1459" s="109" t="s">
        <v>105</v>
      </c>
      <c r="B1459" s="109" t="s">
        <v>109</v>
      </c>
      <c r="C1459" s="109" t="s">
        <v>609</v>
      </c>
      <c r="D1459" s="109" t="s">
        <v>63</v>
      </c>
      <c r="E1459" s="112" t="s">
        <v>16</v>
      </c>
      <c r="F1459" s="109" t="s">
        <v>2952</v>
      </c>
      <c r="G1459" s="111" t="s">
        <v>2953</v>
      </c>
    </row>
    <row r="1460" customFormat="false" ht="23.85" hidden="false" customHeight="false" outlineLevel="0" collapsed="false">
      <c r="A1460" s="109" t="s">
        <v>105</v>
      </c>
      <c r="B1460" s="109" t="s">
        <v>109</v>
      </c>
      <c r="C1460" s="109" t="s">
        <v>609</v>
      </c>
      <c r="D1460" s="109" t="s">
        <v>67</v>
      </c>
      <c r="E1460" s="112" t="s">
        <v>16</v>
      </c>
      <c r="F1460" s="109" t="s">
        <v>2954</v>
      </c>
      <c r="G1460" s="111" t="s">
        <v>882</v>
      </c>
    </row>
    <row r="1461" customFormat="false" ht="23.85" hidden="false" customHeight="false" outlineLevel="0" collapsed="false">
      <c r="A1461" s="109" t="s">
        <v>105</v>
      </c>
      <c r="B1461" s="109" t="s">
        <v>109</v>
      </c>
      <c r="C1461" s="109" t="s">
        <v>609</v>
      </c>
      <c r="D1461" s="109" t="s">
        <v>71</v>
      </c>
      <c r="E1461" s="112" t="s">
        <v>16</v>
      </c>
      <c r="F1461" s="109" t="s">
        <v>2955</v>
      </c>
      <c r="G1461" s="111" t="s">
        <v>2956</v>
      </c>
    </row>
    <row r="1462" customFormat="false" ht="23.85" hidden="false" customHeight="false" outlineLevel="0" collapsed="false">
      <c r="A1462" s="109" t="s">
        <v>105</v>
      </c>
      <c r="B1462" s="109" t="s">
        <v>109</v>
      </c>
      <c r="C1462" s="109" t="s">
        <v>611</v>
      </c>
      <c r="D1462" s="109" t="s">
        <v>35</v>
      </c>
      <c r="E1462" s="112" t="s">
        <v>16</v>
      </c>
      <c r="F1462" s="109" t="s">
        <v>2957</v>
      </c>
      <c r="G1462" s="111" t="s">
        <v>1082</v>
      </c>
    </row>
    <row r="1463" customFormat="false" ht="15" hidden="false" customHeight="false" outlineLevel="0" collapsed="false">
      <c r="A1463" s="109" t="s">
        <v>105</v>
      </c>
      <c r="B1463" s="109" t="s">
        <v>109</v>
      </c>
      <c r="C1463" s="109" t="s">
        <v>611</v>
      </c>
      <c r="D1463" s="109" t="s">
        <v>39</v>
      </c>
      <c r="E1463" s="112" t="s">
        <v>16</v>
      </c>
      <c r="F1463" s="109" t="s">
        <v>2958</v>
      </c>
      <c r="G1463" s="111" t="s">
        <v>2959</v>
      </c>
    </row>
    <row r="1464" customFormat="false" ht="23.85" hidden="false" customHeight="false" outlineLevel="0" collapsed="false">
      <c r="A1464" s="109" t="s">
        <v>105</v>
      </c>
      <c r="B1464" s="109" t="s">
        <v>109</v>
      </c>
      <c r="C1464" s="109" t="s">
        <v>611</v>
      </c>
      <c r="D1464" s="109" t="s">
        <v>43</v>
      </c>
      <c r="E1464" s="112" t="s">
        <v>16</v>
      </c>
      <c r="F1464" s="109" t="s">
        <v>2960</v>
      </c>
      <c r="G1464" s="111" t="s">
        <v>2895</v>
      </c>
    </row>
    <row r="1465" customFormat="false" ht="15" hidden="false" customHeight="false" outlineLevel="0" collapsed="false">
      <c r="A1465" s="109" t="s">
        <v>105</v>
      </c>
      <c r="B1465" s="109" t="s">
        <v>109</v>
      </c>
      <c r="C1465" s="109" t="s">
        <v>611</v>
      </c>
      <c r="D1465" s="109" t="s">
        <v>47</v>
      </c>
      <c r="E1465" s="112" t="s">
        <v>16</v>
      </c>
      <c r="F1465" s="109" t="s">
        <v>2961</v>
      </c>
      <c r="G1465" s="111" t="s">
        <v>2962</v>
      </c>
    </row>
    <row r="1466" customFormat="false" ht="15" hidden="false" customHeight="false" outlineLevel="0" collapsed="false">
      <c r="A1466" s="109" t="s">
        <v>105</v>
      </c>
      <c r="B1466" s="109" t="s">
        <v>109</v>
      </c>
      <c r="C1466" s="109" t="s">
        <v>611</v>
      </c>
      <c r="D1466" s="109" t="s">
        <v>51</v>
      </c>
      <c r="E1466" s="112" t="s">
        <v>16</v>
      </c>
      <c r="F1466" s="109" t="s">
        <v>2963</v>
      </c>
      <c r="G1466" s="111" t="s">
        <v>2964</v>
      </c>
    </row>
    <row r="1467" customFormat="false" ht="15" hidden="false" customHeight="false" outlineLevel="0" collapsed="false">
      <c r="A1467" s="109" t="s">
        <v>105</v>
      </c>
      <c r="B1467" s="109" t="s">
        <v>109</v>
      </c>
      <c r="C1467" s="109" t="s">
        <v>611</v>
      </c>
      <c r="D1467" s="109" t="s">
        <v>55</v>
      </c>
      <c r="E1467" s="112" t="s">
        <v>16</v>
      </c>
      <c r="F1467" s="109" t="s">
        <v>2965</v>
      </c>
      <c r="G1467" s="111" t="s">
        <v>2966</v>
      </c>
    </row>
    <row r="1468" customFormat="false" ht="23.85" hidden="false" customHeight="false" outlineLevel="0" collapsed="false">
      <c r="A1468" s="109" t="s">
        <v>105</v>
      </c>
      <c r="B1468" s="109" t="s">
        <v>109</v>
      </c>
      <c r="C1468" s="109" t="s">
        <v>611</v>
      </c>
      <c r="D1468" s="109" t="s">
        <v>59</v>
      </c>
      <c r="E1468" s="110" t="s">
        <v>18</v>
      </c>
      <c r="F1468" s="109" t="s">
        <v>2967</v>
      </c>
      <c r="G1468" s="111" t="s">
        <v>2734</v>
      </c>
    </row>
    <row r="1469" customFormat="false" ht="15" hidden="false" customHeight="false" outlineLevel="0" collapsed="false">
      <c r="A1469" s="109" t="s">
        <v>105</v>
      </c>
      <c r="B1469" s="109" t="s">
        <v>109</v>
      </c>
      <c r="C1469" s="109" t="s">
        <v>611</v>
      </c>
      <c r="D1469" s="109" t="s">
        <v>63</v>
      </c>
      <c r="E1469" s="112" t="s">
        <v>16</v>
      </c>
      <c r="F1469" s="109" t="s">
        <v>2968</v>
      </c>
      <c r="G1469" s="111" t="s">
        <v>2251</v>
      </c>
    </row>
    <row r="1470" customFormat="false" ht="23.85" hidden="false" customHeight="false" outlineLevel="0" collapsed="false">
      <c r="A1470" s="109" t="s">
        <v>105</v>
      </c>
      <c r="B1470" s="109" t="s">
        <v>109</v>
      </c>
      <c r="C1470" s="109" t="s">
        <v>611</v>
      </c>
      <c r="D1470" s="109" t="s">
        <v>67</v>
      </c>
      <c r="E1470" s="112" t="s">
        <v>16</v>
      </c>
      <c r="F1470" s="109" t="s">
        <v>2969</v>
      </c>
      <c r="G1470" s="111" t="s">
        <v>1988</v>
      </c>
    </row>
    <row r="1471" customFormat="false" ht="23.85" hidden="false" customHeight="false" outlineLevel="0" collapsed="false">
      <c r="A1471" s="109" t="s">
        <v>105</v>
      </c>
      <c r="B1471" s="109" t="s">
        <v>109</v>
      </c>
      <c r="C1471" s="109" t="s">
        <v>611</v>
      </c>
      <c r="D1471" s="109" t="s">
        <v>71</v>
      </c>
      <c r="E1471" s="112" t="s">
        <v>16</v>
      </c>
      <c r="F1471" s="109" t="s">
        <v>2970</v>
      </c>
      <c r="G1471" s="111" t="s">
        <v>949</v>
      </c>
    </row>
    <row r="1472" customFormat="false" ht="15" hidden="false" customHeight="false" outlineLevel="0" collapsed="false">
      <c r="A1472" s="109" t="s">
        <v>105</v>
      </c>
      <c r="B1472" s="109" t="s">
        <v>109</v>
      </c>
      <c r="C1472" s="109" t="s">
        <v>613</v>
      </c>
      <c r="D1472" s="109" t="s">
        <v>35</v>
      </c>
      <c r="E1472" s="112" t="s">
        <v>16</v>
      </c>
      <c r="F1472" s="109" t="s">
        <v>2971</v>
      </c>
      <c r="G1472" s="111" t="s">
        <v>2972</v>
      </c>
    </row>
    <row r="1473" customFormat="false" ht="23.85" hidden="false" customHeight="false" outlineLevel="0" collapsed="false">
      <c r="A1473" s="109" t="s">
        <v>105</v>
      </c>
      <c r="B1473" s="109" t="s">
        <v>109</v>
      </c>
      <c r="C1473" s="109" t="s">
        <v>613</v>
      </c>
      <c r="D1473" s="109" t="s">
        <v>39</v>
      </c>
      <c r="E1473" s="110" t="s">
        <v>18</v>
      </c>
      <c r="F1473" s="109" t="s">
        <v>2973</v>
      </c>
      <c r="G1473" s="111" t="s">
        <v>2974</v>
      </c>
    </row>
    <row r="1474" customFormat="false" ht="15" hidden="false" customHeight="false" outlineLevel="0" collapsed="false">
      <c r="A1474" s="109" t="s">
        <v>105</v>
      </c>
      <c r="B1474" s="109" t="s">
        <v>109</v>
      </c>
      <c r="C1474" s="109" t="s">
        <v>613</v>
      </c>
      <c r="D1474" s="109" t="s">
        <v>43</v>
      </c>
      <c r="E1474" s="112" t="s">
        <v>16</v>
      </c>
      <c r="F1474" s="109" t="s">
        <v>2975</v>
      </c>
      <c r="G1474" s="111" t="s">
        <v>1196</v>
      </c>
    </row>
    <row r="1475" customFormat="false" ht="23.85" hidden="false" customHeight="false" outlineLevel="0" collapsed="false">
      <c r="A1475" s="109" t="s">
        <v>105</v>
      </c>
      <c r="B1475" s="109" t="s">
        <v>109</v>
      </c>
      <c r="C1475" s="109" t="s">
        <v>613</v>
      </c>
      <c r="D1475" s="109" t="s">
        <v>47</v>
      </c>
      <c r="E1475" s="114" t="s">
        <v>22</v>
      </c>
      <c r="F1475" s="109" t="s">
        <v>2976</v>
      </c>
      <c r="G1475" s="111" t="s">
        <v>2977</v>
      </c>
    </row>
    <row r="1476" customFormat="false" ht="15" hidden="false" customHeight="false" outlineLevel="0" collapsed="false">
      <c r="A1476" s="109" t="s">
        <v>105</v>
      </c>
      <c r="B1476" s="109" t="s">
        <v>109</v>
      </c>
      <c r="C1476" s="109" t="s">
        <v>613</v>
      </c>
      <c r="D1476" s="109" t="s">
        <v>51</v>
      </c>
      <c r="E1476" s="112" t="s">
        <v>16</v>
      </c>
      <c r="F1476" s="109" t="s">
        <v>2978</v>
      </c>
      <c r="G1476" s="111" t="s">
        <v>2979</v>
      </c>
    </row>
    <row r="1477" customFormat="false" ht="15" hidden="false" customHeight="false" outlineLevel="0" collapsed="false">
      <c r="A1477" s="109" t="s">
        <v>105</v>
      </c>
      <c r="B1477" s="109" t="s">
        <v>109</v>
      </c>
      <c r="C1477" s="109" t="s">
        <v>613</v>
      </c>
      <c r="D1477" s="109" t="s">
        <v>55</v>
      </c>
      <c r="E1477" s="112" t="s">
        <v>16</v>
      </c>
      <c r="F1477" s="109" t="s">
        <v>2980</v>
      </c>
      <c r="G1477" s="111" t="s">
        <v>2981</v>
      </c>
    </row>
    <row r="1478" customFormat="false" ht="23.85" hidden="false" customHeight="false" outlineLevel="0" collapsed="false">
      <c r="A1478" s="109" t="s">
        <v>105</v>
      </c>
      <c r="B1478" s="109" t="s">
        <v>109</v>
      </c>
      <c r="C1478" s="109" t="s">
        <v>613</v>
      </c>
      <c r="D1478" s="109" t="s">
        <v>59</v>
      </c>
      <c r="E1478" s="110" t="s">
        <v>18</v>
      </c>
      <c r="F1478" s="109" t="s">
        <v>2982</v>
      </c>
      <c r="G1478" s="111" t="s">
        <v>1155</v>
      </c>
    </row>
    <row r="1479" customFormat="false" ht="23.85" hidden="false" customHeight="false" outlineLevel="0" collapsed="false">
      <c r="A1479" s="109" t="s">
        <v>105</v>
      </c>
      <c r="B1479" s="109" t="s">
        <v>109</v>
      </c>
      <c r="C1479" s="109" t="s">
        <v>613</v>
      </c>
      <c r="D1479" s="109" t="s">
        <v>63</v>
      </c>
      <c r="E1479" s="112" t="s">
        <v>16</v>
      </c>
      <c r="F1479" s="109" t="s">
        <v>2983</v>
      </c>
      <c r="G1479" s="111" t="s">
        <v>2984</v>
      </c>
    </row>
    <row r="1480" customFormat="false" ht="23.85" hidden="false" customHeight="false" outlineLevel="0" collapsed="false">
      <c r="A1480" s="109" t="s">
        <v>105</v>
      </c>
      <c r="B1480" s="109" t="s">
        <v>109</v>
      </c>
      <c r="C1480" s="109" t="s">
        <v>613</v>
      </c>
      <c r="D1480" s="109" t="s">
        <v>67</v>
      </c>
      <c r="E1480" s="112" t="s">
        <v>16</v>
      </c>
      <c r="F1480" s="109" t="s">
        <v>2985</v>
      </c>
      <c r="G1480" s="111" t="s">
        <v>2986</v>
      </c>
    </row>
    <row r="1481" customFormat="false" ht="15" hidden="false" customHeight="false" outlineLevel="0" collapsed="false">
      <c r="A1481" s="109" t="s">
        <v>105</v>
      </c>
      <c r="B1481" s="109" t="s">
        <v>109</v>
      </c>
      <c r="C1481" s="109" t="s">
        <v>613</v>
      </c>
      <c r="D1481" s="109" t="s">
        <v>71</v>
      </c>
      <c r="E1481" s="112" t="s">
        <v>16</v>
      </c>
      <c r="F1481" s="109" t="s">
        <v>2987</v>
      </c>
      <c r="G1481" s="111" t="s">
        <v>2988</v>
      </c>
    </row>
    <row r="1482" customFormat="false" ht="15" hidden="false" customHeight="false" outlineLevel="0" collapsed="false">
      <c r="A1482" s="109" t="s">
        <v>105</v>
      </c>
      <c r="B1482" s="109" t="s">
        <v>109</v>
      </c>
      <c r="C1482" s="109" t="s">
        <v>615</v>
      </c>
      <c r="D1482" s="109" t="s">
        <v>35</v>
      </c>
      <c r="E1482" s="112" t="s">
        <v>16</v>
      </c>
      <c r="F1482" s="109" t="s">
        <v>2989</v>
      </c>
      <c r="G1482" s="111" t="s">
        <v>2990</v>
      </c>
    </row>
    <row r="1483" customFormat="false" ht="15" hidden="false" customHeight="false" outlineLevel="0" collapsed="false">
      <c r="A1483" s="109" t="s">
        <v>105</v>
      </c>
      <c r="B1483" s="109" t="s">
        <v>109</v>
      </c>
      <c r="C1483" s="109" t="s">
        <v>615</v>
      </c>
      <c r="D1483" s="109" t="s">
        <v>39</v>
      </c>
      <c r="E1483" s="112" t="s">
        <v>16</v>
      </c>
      <c r="F1483" s="109" t="s">
        <v>2991</v>
      </c>
      <c r="G1483" s="111" t="s">
        <v>2992</v>
      </c>
    </row>
    <row r="1484" customFormat="false" ht="15" hidden="false" customHeight="false" outlineLevel="0" collapsed="false">
      <c r="A1484" s="109" t="s">
        <v>105</v>
      </c>
      <c r="B1484" s="109" t="s">
        <v>109</v>
      </c>
      <c r="C1484" s="109" t="s">
        <v>615</v>
      </c>
      <c r="D1484" s="109" t="s">
        <v>43</v>
      </c>
      <c r="E1484" s="112" t="s">
        <v>16</v>
      </c>
      <c r="F1484" s="109" t="s">
        <v>2993</v>
      </c>
      <c r="G1484" s="111" t="s">
        <v>2994</v>
      </c>
    </row>
    <row r="1485" customFormat="false" ht="15" hidden="false" customHeight="false" outlineLevel="0" collapsed="false">
      <c r="A1485" s="109" t="s">
        <v>105</v>
      </c>
      <c r="B1485" s="109" t="s">
        <v>109</v>
      </c>
      <c r="C1485" s="109" t="s">
        <v>615</v>
      </c>
      <c r="D1485" s="109" t="s">
        <v>47</v>
      </c>
      <c r="E1485" s="112" t="s">
        <v>16</v>
      </c>
      <c r="F1485" s="109" t="s">
        <v>2995</v>
      </c>
      <c r="G1485" s="111" t="s">
        <v>2996</v>
      </c>
    </row>
    <row r="1486" customFormat="false" ht="15" hidden="false" customHeight="false" outlineLevel="0" collapsed="false">
      <c r="A1486" s="109" t="s">
        <v>105</v>
      </c>
      <c r="B1486" s="109" t="s">
        <v>109</v>
      </c>
      <c r="C1486" s="109" t="s">
        <v>615</v>
      </c>
      <c r="D1486" s="109" t="s">
        <v>51</v>
      </c>
      <c r="E1486" s="112" t="s">
        <v>16</v>
      </c>
      <c r="F1486" s="109" t="s">
        <v>2997</v>
      </c>
      <c r="G1486" s="111" t="s">
        <v>2998</v>
      </c>
    </row>
    <row r="1487" customFormat="false" ht="15" hidden="false" customHeight="false" outlineLevel="0" collapsed="false">
      <c r="A1487" s="109" t="s">
        <v>105</v>
      </c>
      <c r="B1487" s="109" t="s">
        <v>109</v>
      </c>
      <c r="C1487" s="109" t="s">
        <v>615</v>
      </c>
      <c r="D1487" s="109" t="s">
        <v>55</v>
      </c>
      <c r="E1487" s="112" t="s">
        <v>16</v>
      </c>
      <c r="F1487" s="109" t="s">
        <v>2999</v>
      </c>
      <c r="G1487" s="111" t="s">
        <v>3000</v>
      </c>
    </row>
    <row r="1488" customFormat="false" ht="23.85" hidden="false" customHeight="false" outlineLevel="0" collapsed="false">
      <c r="A1488" s="109" t="s">
        <v>105</v>
      </c>
      <c r="B1488" s="109" t="s">
        <v>109</v>
      </c>
      <c r="C1488" s="109" t="s">
        <v>615</v>
      </c>
      <c r="D1488" s="109" t="s">
        <v>59</v>
      </c>
      <c r="E1488" s="110" t="s">
        <v>18</v>
      </c>
      <c r="F1488" s="109" t="s">
        <v>3001</v>
      </c>
      <c r="G1488" s="111" t="s">
        <v>1172</v>
      </c>
    </row>
    <row r="1489" customFormat="false" ht="15" hidden="false" customHeight="false" outlineLevel="0" collapsed="false">
      <c r="A1489" s="109" t="s">
        <v>105</v>
      </c>
      <c r="B1489" s="109" t="s">
        <v>109</v>
      </c>
      <c r="C1489" s="109" t="s">
        <v>615</v>
      </c>
      <c r="D1489" s="109" t="s">
        <v>63</v>
      </c>
      <c r="E1489" s="112" t="s">
        <v>16</v>
      </c>
      <c r="F1489" s="109" t="s">
        <v>3002</v>
      </c>
      <c r="G1489" s="111" t="s">
        <v>3003</v>
      </c>
    </row>
    <row r="1490" customFormat="false" ht="15" hidden="false" customHeight="false" outlineLevel="0" collapsed="false">
      <c r="A1490" s="109" t="s">
        <v>105</v>
      </c>
      <c r="B1490" s="109" t="s">
        <v>109</v>
      </c>
      <c r="C1490" s="109" t="s">
        <v>615</v>
      </c>
      <c r="D1490" s="109" t="s">
        <v>67</v>
      </c>
      <c r="E1490" s="112" t="s">
        <v>16</v>
      </c>
      <c r="F1490" s="109" t="s">
        <v>3004</v>
      </c>
      <c r="G1490" s="111" t="s">
        <v>2123</v>
      </c>
    </row>
    <row r="1491" customFormat="false" ht="15" hidden="false" customHeight="false" outlineLevel="0" collapsed="false">
      <c r="A1491" s="109" t="s">
        <v>105</v>
      </c>
      <c r="B1491" s="109" t="s">
        <v>109</v>
      </c>
      <c r="C1491" s="109" t="s">
        <v>615</v>
      </c>
      <c r="D1491" s="109" t="s">
        <v>71</v>
      </c>
      <c r="E1491" s="112" t="s">
        <v>16</v>
      </c>
      <c r="F1491" s="109" t="s">
        <v>3005</v>
      </c>
      <c r="G1491" s="111" t="s">
        <v>3006</v>
      </c>
    </row>
    <row r="1492" customFormat="false" ht="23.85" hidden="false" customHeight="false" outlineLevel="0" collapsed="false">
      <c r="A1492" s="109" t="s">
        <v>105</v>
      </c>
      <c r="B1492" s="109" t="s">
        <v>110</v>
      </c>
      <c r="C1492" s="109" t="s">
        <v>635</v>
      </c>
      <c r="D1492" s="109" t="s">
        <v>35</v>
      </c>
      <c r="E1492" s="110" t="s">
        <v>18</v>
      </c>
      <c r="F1492" s="109" t="s">
        <v>3007</v>
      </c>
      <c r="G1492" s="111" t="s">
        <v>3008</v>
      </c>
    </row>
    <row r="1493" customFormat="false" ht="15" hidden="false" customHeight="false" outlineLevel="0" collapsed="false">
      <c r="A1493" s="109" t="s">
        <v>105</v>
      </c>
      <c r="B1493" s="109" t="s">
        <v>110</v>
      </c>
      <c r="C1493" s="109" t="s">
        <v>635</v>
      </c>
      <c r="D1493" s="109" t="s">
        <v>39</v>
      </c>
      <c r="E1493" s="112" t="s">
        <v>16</v>
      </c>
      <c r="F1493" s="109" t="s">
        <v>3009</v>
      </c>
      <c r="G1493" s="111" t="s">
        <v>3010</v>
      </c>
    </row>
    <row r="1494" customFormat="false" ht="15" hidden="false" customHeight="false" outlineLevel="0" collapsed="false">
      <c r="A1494" s="109" t="s">
        <v>105</v>
      </c>
      <c r="B1494" s="109" t="s">
        <v>110</v>
      </c>
      <c r="C1494" s="109" t="s">
        <v>635</v>
      </c>
      <c r="D1494" s="109" t="s">
        <v>43</v>
      </c>
      <c r="E1494" s="115" t="s">
        <v>20</v>
      </c>
      <c r="F1494" s="109" t="s">
        <v>3011</v>
      </c>
      <c r="G1494" s="111" t="s">
        <v>2381</v>
      </c>
    </row>
    <row r="1495" customFormat="false" ht="15" hidden="false" customHeight="false" outlineLevel="0" collapsed="false">
      <c r="A1495" s="109" t="s">
        <v>105</v>
      </c>
      <c r="B1495" s="109" t="s">
        <v>110</v>
      </c>
      <c r="C1495" s="109" t="s">
        <v>635</v>
      </c>
      <c r="D1495" s="109" t="s">
        <v>47</v>
      </c>
      <c r="E1495" s="112" t="s">
        <v>16</v>
      </c>
      <c r="F1495" s="109" t="s">
        <v>3012</v>
      </c>
      <c r="G1495" s="111" t="s">
        <v>3013</v>
      </c>
    </row>
    <row r="1496" customFormat="false" ht="15" hidden="false" customHeight="false" outlineLevel="0" collapsed="false">
      <c r="A1496" s="109" t="s">
        <v>105</v>
      </c>
      <c r="B1496" s="109" t="s">
        <v>110</v>
      </c>
      <c r="C1496" s="109" t="s">
        <v>635</v>
      </c>
      <c r="D1496" s="109" t="s">
        <v>51</v>
      </c>
      <c r="E1496" s="112" t="s">
        <v>16</v>
      </c>
      <c r="F1496" s="109" t="s">
        <v>3014</v>
      </c>
      <c r="G1496" s="111" t="s">
        <v>3015</v>
      </c>
    </row>
    <row r="1497" customFormat="false" ht="15" hidden="false" customHeight="false" outlineLevel="0" collapsed="false">
      <c r="A1497" s="109" t="s">
        <v>105</v>
      </c>
      <c r="B1497" s="109" t="s">
        <v>110</v>
      </c>
      <c r="C1497" s="109" t="s">
        <v>635</v>
      </c>
      <c r="D1497" s="109" t="s">
        <v>55</v>
      </c>
      <c r="E1497" s="115" t="s">
        <v>20</v>
      </c>
      <c r="F1497" s="109" t="s">
        <v>3016</v>
      </c>
      <c r="G1497" s="111" t="s">
        <v>2387</v>
      </c>
    </row>
    <row r="1498" customFormat="false" ht="23.85" hidden="false" customHeight="false" outlineLevel="0" collapsed="false">
      <c r="A1498" s="109" t="s">
        <v>105</v>
      </c>
      <c r="B1498" s="109" t="s">
        <v>110</v>
      </c>
      <c r="C1498" s="109" t="s">
        <v>635</v>
      </c>
      <c r="D1498" s="109" t="s">
        <v>59</v>
      </c>
      <c r="E1498" s="114" t="s">
        <v>22</v>
      </c>
      <c r="F1498" s="109" t="s">
        <v>3017</v>
      </c>
      <c r="G1498" s="111" t="s">
        <v>992</v>
      </c>
    </row>
    <row r="1499" customFormat="false" ht="15" hidden="false" customHeight="false" outlineLevel="0" collapsed="false">
      <c r="A1499" s="109" t="s">
        <v>105</v>
      </c>
      <c r="B1499" s="109" t="s">
        <v>110</v>
      </c>
      <c r="C1499" s="109" t="s">
        <v>635</v>
      </c>
      <c r="D1499" s="109" t="s">
        <v>63</v>
      </c>
      <c r="E1499" s="114" t="s">
        <v>22</v>
      </c>
      <c r="F1499" s="109" t="s">
        <v>3018</v>
      </c>
      <c r="G1499" s="109"/>
    </row>
    <row r="1500" customFormat="false" ht="15" hidden="false" customHeight="false" outlineLevel="0" collapsed="false">
      <c r="A1500" s="109" t="s">
        <v>105</v>
      </c>
      <c r="B1500" s="109" t="s">
        <v>110</v>
      </c>
      <c r="C1500" s="109" t="s">
        <v>635</v>
      </c>
      <c r="D1500" s="109" t="s">
        <v>67</v>
      </c>
      <c r="E1500" s="113" t="s">
        <v>24</v>
      </c>
      <c r="F1500" s="109" t="s">
        <v>3019</v>
      </c>
      <c r="G1500" s="109"/>
    </row>
    <row r="1501" customFormat="false" ht="15" hidden="false" customHeight="false" outlineLevel="0" collapsed="false">
      <c r="A1501" s="109" t="s">
        <v>105</v>
      </c>
      <c r="B1501" s="109" t="s">
        <v>110</v>
      </c>
      <c r="C1501" s="109" t="s">
        <v>635</v>
      </c>
      <c r="D1501" s="109" t="s">
        <v>71</v>
      </c>
      <c r="E1501" s="113" t="s">
        <v>24</v>
      </c>
      <c r="F1501" s="109" t="s">
        <v>3020</v>
      </c>
      <c r="G1501" s="109"/>
    </row>
    <row r="1502" customFormat="false" ht="23.85" hidden="false" customHeight="false" outlineLevel="0" collapsed="false">
      <c r="A1502" s="109" t="s">
        <v>105</v>
      </c>
      <c r="B1502" s="109" t="s">
        <v>110</v>
      </c>
      <c r="C1502" s="109" t="s">
        <v>637</v>
      </c>
      <c r="D1502" s="109" t="s">
        <v>35</v>
      </c>
      <c r="E1502" s="112" t="s">
        <v>16</v>
      </c>
      <c r="F1502" s="109" t="s">
        <v>3021</v>
      </c>
      <c r="G1502" s="111" t="s">
        <v>3022</v>
      </c>
    </row>
    <row r="1503" customFormat="false" ht="23.85" hidden="false" customHeight="false" outlineLevel="0" collapsed="false">
      <c r="A1503" s="109" t="s">
        <v>105</v>
      </c>
      <c r="B1503" s="109" t="s">
        <v>110</v>
      </c>
      <c r="C1503" s="109" t="s">
        <v>637</v>
      </c>
      <c r="D1503" s="109" t="s">
        <v>39</v>
      </c>
      <c r="E1503" s="112" t="s">
        <v>16</v>
      </c>
      <c r="F1503" s="109" t="s">
        <v>3023</v>
      </c>
      <c r="G1503" s="111" t="s">
        <v>3024</v>
      </c>
    </row>
    <row r="1504" customFormat="false" ht="15" hidden="false" customHeight="false" outlineLevel="0" collapsed="false">
      <c r="A1504" s="109" t="s">
        <v>105</v>
      </c>
      <c r="B1504" s="109" t="s">
        <v>110</v>
      </c>
      <c r="C1504" s="109" t="s">
        <v>637</v>
      </c>
      <c r="D1504" s="109" t="s">
        <v>43</v>
      </c>
      <c r="E1504" s="112" t="s">
        <v>16</v>
      </c>
      <c r="F1504" s="109" t="s">
        <v>3025</v>
      </c>
      <c r="G1504" s="111" t="s">
        <v>2231</v>
      </c>
    </row>
    <row r="1505" customFormat="false" ht="23.85" hidden="false" customHeight="false" outlineLevel="0" collapsed="false">
      <c r="A1505" s="109" t="s">
        <v>105</v>
      </c>
      <c r="B1505" s="109" t="s">
        <v>110</v>
      </c>
      <c r="C1505" s="109" t="s">
        <v>637</v>
      </c>
      <c r="D1505" s="109" t="s">
        <v>47</v>
      </c>
      <c r="E1505" s="112" t="s">
        <v>16</v>
      </c>
      <c r="F1505" s="109" t="s">
        <v>3026</v>
      </c>
      <c r="G1505" s="111" t="s">
        <v>3013</v>
      </c>
    </row>
    <row r="1506" customFormat="false" ht="15" hidden="false" customHeight="false" outlineLevel="0" collapsed="false">
      <c r="A1506" s="109" t="s">
        <v>105</v>
      </c>
      <c r="B1506" s="109" t="s">
        <v>110</v>
      </c>
      <c r="C1506" s="109" t="s">
        <v>637</v>
      </c>
      <c r="D1506" s="109" t="s">
        <v>51</v>
      </c>
      <c r="E1506" s="112" t="s">
        <v>16</v>
      </c>
      <c r="F1506" s="109" t="s">
        <v>3027</v>
      </c>
      <c r="G1506" s="111" t="s">
        <v>3028</v>
      </c>
    </row>
    <row r="1507" customFormat="false" ht="15" hidden="false" customHeight="false" outlineLevel="0" collapsed="false">
      <c r="A1507" s="109" t="s">
        <v>105</v>
      </c>
      <c r="B1507" s="109" t="s">
        <v>110</v>
      </c>
      <c r="C1507" s="109" t="s">
        <v>637</v>
      </c>
      <c r="D1507" s="109" t="s">
        <v>55</v>
      </c>
      <c r="E1507" s="112" t="s">
        <v>16</v>
      </c>
      <c r="F1507" s="109" t="s">
        <v>3029</v>
      </c>
      <c r="G1507" s="111" t="s">
        <v>3030</v>
      </c>
    </row>
    <row r="1508" customFormat="false" ht="15" hidden="false" customHeight="false" outlineLevel="0" collapsed="false">
      <c r="A1508" s="109" t="s">
        <v>105</v>
      </c>
      <c r="B1508" s="109" t="s">
        <v>110</v>
      </c>
      <c r="C1508" s="109" t="s">
        <v>637</v>
      </c>
      <c r="D1508" s="109" t="s">
        <v>59</v>
      </c>
      <c r="E1508" s="112" t="s">
        <v>16</v>
      </c>
      <c r="F1508" s="109" t="s">
        <v>3031</v>
      </c>
      <c r="G1508" s="111" t="s">
        <v>3032</v>
      </c>
    </row>
    <row r="1509" customFormat="false" ht="15" hidden="false" customHeight="false" outlineLevel="0" collapsed="false">
      <c r="A1509" s="109" t="s">
        <v>105</v>
      </c>
      <c r="B1509" s="109" t="s">
        <v>110</v>
      </c>
      <c r="C1509" s="109" t="s">
        <v>637</v>
      </c>
      <c r="D1509" s="109" t="s">
        <v>63</v>
      </c>
      <c r="E1509" s="114" t="s">
        <v>22</v>
      </c>
      <c r="F1509" s="109" t="s">
        <v>3033</v>
      </c>
      <c r="G1509" s="111" t="s">
        <v>2406</v>
      </c>
    </row>
    <row r="1510" customFormat="false" ht="23.85" hidden="false" customHeight="false" outlineLevel="0" collapsed="false">
      <c r="A1510" s="109" t="s">
        <v>105</v>
      </c>
      <c r="B1510" s="109" t="s">
        <v>110</v>
      </c>
      <c r="C1510" s="109" t="s">
        <v>637</v>
      </c>
      <c r="D1510" s="109" t="s">
        <v>67</v>
      </c>
      <c r="E1510" s="114" t="s">
        <v>22</v>
      </c>
      <c r="F1510" s="109" t="s">
        <v>3034</v>
      </c>
      <c r="G1510" s="111" t="s">
        <v>3035</v>
      </c>
    </row>
    <row r="1511" customFormat="false" ht="15" hidden="false" customHeight="false" outlineLevel="0" collapsed="false">
      <c r="A1511" s="109" t="s">
        <v>105</v>
      </c>
      <c r="B1511" s="109" t="s">
        <v>110</v>
      </c>
      <c r="C1511" s="109" t="s">
        <v>637</v>
      </c>
      <c r="D1511" s="109" t="s">
        <v>71</v>
      </c>
      <c r="E1511" s="114" t="s">
        <v>22</v>
      </c>
      <c r="F1511" s="109" t="s">
        <v>3036</v>
      </c>
      <c r="G1511" s="111" t="s">
        <v>3037</v>
      </c>
    </row>
    <row r="1512" customFormat="false" ht="15" hidden="false" customHeight="false" outlineLevel="0" collapsed="false">
      <c r="A1512" s="109" t="s">
        <v>105</v>
      </c>
      <c r="B1512" s="109" t="s">
        <v>110</v>
      </c>
      <c r="C1512" s="109" t="s">
        <v>639</v>
      </c>
      <c r="D1512" s="109" t="s">
        <v>35</v>
      </c>
      <c r="E1512" s="110" t="s">
        <v>18</v>
      </c>
      <c r="F1512" s="109" t="s">
        <v>3038</v>
      </c>
      <c r="G1512" s="111" t="s">
        <v>3008</v>
      </c>
    </row>
    <row r="1513" customFormat="false" ht="15" hidden="false" customHeight="false" outlineLevel="0" collapsed="false">
      <c r="A1513" s="109" t="s">
        <v>105</v>
      </c>
      <c r="B1513" s="109" t="s">
        <v>110</v>
      </c>
      <c r="C1513" s="109" t="s">
        <v>639</v>
      </c>
      <c r="D1513" s="109" t="s">
        <v>39</v>
      </c>
      <c r="E1513" s="115" t="s">
        <v>20</v>
      </c>
      <c r="F1513" s="109" t="s">
        <v>3039</v>
      </c>
      <c r="G1513" s="111" t="s">
        <v>2379</v>
      </c>
    </row>
    <row r="1514" customFormat="false" ht="15" hidden="false" customHeight="false" outlineLevel="0" collapsed="false">
      <c r="A1514" s="109" t="s">
        <v>105</v>
      </c>
      <c r="B1514" s="109" t="s">
        <v>110</v>
      </c>
      <c r="C1514" s="109" t="s">
        <v>639</v>
      </c>
      <c r="D1514" s="109" t="s">
        <v>43</v>
      </c>
      <c r="E1514" s="115" t="s">
        <v>20</v>
      </c>
      <c r="F1514" s="109" t="s">
        <v>3040</v>
      </c>
      <c r="G1514" s="111" t="s">
        <v>2381</v>
      </c>
    </row>
    <row r="1515" customFormat="false" ht="15" hidden="false" customHeight="false" outlineLevel="0" collapsed="false">
      <c r="A1515" s="109" t="s">
        <v>105</v>
      </c>
      <c r="B1515" s="109" t="s">
        <v>110</v>
      </c>
      <c r="C1515" s="109" t="s">
        <v>639</v>
      </c>
      <c r="D1515" s="109" t="s">
        <v>47</v>
      </c>
      <c r="E1515" s="110" t="s">
        <v>18</v>
      </c>
      <c r="F1515" s="109" t="s">
        <v>3041</v>
      </c>
      <c r="G1515" s="111" t="s">
        <v>3042</v>
      </c>
    </row>
    <row r="1516" customFormat="false" ht="15" hidden="false" customHeight="false" outlineLevel="0" collapsed="false">
      <c r="A1516" s="109" t="s">
        <v>105</v>
      </c>
      <c r="B1516" s="109" t="s">
        <v>110</v>
      </c>
      <c r="C1516" s="109" t="s">
        <v>639</v>
      </c>
      <c r="D1516" s="109" t="s">
        <v>51</v>
      </c>
      <c r="E1516" s="112" t="s">
        <v>16</v>
      </c>
      <c r="F1516" s="109" t="s">
        <v>3043</v>
      </c>
      <c r="G1516" s="111" t="s">
        <v>3015</v>
      </c>
    </row>
    <row r="1517" customFormat="false" ht="15" hidden="false" customHeight="false" outlineLevel="0" collapsed="false">
      <c r="A1517" s="109" t="s">
        <v>105</v>
      </c>
      <c r="B1517" s="109" t="s">
        <v>110</v>
      </c>
      <c r="C1517" s="109" t="s">
        <v>639</v>
      </c>
      <c r="D1517" s="109" t="s">
        <v>55</v>
      </c>
      <c r="E1517" s="115" t="s">
        <v>20</v>
      </c>
      <c r="F1517" s="109" t="s">
        <v>3044</v>
      </c>
      <c r="G1517" s="111" t="s">
        <v>2387</v>
      </c>
    </row>
    <row r="1518" customFormat="false" ht="15" hidden="false" customHeight="false" outlineLevel="0" collapsed="false">
      <c r="A1518" s="109" t="s">
        <v>105</v>
      </c>
      <c r="B1518" s="109" t="s">
        <v>110</v>
      </c>
      <c r="C1518" s="109" t="s">
        <v>639</v>
      </c>
      <c r="D1518" s="109" t="s">
        <v>59</v>
      </c>
      <c r="E1518" s="115" t="s">
        <v>20</v>
      </c>
      <c r="F1518" s="109" t="s">
        <v>3045</v>
      </c>
      <c r="G1518" s="111" t="s">
        <v>2389</v>
      </c>
    </row>
    <row r="1519" customFormat="false" ht="15" hidden="false" customHeight="false" outlineLevel="0" collapsed="false">
      <c r="A1519" s="109" t="s">
        <v>105</v>
      </c>
      <c r="B1519" s="109" t="s">
        <v>110</v>
      </c>
      <c r="C1519" s="109" t="s">
        <v>639</v>
      </c>
      <c r="D1519" s="109" t="s">
        <v>63</v>
      </c>
      <c r="E1519" s="114" t="s">
        <v>22</v>
      </c>
      <c r="F1519" s="109" t="s">
        <v>3046</v>
      </c>
      <c r="G1519" s="109"/>
    </row>
    <row r="1520" customFormat="false" ht="15" hidden="false" customHeight="false" outlineLevel="0" collapsed="false">
      <c r="A1520" s="109" t="s">
        <v>105</v>
      </c>
      <c r="B1520" s="109" t="s">
        <v>110</v>
      </c>
      <c r="C1520" s="109" t="s">
        <v>639</v>
      </c>
      <c r="D1520" s="109" t="s">
        <v>67</v>
      </c>
      <c r="E1520" s="113" t="s">
        <v>24</v>
      </c>
      <c r="F1520" s="109" t="s">
        <v>3047</v>
      </c>
      <c r="G1520" s="109"/>
    </row>
    <row r="1521" customFormat="false" ht="15" hidden="false" customHeight="false" outlineLevel="0" collapsed="false">
      <c r="A1521" s="109" t="s">
        <v>105</v>
      </c>
      <c r="B1521" s="109" t="s">
        <v>110</v>
      </c>
      <c r="C1521" s="109" t="s">
        <v>639</v>
      </c>
      <c r="D1521" s="109" t="s">
        <v>71</v>
      </c>
      <c r="E1521" s="113" t="s">
        <v>24</v>
      </c>
      <c r="F1521" s="109" t="s">
        <v>2659</v>
      </c>
      <c r="G1521" s="109"/>
    </row>
    <row r="1522" customFormat="false" ht="23.85" hidden="false" customHeight="false" outlineLevel="0" collapsed="false">
      <c r="A1522" s="109" t="s">
        <v>105</v>
      </c>
      <c r="B1522" s="109" t="s">
        <v>110</v>
      </c>
      <c r="C1522" s="109" t="s">
        <v>641</v>
      </c>
      <c r="D1522" s="109" t="s">
        <v>35</v>
      </c>
      <c r="E1522" s="110" t="s">
        <v>18</v>
      </c>
      <c r="F1522" s="109" t="s">
        <v>3048</v>
      </c>
      <c r="G1522" s="111" t="s">
        <v>3008</v>
      </c>
    </row>
    <row r="1523" customFormat="false" ht="23.85" hidden="false" customHeight="false" outlineLevel="0" collapsed="false">
      <c r="A1523" s="109" t="s">
        <v>105</v>
      </c>
      <c r="B1523" s="109" t="s">
        <v>110</v>
      </c>
      <c r="C1523" s="109" t="s">
        <v>641</v>
      </c>
      <c r="D1523" s="109" t="s">
        <v>39</v>
      </c>
      <c r="E1523" s="112" t="s">
        <v>16</v>
      </c>
      <c r="F1523" s="109" t="s">
        <v>3049</v>
      </c>
      <c r="G1523" s="111" t="s">
        <v>3050</v>
      </c>
    </row>
    <row r="1524" customFormat="false" ht="23.85" hidden="false" customHeight="false" outlineLevel="0" collapsed="false">
      <c r="A1524" s="109" t="s">
        <v>105</v>
      </c>
      <c r="B1524" s="109" t="s">
        <v>110</v>
      </c>
      <c r="C1524" s="109" t="s">
        <v>641</v>
      </c>
      <c r="D1524" s="109" t="s">
        <v>43</v>
      </c>
      <c r="E1524" s="112" t="s">
        <v>16</v>
      </c>
      <c r="F1524" s="109" t="s">
        <v>3051</v>
      </c>
      <c r="G1524" s="111" t="s">
        <v>2231</v>
      </c>
    </row>
    <row r="1525" customFormat="false" ht="23.85" hidden="false" customHeight="false" outlineLevel="0" collapsed="false">
      <c r="A1525" s="109" t="s">
        <v>105</v>
      </c>
      <c r="B1525" s="109" t="s">
        <v>110</v>
      </c>
      <c r="C1525" s="109" t="s">
        <v>641</v>
      </c>
      <c r="D1525" s="109" t="s">
        <v>47</v>
      </c>
      <c r="E1525" s="114" t="s">
        <v>22</v>
      </c>
      <c r="F1525" s="109" t="s">
        <v>3052</v>
      </c>
      <c r="G1525" s="111" t="s">
        <v>3042</v>
      </c>
    </row>
    <row r="1526" customFormat="false" ht="23.85" hidden="false" customHeight="false" outlineLevel="0" collapsed="false">
      <c r="A1526" s="109" t="s">
        <v>105</v>
      </c>
      <c r="B1526" s="109" t="s">
        <v>110</v>
      </c>
      <c r="C1526" s="109" t="s">
        <v>641</v>
      </c>
      <c r="D1526" s="109" t="s">
        <v>51</v>
      </c>
      <c r="E1526" s="112" t="s">
        <v>16</v>
      </c>
      <c r="F1526" s="109" t="s">
        <v>3053</v>
      </c>
      <c r="G1526" s="111" t="s">
        <v>3015</v>
      </c>
    </row>
    <row r="1527" customFormat="false" ht="23.85" hidden="false" customHeight="false" outlineLevel="0" collapsed="false">
      <c r="A1527" s="109" t="s">
        <v>105</v>
      </c>
      <c r="B1527" s="109" t="s">
        <v>110</v>
      </c>
      <c r="C1527" s="109" t="s">
        <v>641</v>
      </c>
      <c r="D1527" s="109" t="s">
        <v>55</v>
      </c>
      <c r="E1527" s="114" t="s">
        <v>22</v>
      </c>
      <c r="F1527" s="109" t="s">
        <v>3054</v>
      </c>
      <c r="G1527" s="111" t="s">
        <v>3030</v>
      </c>
    </row>
    <row r="1528" customFormat="false" ht="15" hidden="false" customHeight="false" outlineLevel="0" collapsed="false">
      <c r="A1528" s="109" t="s">
        <v>105</v>
      </c>
      <c r="B1528" s="109" t="s">
        <v>110</v>
      </c>
      <c r="C1528" s="109" t="s">
        <v>641</v>
      </c>
      <c r="D1528" s="109" t="s">
        <v>59</v>
      </c>
      <c r="E1528" s="112" t="s">
        <v>16</v>
      </c>
      <c r="F1528" s="109" t="s">
        <v>3055</v>
      </c>
      <c r="G1528" s="111" t="s">
        <v>992</v>
      </c>
    </row>
    <row r="1529" customFormat="false" ht="15" hidden="false" customHeight="false" outlineLevel="0" collapsed="false">
      <c r="A1529" s="109" t="s">
        <v>105</v>
      </c>
      <c r="B1529" s="109" t="s">
        <v>110</v>
      </c>
      <c r="C1529" s="109" t="s">
        <v>641</v>
      </c>
      <c r="D1529" s="109" t="s">
        <v>63</v>
      </c>
      <c r="E1529" s="114" t="s">
        <v>22</v>
      </c>
      <c r="F1529" s="109" t="s">
        <v>3056</v>
      </c>
      <c r="G1529" s="111" t="s">
        <v>2444</v>
      </c>
    </row>
    <row r="1530" customFormat="false" ht="15" hidden="false" customHeight="false" outlineLevel="0" collapsed="false">
      <c r="A1530" s="109" t="s">
        <v>105</v>
      </c>
      <c r="B1530" s="109" t="s">
        <v>110</v>
      </c>
      <c r="C1530" s="109" t="s">
        <v>641</v>
      </c>
      <c r="D1530" s="109" t="s">
        <v>67</v>
      </c>
      <c r="E1530" s="114" t="s">
        <v>22</v>
      </c>
      <c r="F1530" s="109" t="s">
        <v>3057</v>
      </c>
      <c r="G1530" s="111" t="s">
        <v>3035</v>
      </c>
    </row>
    <row r="1531" customFormat="false" ht="15" hidden="false" customHeight="false" outlineLevel="0" collapsed="false">
      <c r="A1531" s="109" t="s">
        <v>105</v>
      </c>
      <c r="B1531" s="109" t="s">
        <v>110</v>
      </c>
      <c r="C1531" s="109" t="s">
        <v>641</v>
      </c>
      <c r="D1531" s="109" t="s">
        <v>71</v>
      </c>
      <c r="E1531" s="113" t="s">
        <v>24</v>
      </c>
      <c r="F1531" s="109" t="s">
        <v>2671</v>
      </c>
      <c r="G1531" s="109"/>
    </row>
    <row r="1532" customFormat="false" ht="15" hidden="false" customHeight="false" outlineLevel="0" collapsed="false">
      <c r="A1532" s="109" t="s">
        <v>105</v>
      </c>
      <c r="B1532" s="109" t="s">
        <v>110</v>
      </c>
      <c r="C1532" s="109" t="s">
        <v>643</v>
      </c>
      <c r="D1532" s="109" t="s">
        <v>35</v>
      </c>
      <c r="E1532" s="112" t="s">
        <v>16</v>
      </c>
      <c r="F1532" s="109" t="s">
        <v>3058</v>
      </c>
      <c r="G1532" s="111" t="s">
        <v>3059</v>
      </c>
    </row>
    <row r="1533" customFormat="false" ht="15" hidden="false" customHeight="false" outlineLevel="0" collapsed="false">
      <c r="A1533" s="109" t="s">
        <v>105</v>
      </c>
      <c r="B1533" s="109" t="s">
        <v>110</v>
      </c>
      <c r="C1533" s="109" t="s">
        <v>643</v>
      </c>
      <c r="D1533" s="109" t="s">
        <v>39</v>
      </c>
      <c r="E1533" s="112" t="s">
        <v>16</v>
      </c>
      <c r="F1533" s="109" t="s">
        <v>3060</v>
      </c>
      <c r="G1533" s="111" t="s">
        <v>869</v>
      </c>
    </row>
    <row r="1534" customFormat="false" ht="15" hidden="false" customHeight="false" outlineLevel="0" collapsed="false">
      <c r="A1534" s="109" t="s">
        <v>105</v>
      </c>
      <c r="B1534" s="109" t="s">
        <v>110</v>
      </c>
      <c r="C1534" s="109" t="s">
        <v>643</v>
      </c>
      <c r="D1534" s="109" t="s">
        <v>43</v>
      </c>
      <c r="E1534" s="114" t="s">
        <v>22</v>
      </c>
      <c r="F1534" s="109" t="s">
        <v>3061</v>
      </c>
      <c r="G1534" s="111" t="s">
        <v>1278</v>
      </c>
    </row>
    <row r="1535" customFormat="false" ht="15" hidden="false" customHeight="false" outlineLevel="0" collapsed="false">
      <c r="A1535" s="109" t="s">
        <v>105</v>
      </c>
      <c r="B1535" s="109" t="s">
        <v>110</v>
      </c>
      <c r="C1535" s="109" t="s">
        <v>643</v>
      </c>
      <c r="D1535" s="109" t="s">
        <v>47</v>
      </c>
      <c r="E1535" s="114" t="s">
        <v>22</v>
      </c>
      <c r="F1535" s="109" t="s">
        <v>3062</v>
      </c>
      <c r="G1535" s="109"/>
    </row>
    <row r="1536" customFormat="false" ht="15" hidden="false" customHeight="false" outlineLevel="0" collapsed="false">
      <c r="A1536" s="109" t="s">
        <v>105</v>
      </c>
      <c r="B1536" s="109" t="s">
        <v>110</v>
      </c>
      <c r="C1536" s="109" t="s">
        <v>643</v>
      </c>
      <c r="D1536" s="109" t="s">
        <v>51</v>
      </c>
      <c r="E1536" s="114" t="s">
        <v>22</v>
      </c>
      <c r="F1536" s="109" t="s">
        <v>3063</v>
      </c>
      <c r="G1536" s="111" t="s">
        <v>1298</v>
      </c>
    </row>
    <row r="1537" customFormat="false" ht="15" hidden="false" customHeight="false" outlineLevel="0" collapsed="false">
      <c r="A1537" s="109" t="s">
        <v>105</v>
      </c>
      <c r="B1537" s="109" t="s">
        <v>110</v>
      </c>
      <c r="C1537" s="109" t="s">
        <v>643</v>
      </c>
      <c r="D1537" s="109" t="s">
        <v>55</v>
      </c>
      <c r="E1537" s="113" t="s">
        <v>24</v>
      </c>
      <c r="F1537" s="109" t="s">
        <v>3064</v>
      </c>
      <c r="G1537" s="109"/>
    </row>
    <row r="1538" customFormat="false" ht="15" hidden="false" customHeight="false" outlineLevel="0" collapsed="false">
      <c r="A1538" s="109" t="s">
        <v>105</v>
      </c>
      <c r="B1538" s="109" t="s">
        <v>110</v>
      </c>
      <c r="C1538" s="109" t="s">
        <v>643</v>
      </c>
      <c r="D1538" s="109" t="s">
        <v>59</v>
      </c>
      <c r="E1538" s="112" t="s">
        <v>16</v>
      </c>
      <c r="F1538" s="109" t="s">
        <v>3065</v>
      </c>
      <c r="G1538" s="111" t="s">
        <v>1266</v>
      </c>
    </row>
    <row r="1539" customFormat="false" ht="15" hidden="false" customHeight="false" outlineLevel="0" collapsed="false">
      <c r="A1539" s="109" t="s">
        <v>105</v>
      </c>
      <c r="B1539" s="109" t="s">
        <v>110</v>
      </c>
      <c r="C1539" s="109" t="s">
        <v>643</v>
      </c>
      <c r="D1539" s="109" t="s">
        <v>63</v>
      </c>
      <c r="E1539" s="114" t="s">
        <v>22</v>
      </c>
      <c r="F1539" s="109" t="s">
        <v>3066</v>
      </c>
      <c r="G1539" s="109"/>
    </row>
    <row r="1540" customFormat="false" ht="15" hidden="false" customHeight="false" outlineLevel="0" collapsed="false">
      <c r="A1540" s="109" t="s">
        <v>105</v>
      </c>
      <c r="B1540" s="109" t="s">
        <v>110</v>
      </c>
      <c r="C1540" s="109" t="s">
        <v>643</v>
      </c>
      <c r="D1540" s="109" t="s">
        <v>67</v>
      </c>
      <c r="E1540" s="112" t="s">
        <v>16</v>
      </c>
      <c r="F1540" s="109" t="s">
        <v>3067</v>
      </c>
      <c r="G1540" s="111" t="s">
        <v>3068</v>
      </c>
    </row>
    <row r="1541" customFormat="false" ht="15" hidden="false" customHeight="false" outlineLevel="0" collapsed="false">
      <c r="A1541" s="109" t="s">
        <v>105</v>
      </c>
      <c r="B1541" s="109" t="s">
        <v>110</v>
      </c>
      <c r="C1541" s="109" t="s">
        <v>643</v>
      </c>
      <c r="D1541" s="109" t="s">
        <v>71</v>
      </c>
      <c r="E1541" s="116" t="s">
        <v>26</v>
      </c>
      <c r="F1541" s="109" t="s">
        <v>3069</v>
      </c>
      <c r="G1541" s="109"/>
    </row>
    <row r="1542" customFormat="false" ht="15" hidden="false" customHeight="false" outlineLevel="0" collapsed="false">
      <c r="A1542" s="109" t="s">
        <v>105</v>
      </c>
      <c r="B1542" s="109" t="s">
        <v>110</v>
      </c>
      <c r="C1542" s="109" t="s">
        <v>645</v>
      </c>
      <c r="D1542" s="109" t="s">
        <v>35</v>
      </c>
      <c r="E1542" s="110" t="s">
        <v>18</v>
      </c>
      <c r="F1542" s="109" t="s">
        <v>3070</v>
      </c>
      <c r="G1542" s="111" t="s">
        <v>3071</v>
      </c>
    </row>
    <row r="1543" customFormat="false" ht="15" hidden="false" customHeight="false" outlineLevel="0" collapsed="false">
      <c r="A1543" s="109" t="s">
        <v>105</v>
      </c>
      <c r="B1543" s="109" t="s">
        <v>110</v>
      </c>
      <c r="C1543" s="109" t="s">
        <v>645</v>
      </c>
      <c r="D1543" s="109" t="s">
        <v>39</v>
      </c>
      <c r="E1543" s="115" t="s">
        <v>20</v>
      </c>
      <c r="F1543" s="109" t="s">
        <v>3072</v>
      </c>
      <c r="G1543" s="111" t="s">
        <v>3073</v>
      </c>
    </row>
    <row r="1544" customFormat="false" ht="23.85" hidden="false" customHeight="false" outlineLevel="0" collapsed="false">
      <c r="A1544" s="109" t="s">
        <v>105</v>
      </c>
      <c r="B1544" s="109" t="s">
        <v>110</v>
      </c>
      <c r="C1544" s="109" t="s">
        <v>645</v>
      </c>
      <c r="D1544" s="109" t="s">
        <v>43</v>
      </c>
      <c r="E1544" s="114" t="s">
        <v>22</v>
      </c>
      <c r="F1544" s="109" t="s">
        <v>3074</v>
      </c>
      <c r="G1544" s="111" t="s">
        <v>1228</v>
      </c>
    </row>
    <row r="1545" customFormat="false" ht="15" hidden="false" customHeight="false" outlineLevel="0" collapsed="false">
      <c r="A1545" s="109" t="s">
        <v>105</v>
      </c>
      <c r="B1545" s="109" t="s">
        <v>110</v>
      </c>
      <c r="C1545" s="109" t="s">
        <v>645</v>
      </c>
      <c r="D1545" s="109" t="s">
        <v>47</v>
      </c>
      <c r="E1545" s="114" t="s">
        <v>22</v>
      </c>
      <c r="F1545" s="109" t="s">
        <v>3075</v>
      </c>
      <c r="G1545" s="111" t="s">
        <v>3076</v>
      </c>
    </row>
    <row r="1546" customFormat="false" ht="15" hidden="false" customHeight="false" outlineLevel="0" collapsed="false">
      <c r="A1546" s="109" t="s">
        <v>105</v>
      </c>
      <c r="B1546" s="109" t="s">
        <v>110</v>
      </c>
      <c r="C1546" s="109" t="s">
        <v>645</v>
      </c>
      <c r="D1546" s="109" t="s">
        <v>51</v>
      </c>
      <c r="E1546" s="114" t="s">
        <v>22</v>
      </c>
      <c r="F1546" s="109" t="s">
        <v>3077</v>
      </c>
      <c r="G1546" s="111" t="s">
        <v>1282</v>
      </c>
    </row>
    <row r="1547" customFormat="false" ht="15" hidden="false" customHeight="false" outlineLevel="0" collapsed="false">
      <c r="A1547" s="109" t="s">
        <v>105</v>
      </c>
      <c r="B1547" s="109" t="s">
        <v>110</v>
      </c>
      <c r="C1547" s="109" t="s">
        <v>645</v>
      </c>
      <c r="D1547" s="109" t="s">
        <v>55</v>
      </c>
      <c r="E1547" s="114" t="s">
        <v>22</v>
      </c>
      <c r="F1547" s="109" t="s">
        <v>3078</v>
      </c>
      <c r="G1547" s="111" t="s">
        <v>2770</v>
      </c>
    </row>
    <row r="1548" customFormat="false" ht="15" hidden="false" customHeight="false" outlineLevel="0" collapsed="false">
      <c r="A1548" s="109" t="s">
        <v>105</v>
      </c>
      <c r="B1548" s="109" t="s">
        <v>110</v>
      </c>
      <c r="C1548" s="109" t="s">
        <v>645</v>
      </c>
      <c r="D1548" s="109" t="s">
        <v>59</v>
      </c>
      <c r="E1548" s="110" t="s">
        <v>18</v>
      </c>
      <c r="F1548" s="109" t="s">
        <v>3079</v>
      </c>
      <c r="G1548" s="111" t="s">
        <v>3080</v>
      </c>
    </row>
    <row r="1549" customFormat="false" ht="15" hidden="false" customHeight="false" outlineLevel="0" collapsed="false">
      <c r="A1549" s="109" t="s">
        <v>105</v>
      </c>
      <c r="B1549" s="109" t="s">
        <v>110</v>
      </c>
      <c r="C1549" s="109" t="s">
        <v>645</v>
      </c>
      <c r="D1549" s="109" t="s">
        <v>63</v>
      </c>
      <c r="E1549" s="114" t="s">
        <v>22</v>
      </c>
      <c r="F1549" s="109" t="s">
        <v>3081</v>
      </c>
      <c r="G1549" s="111" t="s">
        <v>1330</v>
      </c>
    </row>
    <row r="1550" customFormat="false" ht="15" hidden="false" customHeight="false" outlineLevel="0" collapsed="false">
      <c r="A1550" s="109" t="s">
        <v>105</v>
      </c>
      <c r="B1550" s="109" t="s">
        <v>110</v>
      </c>
      <c r="C1550" s="109" t="s">
        <v>645</v>
      </c>
      <c r="D1550" s="109" t="s">
        <v>67</v>
      </c>
      <c r="E1550" s="114" t="s">
        <v>22</v>
      </c>
      <c r="F1550" s="109" t="s">
        <v>3082</v>
      </c>
      <c r="G1550" s="111" t="s">
        <v>1239</v>
      </c>
    </row>
    <row r="1551" customFormat="false" ht="15" hidden="false" customHeight="false" outlineLevel="0" collapsed="false">
      <c r="A1551" s="109" t="s">
        <v>105</v>
      </c>
      <c r="B1551" s="109" t="s">
        <v>110</v>
      </c>
      <c r="C1551" s="109" t="s">
        <v>645</v>
      </c>
      <c r="D1551" s="109" t="s">
        <v>71</v>
      </c>
      <c r="E1551" s="114" t="s">
        <v>22</v>
      </c>
      <c r="F1551" s="109" t="s">
        <v>3083</v>
      </c>
      <c r="G1551" s="111" t="s">
        <v>949</v>
      </c>
    </row>
    <row r="1552" customFormat="false" ht="23.85" hidden="false" customHeight="false" outlineLevel="0" collapsed="false">
      <c r="A1552" s="109" t="s">
        <v>105</v>
      </c>
      <c r="B1552" s="109" t="s">
        <v>110</v>
      </c>
      <c r="C1552" s="109" t="s">
        <v>647</v>
      </c>
      <c r="D1552" s="109" t="s">
        <v>35</v>
      </c>
      <c r="E1552" s="112" t="s">
        <v>16</v>
      </c>
      <c r="F1552" s="109" t="s">
        <v>3084</v>
      </c>
      <c r="G1552" s="111" t="s">
        <v>3085</v>
      </c>
    </row>
    <row r="1553" customFormat="false" ht="15" hidden="false" customHeight="false" outlineLevel="0" collapsed="false">
      <c r="A1553" s="109" t="s">
        <v>105</v>
      </c>
      <c r="B1553" s="109" t="s">
        <v>110</v>
      </c>
      <c r="C1553" s="109" t="s">
        <v>647</v>
      </c>
      <c r="D1553" s="109" t="s">
        <v>39</v>
      </c>
      <c r="E1553" s="112" t="s">
        <v>16</v>
      </c>
      <c r="F1553" s="109" t="s">
        <v>3086</v>
      </c>
      <c r="G1553" s="111" t="s">
        <v>2111</v>
      </c>
    </row>
    <row r="1554" customFormat="false" ht="15" hidden="false" customHeight="false" outlineLevel="0" collapsed="false">
      <c r="A1554" s="109" t="s">
        <v>105</v>
      </c>
      <c r="B1554" s="109" t="s">
        <v>110</v>
      </c>
      <c r="C1554" s="109" t="s">
        <v>647</v>
      </c>
      <c r="D1554" s="109" t="s">
        <v>43</v>
      </c>
      <c r="E1554" s="112" t="s">
        <v>16</v>
      </c>
      <c r="F1554" s="109" t="s">
        <v>3087</v>
      </c>
      <c r="G1554" s="111" t="s">
        <v>3088</v>
      </c>
    </row>
    <row r="1555" customFormat="false" ht="23.85" hidden="false" customHeight="false" outlineLevel="0" collapsed="false">
      <c r="A1555" s="109" t="s">
        <v>105</v>
      </c>
      <c r="B1555" s="109" t="s">
        <v>110</v>
      </c>
      <c r="C1555" s="109" t="s">
        <v>647</v>
      </c>
      <c r="D1555" s="109" t="s">
        <v>47</v>
      </c>
      <c r="E1555" s="114" t="s">
        <v>22</v>
      </c>
      <c r="F1555" s="109" t="s">
        <v>3089</v>
      </c>
      <c r="G1555" s="111" t="s">
        <v>922</v>
      </c>
    </row>
    <row r="1556" customFormat="false" ht="15" hidden="false" customHeight="false" outlineLevel="0" collapsed="false">
      <c r="A1556" s="109" t="s">
        <v>105</v>
      </c>
      <c r="B1556" s="109" t="s">
        <v>110</v>
      </c>
      <c r="C1556" s="109" t="s">
        <v>647</v>
      </c>
      <c r="D1556" s="109" t="s">
        <v>51</v>
      </c>
      <c r="E1556" s="112" t="s">
        <v>16</v>
      </c>
      <c r="F1556" s="109" t="s">
        <v>3090</v>
      </c>
      <c r="G1556" s="111" t="s">
        <v>2757</v>
      </c>
    </row>
    <row r="1557" customFormat="false" ht="15" hidden="false" customHeight="false" outlineLevel="0" collapsed="false">
      <c r="A1557" s="109" t="s">
        <v>105</v>
      </c>
      <c r="B1557" s="109" t="s">
        <v>110</v>
      </c>
      <c r="C1557" s="109" t="s">
        <v>647</v>
      </c>
      <c r="D1557" s="109" t="s">
        <v>55</v>
      </c>
      <c r="E1557" s="112" t="s">
        <v>16</v>
      </c>
      <c r="F1557" s="109" t="s">
        <v>3091</v>
      </c>
      <c r="G1557" s="111" t="s">
        <v>1435</v>
      </c>
    </row>
    <row r="1558" customFormat="false" ht="23.85" hidden="false" customHeight="false" outlineLevel="0" collapsed="false">
      <c r="A1558" s="109" t="s">
        <v>105</v>
      </c>
      <c r="B1558" s="109" t="s">
        <v>110</v>
      </c>
      <c r="C1558" s="109" t="s">
        <v>647</v>
      </c>
      <c r="D1558" s="109" t="s">
        <v>59</v>
      </c>
      <c r="E1558" s="112" t="s">
        <v>16</v>
      </c>
      <c r="F1558" s="109" t="s">
        <v>3092</v>
      </c>
      <c r="G1558" s="111" t="s">
        <v>1138</v>
      </c>
    </row>
    <row r="1559" customFormat="false" ht="15" hidden="false" customHeight="false" outlineLevel="0" collapsed="false">
      <c r="A1559" s="109" t="s">
        <v>105</v>
      </c>
      <c r="B1559" s="109" t="s">
        <v>110</v>
      </c>
      <c r="C1559" s="109" t="s">
        <v>647</v>
      </c>
      <c r="D1559" s="109" t="s">
        <v>63</v>
      </c>
      <c r="E1559" s="112" t="s">
        <v>16</v>
      </c>
      <c r="F1559" s="109" t="s">
        <v>3093</v>
      </c>
      <c r="G1559" s="111" t="s">
        <v>3094</v>
      </c>
    </row>
    <row r="1560" customFormat="false" ht="15" hidden="false" customHeight="false" outlineLevel="0" collapsed="false">
      <c r="A1560" s="109" t="s">
        <v>105</v>
      </c>
      <c r="B1560" s="109" t="s">
        <v>110</v>
      </c>
      <c r="C1560" s="109" t="s">
        <v>647</v>
      </c>
      <c r="D1560" s="109" t="s">
        <v>67</v>
      </c>
      <c r="E1560" s="112" t="s">
        <v>16</v>
      </c>
      <c r="F1560" s="109" t="s">
        <v>3095</v>
      </c>
      <c r="G1560" s="111" t="s">
        <v>930</v>
      </c>
    </row>
    <row r="1561" customFormat="false" ht="15" hidden="false" customHeight="false" outlineLevel="0" collapsed="false">
      <c r="A1561" s="109" t="s">
        <v>105</v>
      </c>
      <c r="B1561" s="109" t="s">
        <v>110</v>
      </c>
      <c r="C1561" s="109" t="s">
        <v>647</v>
      </c>
      <c r="D1561" s="109" t="s">
        <v>71</v>
      </c>
      <c r="E1561" s="112" t="s">
        <v>16</v>
      </c>
      <c r="F1561" s="109" t="s">
        <v>3096</v>
      </c>
      <c r="G1561" s="111" t="s">
        <v>1516</v>
      </c>
    </row>
    <row r="1562" customFormat="false" ht="23.85" hidden="false" customHeight="false" outlineLevel="0" collapsed="false">
      <c r="A1562" s="109" t="s">
        <v>105</v>
      </c>
      <c r="B1562" s="109" t="s">
        <v>111</v>
      </c>
      <c r="C1562" s="109" t="s">
        <v>658</v>
      </c>
      <c r="D1562" s="109" t="s">
        <v>35</v>
      </c>
      <c r="E1562" s="112" t="s">
        <v>16</v>
      </c>
      <c r="F1562" s="109" t="s">
        <v>3097</v>
      </c>
      <c r="G1562" s="111" t="s">
        <v>3098</v>
      </c>
    </row>
    <row r="1563" customFormat="false" ht="23.85" hidden="false" customHeight="false" outlineLevel="0" collapsed="false">
      <c r="A1563" s="109" t="s">
        <v>105</v>
      </c>
      <c r="B1563" s="109" t="s">
        <v>111</v>
      </c>
      <c r="C1563" s="109" t="s">
        <v>658</v>
      </c>
      <c r="D1563" s="109" t="s">
        <v>39</v>
      </c>
      <c r="E1563" s="112" t="s">
        <v>16</v>
      </c>
      <c r="F1563" s="109" t="s">
        <v>3099</v>
      </c>
      <c r="G1563" s="111" t="s">
        <v>3100</v>
      </c>
    </row>
    <row r="1564" customFormat="false" ht="23.85" hidden="false" customHeight="false" outlineLevel="0" collapsed="false">
      <c r="A1564" s="109" t="s">
        <v>105</v>
      </c>
      <c r="B1564" s="109" t="s">
        <v>111</v>
      </c>
      <c r="C1564" s="109" t="s">
        <v>658</v>
      </c>
      <c r="D1564" s="109" t="s">
        <v>43</v>
      </c>
      <c r="E1564" s="113" t="s">
        <v>24</v>
      </c>
      <c r="F1564" s="109" t="s">
        <v>3101</v>
      </c>
      <c r="G1564" s="111" t="s">
        <v>3102</v>
      </c>
    </row>
    <row r="1565" customFormat="false" ht="23.85" hidden="false" customHeight="false" outlineLevel="0" collapsed="false">
      <c r="A1565" s="109" t="s">
        <v>105</v>
      </c>
      <c r="B1565" s="109" t="s">
        <v>111</v>
      </c>
      <c r="C1565" s="109" t="s">
        <v>658</v>
      </c>
      <c r="D1565" s="109" t="s">
        <v>47</v>
      </c>
      <c r="E1565" s="115" t="s">
        <v>20</v>
      </c>
      <c r="F1565" s="109" t="s">
        <v>3103</v>
      </c>
      <c r="G1565" s="111" t="s">
        <v>3104</v>
      </c>
    </row>
    <row r="1566" customFormat="false" ht="23.85" hidden="false" customHeight="false" outlineLevel="0" collapsed="false">
      <c r="A1566" s="109" t="s">
        <v>105</v>
      </c>
      <c r="B1566" s="109" t="s">
        <v>111</v>
      </c>
      <c r="C1566" s="109" t="s">
        <v>658</v>
      </c>
      <c r="D1566" s="109" t="s">
        <v>51</v>
      </c>
      <c r="E1566" s="112" t="s">
        <v>16</v>
      </c>
      <c r="F1566" s="109" t="s">
        <v>3105</v>
      </c>
      <c r="G1566" s="111" t="s">
        <v>1433</v>
      </c>
    </row>
    <row r="1567" customFormat="false" ht="23.85" hidden="false" customHeight="false" outlineLevel="0" collapsed="false">
      <c r="A1567" s="109" t="s">
        <v>105</v>
      </c>
      <c r="B1567" s="109" t="s">
        <v>111</v>
      </c>
      <c r="C1567" s="109" t="s">
        <v>658</v>
      </c>
      <c r="D1567" s="109" t="s">
        <v>55</v>
      </c>
      <c r="E1567" s="112" t="s">
        <v>16</v>
      </c>
      <c r="F1567" s="109" t="s">
        <v>3106</v>
      </c>
      <c r="G1567" s="111" t="s">
        <v>3107</v>
      </c>
    </row>
    <row r="1568" customFormat="false" ht="23.85" hidden="false" customHeight="false" outlineLevel="0" collapsed="false">
      <c r="A1568" s="109" t="s">
        <v>105</v>
      </c>
      <c r="B1568" s="109" t="s">
        <v>111</v>
      </c>
      <c r="C1568" s="109" t="s">
        <v>658</v>
      </c>
      <c r="D1568" s="109" t="s">
        <v>59</v>
      </c>
      <c r="E1568" s="112" t="s">
        <v>16</v>
      </c>
      <c r="F1568" s="109" t="s">
        <v>3108</v>
      </c>
      <c r="G1568" s="111" t="s">
        <v>3109</v>
      </c>
    </row>
    <row r="1569" customFormat="false" ht="23.85" hidden="false" customHeight="false" outlineLevel="0" collapsed="false">
      <c r="A1569" s="109" t="s">
        <v>105</v>
      </c>
      <c r="B1569" s="109" t="s">
        <v>111</v>
      </c>
      <c r="C1569" s="109" t="s">
        <v>658</v>
      </c>
      <c r="D1569" s="109" t="s">
        <v>63</v>
      </c>
      <c r="E1569" s="112" t="s">
        <v>16</v>
      </c>
      <c r="F1569" s="109" t="s">
        <v>3110</v>
      </c>
      <c r="G1569" s="111" t="s">
        <v>3111</v>
      </c>
    </row>
    <row r="1570" customFormat="false" ht="23.85" hidden="false" customHeight="false" outlineLevel="0" collapsed="false">
      <c r="A1570" s="109" t="s">
        <v>105</v>
      </c>
      <c r="B1570" s="109" t="s">
        <v>111</v>
      </c>
      <c r="C1570" s="109" t="s">
        <v>658</v>
      </c>
      <c r="D1570" s="109" t="s">
        <v>67</v>
      </c>
      <c r="E1570" s="112" t="s">
        <v>16</v>
      </c>
      <c r="F1570" s="109" t="s">
        <v>3112</v>
      </c>
      <c r="G1570" s="111" t="s">
        <v>3113</v>
      </c>
    </row>
    <row r="1571" customFormat="false" ht="23.85" hidden="false" customHeight="false" outlineLevel="0" collapsed="false">
      <c r="A1571" s="109" t="s">
        <v>105</v>
      </c>
      <c r="B1571" s="109" t="s">
        <v>111</v>
      </c>
      <c r="C1571" s="109" t="s">
        <v>658</v>
      </c>
      <c r="D1571" s="109" t="s">
        <v>71</v>
      </c>
      <c r="E1571" s="112" t="s">
        <v>16</v>
      </c>
      <c r="F1571" s="109" t="s">
        <v>3114</v>
      </c>
      <c r="G1571" s="111" t="s">
        <v>3115</v>
      </c>
    </row>
    <row r="1572" customFormat="false" ht="23.85" hidden="false" customHeight="false" outlineLevel="0" collapsed="false">
      <c r="A1572" s="109" t="s">
        <v>105</v>
      </c>
      <c r="B1572" s="109" t="s">
        <v>111</v>
      </c>
      <c r="C1572" s="109" t="s">
        <v>660</v>
      </c>
      <c r="D1572" s="109" t="s">
        <v>35</v>
      </c>
      <c r="E1572" s="110" t="s">
        <v>18</v>
      </c>
      <c r="F1572" s="109" t="s">
        <v>3116</v>
      </c>
      <c r="G1572" s="111" t="s">
        <v>3117</v>
      </c>
    </row>
    <row r="1573" customFormat="false" ht="23.85" hidden="false" customHeight="false" outlineLevel="0" collapsed="false">
      <c r="A1573" s="109" t="s">
        <v>105</v>
      </c>
      <c r="B1573" s="109" t="s">
        <v>111</v>
      </c>
      <c r="C1573" s="109" t="s">
        <v>660</v>
      </c>
      <c r="D1573" s="109" t="s">
        <v>39</v>
      </c>
      <c r="E1573" s="112" t="s">
        <v>16</v>
      </c>
      <c r="F1573" s="109" t="s">
        <v>3118</v>
      </c>
      <c r="G1573" s="111" t="s">
        <v>3119</v>
      </c>
    </row>
    <row r="1574" customFormat="false" ht="23.85" hidden="false" customHeight="false" outlineLevel="0" collapsed="false">
      <c r="A1574" s="109" t="s">
        <v>105</v>
      </c>
      <c r="B1574" s="109" t="s">
        <v>111</v>
      </c>
      <c r="C1574" s="109" t="s">
        <v>660</v>
      </c>
      <c r="D1574" s="109" t="s">
        <v>43</v>
      </c>
      <c r="E1574" s="112" t="s">
        <v>16</v>
      </c>
      <c r="F1574" s="109" t="s">
        <v>3120</v>
      </c>
      <c r="G1574" s="111" t="s">
        <v>3102</v>
      </c>
    </row>
    <row r="1575" customFormat="false" ht="23.85" hidden="false" customHeight="false" outlineLevel="0" collapsed="false">
      <c r="A1575" s="109" t="s">
        <v>105</v>
      </c>
      <c r="B1575" s="109" t="s">
        <v>111</v>
      </c>
      <c r="C1575" s="109" t="s">
        <v>660</v>
      </c>
      <c r="D1575" s="109" t="s">
        <v>47</v>
      </c>
      <c r="E1575" s="113" t="s">
        <v>24</v>
      </c>
      <c r="F1575" s="109" t="s">
        <v>3121</v>
      </c>
      <c r="G1575" s="109"/>
    </row>
    <row r="1576" customFormat="false" ht="23.85" hidden="false" customHeight="false" outlineLevel="0" collapsed="false">
      <c r="A1576" s="109" t="s">
        <v>105</v>
      </c>
      <c r="B1576" s="109" t="s">
        <v>111</v>
      </c>
      <c r="C1576" s="109" t="s">
        <v>660</v>
      </c>
      <c r="D1576" s="109" t="s">
        <v>51</v>
      </c>
      <c r="E1576" s="112" t="s">
        <v>16</v>
      </c>
      <c r="F1576" s="109" t="s">
        <v>3122</v>
      </c>
      <c r="G1576" s="111" t="s">
        <v>1491</v>
      </c>
    </row>
    <row r="1577" customFormat="false" ht="23.85" hidden="false" customHeight="false" outlineLevel="0" collapsed="false">
      <c r="A1577" s="109" t="s">
        <v>105</v>
      </c>
      <c r="B1577" s="109" t="s">
        <v>111</v>
      </c>
      <c r="C1577" s="109" t="s">
        <v>660</v>
      </c>
      <c r="D1577" s="109" t="s">
        <v>55</v>
      </c>
      <c r="E1577" s="112" t="s">
        <v>16</v>
      </c>
      <c r="F1577" s="109" t="s">
        <v>3123</v>
      </c>
      <c r="G1577" s="111" t="s">
        <v>3124</v>
      </c>
    </row>
    <row r="1578" customFormat="false" ht="23.85" hidden="false" customHeight="false" outlineLevel="0" collapsed="false">
      <c r="A1578" s="109" t="s">
        <v>105</v>
      </c>
      <c r="B1578" s="109" t="s">
        <v>111</v>
      </c>
      <c r="C1578" s="109" t="s">
        <v>660</v>
      </c>
      <c r="D1578" s="109" t="s">
        <v>59</v>
      </c>
      <c r="E1578" s="114" t="s">
        <v>22</v>
      </c>
      <c r="F1578" s="109" t="s">
        <v>3125</v>
      </c>
      <c r="G1578" s="111" t="s">
        <v>1138</v>
      </c>
    </row>
    <row r="1579" customFormat="false" ht="23.85" hidden="false" customHeight="false" outlineLevel="0" collapsed="false">
      <c r="A1579" s="109" t="s">
        <v>105</v>
      </c>
      <c r="B1579" s="109" t="s">
        <v>111</v>
      </c>
      <c r="C1579" s="109" t="s">
        <v>660</v>
      </c>
      <c r="D1579" s="109" t="s">
        <v>63</v>
      </c>
      <c r="E1579" s="112" t="s">
        <v>16</v>
      </c>
      <c r="F1579" s="109" t="s">
        <v>3126</v>
      </c>
      <c r="G1579" s="111" t="s">
        <v>3127</v>
      </c>
    </row>
    <row r="1580" customFormat="false" ht="23.85" hidden="false" customHeight="false" outlineLevel="0" collapsed="false">
      <c r="A1580" s="109" t="s">
        <v>105</v>
      </c>
      <c r="B1580" s="109" t="s">
        <v>111</v>
      </c>
      <c r="C1580" s="109" t="s">
        <v>660</v>
      </c>
      <c r="D1580" s="109" t="s">
        <v>67</v>
      </c>
      <c r="E1580" s="112" t="s">
        <v>16</v>
      </c>
      <c r="F1580" s="109" t="s">
        <v>3128</v>
      </c>
      <c r="G1580" s="111" t="s">
        <v>3129</v>
      </c>
    </row>
    <row r="1581" customFormat="false" ht="23.85" hidden="false" customHeight="false" outlineLevel="0" collapsed="false">
      <c r="A1581" s="109" t="s">
        <v>105</v>
      </c>
      <c r="B1581" s="109" t="s">
        <v>111</v>
      </c>
      <c r="C1581" s="109" t="s">
        <v>660</v>
      </c>
      <c r="D1581" s="109" t="s">
        <v>71</v>
      </c>
      <c r="E1581" s="112" t="s">
        <v>16</v>
      </c>
      <c r="F1581" s="109" t="s">
        <v>3130</v>
      </c>
      <c r="G1581" s="111" t="s">
        <v>3131</v>
      </c>
    </row>
    <row r="1582" customFormat="false" ht="23.85" hidden="false" customHeight="false" outlineLevel="0" collapsed="false">
      <c r="A1582" s="109" t="s">
        <v>105</v>
      </c>
      <c r="B1582" s="109" t="s">
        <v>111</v>
      </c>
      <c r="C1582" s="109" t="s">
        <v>662</v>
      </c>
      <c r="D1582" s="109" t="s">
        <v>35</v>
      </c>
      <c r="E1582" s="114" t="s">
        <v>22</v>
      </c>
      <c r="F1582" s="109" t="s">
        <v>3132</v>
      </c>
      <c r="G1582" s="111" t="s">
        <v>1179</v>
      </c>
    </row>
    <row r="1583" customFormat="false" ht="23.85" hidden="false" customHeight="false" outlineLevel="0" collapsed="false">
      <c r="A1583" s="109" t="s">
        <v>105</v>
      </c>
      <c r="B1583" s="109" t="s">
        <v>111</v>
      </c>
      <c r="C1583" s="109" t="s">
        <v>662</v>
      </c>
      <c r="D1583" s="109" t="s">
        <v>39</v>
      </c>
      <c r="E1583" s="112" t="s">
        <v>16</v>
      </c>
      <c r="F1583" s="109" t="s">
        <v>3133</v>
      </c>
      <c r="G1583" s="111" t="s">
        <v>3134</v>
      </c>
    </row>
    <row r="1584" customFormat="false" ht="23.85" hidden="false" customHeight="false" outlineLevel="0" collapsed="false">
      <c r="A1584" s="109" t="s">
        <v>105</v>
      </c>
      <c r="B1584" s="109" t="s">
        <v>111</v>
      </c>
      <c r="C1584" s="109" t="s">
        <v>662</v>
      </c>
      <c r="D1584" s="109" t="s">
        <v>43</v>
      </c>
      <c r="E1584" s="112" t="s">
        <v>16</v>
      </c>
      <c r="F1584" s="109" t="s">
        <v>3135</v>
      </c>
      <c r="G1584" s="111" t="s">
        <v>3102</v>
      </c>
    </row>
    <row r="1585" customFormat="false" ht="23.85" hidden="false" customHeight="false" outlineLevel="0" collapsed="false">
      <c r="A1585" s="109" t="s">
        <v>105</v>
      </c>
      <c r="B1585" s="109" t="s">
        <v>111</v>
      </c>
      <c r="C1585" s="109" t="s">
        <v>662</v>
      </c>
      <c r="D1585" s="109" t="s">
        <v>47</v>
      </c>
      <c r="E1585" s="114" t="s">
        <v>22</v>
      </c>
      <c r="F1585" s="109" t="s">
        <v>3136</v>
      </c>
      <c r="G1585" s="111" t="s">
        <v>1280</v>
      </c>
    </row>
    <row r="1586" customFormat="false" ht="23.85" hidden="false" customHeight="false" outlineLevel="0" collapsed="false">
      <c r="A1586" s="109" t="s">
        <v>105</v>
      </c>
      <c r="B1586" s="109" t="s">
        <v>111</v>
      </c>
      <c r="C1586" s="109" t="s">
        <v>662</v>
      </c>
      <c r="D1586" s="109" t="s">
        <v>51</v>
      </c>
      <c r="E1586" s="112" t="s">
        <v>16</v>
      </c>
      <c r="F1586" s="109" t="s">
        <v>3137</v>
      </c>
      <c r="G1586" s="111" t="s">
        <v>1491</v>
      </c>
    </row>
    <row r="1587" customFormat="false" ht="23.85" hidden="false" customHeight="false" outlineLevel="0" collapsed="false">
      <c r="A1587" s="109" t="s">
        <v>105</v>
      </c>
      <c r="B1587" s="109" t="s">
        <v>111</v>
      </c>
      <c r="C1587" s="109" t="s">
        <v>662</v>
      </c>
      <c r="D1587" s="109" t="s">
        <v>55</v>
      </c>
      <c r="E1587" s="114" t="s">
        <v>22</v>
      </c>
      <c r="F1587" s="109" t="s">
        <v>3138</v>
      </c>
      <c r="G1587" s="111" t="s">
        <v>1284</v>
      </c>
    </row>
    <row r="1588" customFormat="false" ht="23.85" hidden="false" customHeight="false" outlineLevel="0" collapsed="false">
      <c r="A1588" s="109" t="s">
        <v>105</v>
      </c>
      <c r="B1588" s="109" t="s">
        <v>111</v>
      </c>
      <c r="C1588" s="109" t="s">
        <v>662</v>
      </c>
      <c r="D1588" s="109" t="s">
        <v>59</v>
      </c>
      <c r="E1588" s="114" t="s">
        <v>22</v>
      </c>
      <c r="F1588" s="109" t="s">
        <v>3139</v>
      </c>
      <c r="G1588" s="111" t="s">
        <v>3140</v>
      </c>
    </row>
    <row r="1589" customFormat="false" ht="23.85" hidden="false" customHeight="false" outlineLevel="0" collapsed="false">
      <c r="A1589" s="109" t="s">
        <v>105</v>
      </c>
      <c r="B1589" s="109" t="s">
        <v>111</v>
      </c>
      <c r="C1589" s="109" t="s">
        <v>662</v>
      </c>
      <c r="D1589" s="109" t="s">
        <v>63</v>
      </c>
      <c r="E1589" s="112" t="s">
        <v>16</v>
      </c>
      <c r="F1589" s="109" t="s">
        <v>3141</v>
      </c>
      <c r="G1589" s="111" t="s">
        <v>3127</v>
      </c>
    </row>
    <row r="1590" customFormat="false" ht="23.85" hidden="false" customHeight="false" outlineLevel="0" collapsed="false">
      <c r="A1590" s="109" t="s">
        <v>105</v>
      </c>
      <c r="B1590" s="109" t="s">
        <v>111</v>
      </c>
      <c r="C1590" s="109" t="s">
        <v>662</v>
      </c>
      <c r="D1590" s="109" t="s">
        <v>67</v>
      </c>
      <c r="E1590" s="112" t="s">
        <v>16</v>
      </c>
      <c r="F1590" s="109" t="s">
        <v>3142</v>
      </c>
      <c r="G1590" s="111" t="s">
        <v>1239</v>
      </c>
    </row>
    <row r="1591" customFormat="false" ht="23.85" hidden="false" customHeight="false" outlineLevel="0" collapsed="false">
      <c r="A1591" s="109" t="s">
        <v>105</v>
      </c>
      <c r="B1591" s="109" t="s">
        <v>111</v>
      </c>
      <c r="C1591" s="109" t="s">
        <v>662</v>
      </c>
      <c r="D1591" s="109" t="s">
        <v>71</v>
      </c>
      <c r="E1591" s="114" t="s">
        <v>22</v>
      </c>
      <c r="F1591" s="109" t="s">
        <v>3143</v>
      </c>
      <c r="G1591" s="111" t="s">
        <v>1290</v>
      </c>
    </row>
    <row r="1592" customFormat="false" ht="23.85" hidden="false" customHeight="false" outlineLevel="0" collapsed="false">
      <c r="A1592" s="109" t="s">
        <v>105</v>
      </c>
      <c r="B1592" s="109" t="s">
        <v>112</v>
      </c>
      <c r="C1592" s="109" t="s">
        <v>664</v>
      </c>
      <c r="D1592" s="109" t="s">
        <v>35</v>
      </c>
      <c r="E1592" s="112" t="s">
        <v>16</v>
      </c>
      <c r="F1592" s="109" t="s">
        <v>3144</v>
      </c>
      <c r="G1592" s="111" t="s">
        <v>3145</v>
      </c>
    </row>
    <row r="1593" customFormat="false" ht="23.85" hidden="false" customHeight="false" outlineLevel="0" collapsed="false">
      <c r="A1593" s="109" t="s">
        <v>105</v>
      </c>
      <c r="B1593" s="109" t="s">
        <v>112</v>
      </c>
      <c r="C1593" s="109" t="s">
        <v>664</v>
      </c>
      <c r="D1593" s="109" t="s">
        <v>39</v>
      </c>
      <c r="E1593" s="112" t="s">
        <v>16</v>
      </c>
      <c r="F1593" s="109" t="s">
        <v>3146</v>
      </c>
      <c r="G1593" s="111" t="s">
        <v>3147</v>
      </c>
    </row>
    <row r="1594" customFormat="false" ht="23.85" hidden="false" customHeight="false" outlineLevel="0" collapsed="false">
      <c r="A1594" s="109" t="s">
        <v>105</v>
      </c>
      <c r="B1594" s="109" t="s">
        <v>112</v>
      </c>
      <c r="C1594" s="109" t="s">
        <v>664</v>
      </c>
      <c r="D1594" s="109" t="s">
        <v>43</v>
      </c>
      <c r="E1594" s="112" t="s">
        <v>16</v>
      </c>
      <c r="F1594" s="109" t="s">
        <v>3148</v>
      </c>
      <c r="G1594" s="111" t="s">
        <v>3149</v>
      </c>
    </row>
    <row r="1595" customFormat="false" ht="23.85" hidden="false" customHeight="false" outlineLevel="0" collapsed="false">
      <c r="A1595" s="109" t="s">
        <v>105</v>
      </c>
      <c r="B1595" s="109" t="s">
        <v>112</v>
      </c>
      <c r="C1595" s="109" t="s">
        <v>664</v>
      </c>
      <c r="D1595" s="109" t="s">
        <v>47</v>
      </c>
      <c r="E1595" s="112" t="s">
        <v>16</v>
      </c>
      <c r="F1595" s="109" t="s">
        <v>3150</v>
      </c>
      <c r="G1595" s="111" t="s">
        <v>3151</v>
      </c>
    </row>
    <row r="1596" customFormat="false" ht="23.85" hidden="false" customHeight="false" outlineLevel="0" collapsed="false">
      <c r="A1596" s="109" t="s">
        <v>105</v>
      </c>
      <c r="B1596" s="109" t="s">
        <v>112</v>
      </c>
      <c r="C1596" s="109" t="s">
        <v>664</v>
      </c>
      <c r="D1596" s="109" t="s">
        <v>51</v>
      </c>
      <c r="E1596" s="112" t="s">
        <v>16</v>
      </c>
      <c r="F1596" s="109" t="s">
        <v>3152</v>
      </c>
      <c r="G1596" s="111" t="s">
        <v>3153</v>
      </c>
    </row>
    <row r="1597" customFormat="false" ht="23.85" hidden="false" customHeight="false" outlineLevel="0" collapsed="false">
      <c r="A1597" s="109" t="s">
        <v>105</v>
      </c>
      <c r="B1597" s="109" t="s">
        <v>112</v>
      </c>
      <c r="C1597" s="109" t="s">
        <v>664</v>
      </c>
      <c r="D1597" s="109" t="s">
        <v>55</v>
      </c>
      <c r="E1597" s="112" t="s">
        <v>16</v>
      </c>
      <c r="F1597" s="109" t="s">
        <v>3154</v>
      </c>
      <c r="G1597" s="111" t="s">
        <v>3155</v>
      </c>
    </row>
    <row r="1598" customFormat="false" ht="23.85" hidden="false" customHeight="false" outlineLevel="0" collapsed="false">
      <c r="A1598" s="109" t="s">
        <v>105</v>
      </c>
      <c r="B1598" s="109" t="s">
        <v>112</v>
      </c>
      <c r="C1598" s="109" t="s">
        <v>664</v>
      </c>
      <c r="D1598" s="109" t="s">
        <v>59</v>
      </c>
      <c r="E1598" s="112" t="s">
        <v>16</v>
      </c>
      <c r="F1598" s="109" t="s">
        <v>3156</v>
      </c>
      <c r="G1598" s="111" t="s">
        <v>3032</v>
      </c>
    </row>
    <row r="1599" customFormat="false" ht="23.85" hidden="false" customHeight="false" outlineLevel="0" collapsed="false">
      <c r="A1599" s="109" t="s">
        <v>105</v>
      </c>
      <c r="B1599" s="109" t="s">
        <v>112</v>
      </c>
      <c r="C1599" s="109" t="s">
        <v>664</v>
      </c>
      <c r="D1599" s="109" t="s">
        <v>63</v>
      </c>
      <c r="E1599" s="112" t="s">
        <v>16</v>
      </c>
      <c r="F1599" s="109" t="s">
        <v>3157</v>
      </c>
      <c r="G1599" s="111" t="s">
        <v>3158</v>
      </c>
    </row>
    <row r="1600" customFormat="false" ht="23.85" hidden="false" customHeight="false" outlineLevel="0" collapsed="false">
      <c r="A1600" s="109" t="s">
        <v>105</v>
      </c>
      <c r="B1600" s="109" t="s">
        <v>112</v>
      </c>
      <c r="C1600" s="109" t="s">
        <v>664</v>
      </c>
      <c r="D1600" s="109" t="s">
        <v>67</v>
      </c>
      <c r="E1600" s="112" t="s">
        <v>16</v>
      </c>
      <c r="F1600" s="109" t="s">
        <v>3159</v>
      </c>
      <c r="G1600" s="111" t="s">
        <v>3160</v>
      </c>
    </row>
    <row r="1601" customFormat="false" ht="23.85" hidden="false" customHeight="false" outlineLevel="0" collapsed="false">
      <c r="A1601" s="109" t="s">
        <v>105</v>
      </c>
      <c r="B1601" s="109" t="s">
        <v>112</v>
      </c>
      <c r="C1601" s="109" t="s">
        <v>664</v>
      </c>
      <c r="D1601" s="109" t="s">
        <v>71</v>
      </c>
      <c r="E1601" s="114" t="s">
        <v>22</v>
      </c>
      <c r="F1601" s="109" t="s">
        <v>3161</v>
      </c>
      <c r="G1601" s="111" t="s">
        <v>3162</v>
      </c>
    </row>
    <row r="1602" customFormat="false" ht="15" hidden="false" customHeight="false" outlineLevel="0" collapsed="false">
      <c r="A1602" s="109" t="s">
        <v>105</v>
      </c>
      <c r="B1602" s="109" t="s">
        <v>112</v>
      </c>
      <c r="C1602" s="109" t="s">
        <v>666</v>
      </c>
      <c r="D1602" s="109" t="s">
        <v>35</v>
      </c>
      <c r="E1602" s="112" t="s">
        <v>16</v>
      </c>
      <c r="F1602" s="109" t="s">
        <v>3163</v>
      </c>
      <c r="G1602" s="111" t="s">
        <v>3164</v>
      </c>
    </row>
    <row r="1603" customFormat="false" ht="15" hidden="false" customHeight="false" outlineLevel="0" collapsed="false">
      <c r="A1603" s="109" t="s">
        <v>105</v>
      </c>
      <c r="B1603" s="109" t="s">
        <v>112</v>
      </c>
      <c r="C1603" s="109" t="s">
        <v>666</v>
      </c>
      <c r="D1603" s="109" t="s">
        <v>39</v>
      </c>
      <c r="E1603" s="112" t="s">
        <v>16</v>
      </c>
      <c r="F1603" s="109" t="s">
        <v>3165</v>
      </c>
      <c r="G1603" s="111" t="s">
        <v>3166</v>
      </c>
    </row>
    <row r="1604" customFormat="false" ht="23.85" hidden="false" customHeight="false" outlineLevel="0" collapsed="false">
      <c r="A1604" s="109" t="s">
        <v>105</v>
      </c>
      <c r="B1604" s="109" t="s">
        <v>112</v>
      </c>
      <c r="C1604" s="109" t="s">
        <v>666</v>
      </c>
      <c r="D1604" s="109" t="s">
        <v>43</v>
      </c>
      <c r="E1604" s="112" t="s">
        <v>16</v>
      </c>
      <c r="F1604" s="109" t="s">
        <v>3167</v>
      </c>
      <c r="G1604" s="111" t="s">
        <v>2366</v>
      </c>
    </row>
    <row r="1605" customFormat="false" ht="23.85" hidden="false" customHeight="false" outlineLevel="0" collapsed="false">
      <c r="A1605" s="109" t="s">
        <v>105</v>
      </c>
      <c r="B1605" s="109" t="s">
        <v>112</v>
      </c>
      <c r="C1605" s="109" t="s">
        <v>666</v>
      </c>
      <c r="D1605" s="109" t="s">
        <v>47</v>
      </c>
      <c r="E1605" s="112" t="s">
        <v>16</v>
      </c>
      <c r="F1605" s="109" t="s">
        <v>3168</v>
      </c>
      <c r="G1605" s="111" t="s">
        <v>2275</v>
      </c>
    </row>
    <row r="1606" customFormat="false" ht="15" hidden="false" customHeight="false" outlineLevel="0" collapsed="false">
      <c r="A1606" s="109" t="s">
        <v>105</v>
      </c>
      <c r="B1606" s="109" t="s">
        <v>112</v>
      </c>
      <c r="C1606" s="109" t="s">
        <v>666</v>
      </c>
      <c r="D1606" s="109" t="s">
        <v>51</v>
      </c>
      <c r="E1606" s="112" t="s">
        <v>16</v>
      </c>
      <c r="F1606" s="109" t="s">
        <v>3169</v>
      </c>
      <c r="G1606" s="111" t="s">
        <v>3015</v>
      </c>
    </row>
    <row r="1607" customFormat="false" ht="15" hidden="false" customHeight="false" outlineLevel="0" collapsed="false">
      <c r="A1607" s="109" t="s">
        <v>105</v>
      </c>
      <c r="B1607" s="109" t="s">
        <v>112</v>
      </c>
      <c r="C1607" s="109" t="s">
        <v>666</v>
      </c>
      <c r="D1607" s="109" t="s">
        <v>55</v>
      </c>
      <c r="E1607" s="112" t="s">
        <v>16</v>
      </c>
      <c r="F1607" s="109" t="s">
        <v>3170</v>
      </c>
      <c r="G1607" s="111" t="s">
        <v>2822</v>
      </c>
    </row>
    <row r="1608" customFormat="false" ht="23.85" hidden="false" customHeight="false" outlineLevel="0" collapsed="false">
      <c r="A1608" s="109" t="s">
        <v>105</v>
      </c>
      <c r="B1608" s="109" t="s">
        <v>112</v>
      </c>
      <c r="C1608" s="109" t="s">
        <v>666</v>
      </c>
      <c r="D1608" s="109" t="s">
        <v>59</v>
      </c>
      <c r="E1608" s="112" t="s">
        <v>16</v>
      </c>
      <c r="F1608" s="109" t="s">
        <v>3171</v>
      </c>
      <c r="G1608" s="111" t="s">
        <v>1138</v>
      </c>
    </row>
    <row r="1609" customFormat="false" ht="15" hidden="false" customHeight="false" outlineLevel="0" collapsed="false">
      <c r="A1609" s="109" t="s">
        <v>105</v>
      </c>
      <c r="B1609" s="109" t="s">
        <v>112</v>
      </c>
      <c r="C1609" s="109" t="s">
        <v>666</v>
      </c>
      <c r="D1609" s="109" t="s">
        <v>63</v>
      </c>
      <c r="E1609" s="112" t="s">
        <v>16</v>
      </c>
      <c r="F1609" s="109" t="s">
        <v>3172</v>
      </c>
      <c r="G1609" s="111" t="s">
        <v>3173</v>
      </c>
    </row>
    <row r="1610" customFormat="false" ht="15" hidden="false" customHeight="false" outlineLevel="0" collapsed="false">
      <c r="A1610" s="109" t="s">
        <v>105</v>
      </c>
      <c r="B1610" s="109" t="s">
        <v>112</v>
      </c>
      <c r="C1610" s="109" t="s">
        <v>666</v>
      </c>
      <c r="D1610" s="109" t="s">
        <v>67</v>
      </c>
      <c r="E1610" s="112" t="s">
        <v>16</v>
      </c>
      <c r="F1610" s="109" t="s">
        <v>3174</v>
      </c>
      <c r="G1610" s="111" t="s">
        <v>3175</v>
      </c>
    </row>
    <row r="1611" customFormat="false" ht="23.85" hidden="false" customHeight="false" outlineLevel="0" collapsed="false">
      <c r="A1611" s="109" t="s">
        <v>105</v>
      </c>
      <c r="B1611" s="109" t="s">
        <v>112</v>
      </c>
      <c r="C1611" s="109" t="s">
        <v>666</v>
      </c>
      <c r="D1611" s="109" t="s">
        <v>71</v>
      </c>
      <c r="E1611" s="114" t="s">
        <v>22</v>
      </c>
      <c r="F1611" s="109" t="s">
        <v>3176</v>
      </c>
      <c r="G1611" s="111" t="s">
        <v>3177</v>
      </c>
    </row>
    <row r="1612" customFormat="false" ht="15" hidden="false" customHeight="false" outlineLevel="0" collapsed="false">
      <c r="A1612" s="109" t="s">
        <v>105</v>
      </c>
      <c r="B1612" s="109" t="s">
        <v>112</v>
      </c>
      <c r="C1612" s="109" t="s">
        <v>667</v>
      </c>
      <c r="D1612" s="109" t="s">
        <v>35</v>
      </c>
      <c r="E1612" s="110" t="s">
        <v>18</v>
      </c>
      <c r="F1612" s="109" t="s">
        <v>3178</v>
      </c>
      <c r="G1612" s="111" t="s">
        <v>3179</v>
      </c>
    </row>
    <row r="1613" customFormat="false" ht="15" hidden="false" customHeight="false" outlineLevel="0" collapsed="false">
      <c r="A1613" s="109" t="s">
        <v>105</v>
      </c>
      <c r="B1613" s="109" t="s">
        <v>112</v>
      </c>
      <c r="C1613" s="109" t="s">
        <v>667</v>
      </c>
      <c r="D1613" s="109" t="s">
        <v>39</v>
      </c>
      <c r="E1613" s="112" t="s">
        <v>16</v>
      </c>
      <c r="F1613" s="109" t="s">
        <v>3180</v>
      </c>
      <c r="G1613" s="111" t="s">
        <v>3166</v>
      </c>
    </row>
    <row r="1614" customFormat="false" ht="23.85" hidden="false" customHeight="false" outlineLevel="0" collapsed="false">
      <c r="A1614" s="109" t="s">
        <v>105</v>
      </c>
      <c r="B1614" s="109" t="s">
        <v>112</v>
      </c>
      <c r="C1614" s="109" t="s">
        <v>667</v>
      </c>
      <c r="D1614" s="109" t="s">
        <v>43</v>
      </c>
      <c r="E1614" s="112" t="s">
        <v>16</v>
      </c>
      <c r="F1614" s="109" t="s">
        <v>3181</v>
      </c>
      <c r="G1614" s="111" t="s">
        <v>1691</v>
      </c>
    </row>
    <row r="1615" customFormat="false" ht="15" hidden="false" customHeight="false" outlineLevel="0" collapsed="false">
      <c r="A1615" s="109" t="s">
        <v>105</v>
      </c>
      <c r="B1615" s="109" t="s">
        <v>112</v>
      </c>
      <c r="C1615" s="109" t="s">
        <v>667</v>
      </c>
      <c r="D1615" s="109" t="s">
        <v>47</v>
      </c>
      <c r="E1615" s="112" t="s">
        <v>16</v>
      </c>
      <c r="F1615" s="109" t="s">
        <v>3182</v>
      </c>
      <c r="G1615" s="111" t="s">
        <v>3183</v>
      </c>
    </row>
    <row r="1616" customFormat="false" ht="15" hidden="false" customHeight="false" outlineLevel="0" collapsed="false">
      <c r="A1616" s="109" t="s">
        <v>105</v>
      </c>
      <c r="B1616" s="109" t="s">
        <v>112</v>
      </c>
      <c r="C1616" s="109" t="s">
        <v>667</v>
      </c>
      <c r="D1616" s="109" t="s">
        <v>51</v>
      </c>
      <c r="E1616" s="112" t="s">
        <v>16</v>
      </c>
      <c r="F1616" s="109" t="s">
        <v>3184</v>
      </c>
      <c r="G1616" s="111" t="s">
        <v>1735</v>
      </c>
    </row>
    <row r="1617" customFormat="false" ht="15" hidden="false" customHeight="false" outlineLevel="0" collapsed="false">
      <c r="A1617" s="109" t="s">
        <v>105</v>
      </c>
      <c r="B1617" s="109" t="s">
        <v>112</v>
      </c>
      <c r="C1617" s="109" t="s">
        <v>667</v>
      </c>
      <c r="D1617" s="109" t="s">
        <v>55</v>
      </c>
      <c r="E1617" s="112" t="s">
        <v>16</v>
      </c>
      <c r="F1617" s="109" t="s">
        <v>3185</v>
      </c>
      <c r="G1617" s="111" t="s">
        <v>3186</v>
      </c>
    </row>
    <row r="1618" customFormat="false" ht="15" hidden="false" customHeight="false" outlineLevel="0" collapsed="false">
      <c r="A1618" s="109" t="s">
        <v>105</v>
      </c>
      <c r="B1618" s="109" t="s">
        <v>112</v>
      </c>
      <c r="C1618" s="109" t="s">
        <v>667</v>
      </c>
      <c r="D1618" s="109" t="s">
        <v>59</v>
      </c>
      <c r="E1618" s="110" t="s">
        <v>18</v>
      </c>
      <c r="F1618" s="109" t="s">
        <v>3187</v>
      </c>
      <c r="G1618" s="111" t="s">
        <v>1739</v>
      </c>
    </row>
    <row r="1619" customFormat="false" ht="15" hidden="false" customHeight="false" outlineLevel="0" collapsed="false">
      <c r="A1619" s="109" t="s">
        <v>105</v>
      </c>
      <c r="B1619" s="109" t="s">
        <v>112</v>
      </c>
      <c r="C1619" s="109" t="s">
        <v>667</v>
      </c>
      <c r="D1619" s="109" t="s">
        <v>63</v>
      </c>
      <c r="E1619" s="112" t="s">
        <v>16</v>
      </c>
      <c r="F1619" s="109" t="s">
        <v>3188</v>
      </c>
      <c r="G1619" s="111" t="s">
        <v>1741</v>
      </c>
    </row>
    <row r="1620" customFormat="false" ht="15" hidden="false" customHeight="false" outlineLevel="0" collapsed="false">
      <c r="A1620" s="109" t="s">
        <v>105</v>
      </c>
      <c r="B1620" s="109" t="s">
        <v>112</v>
      </c>
      <c r="C1620" s="109" t="s">
        <v>667</v>
      </c>
      <c r="D1620" s="109" t="s">
        <v>67</v>
      </c>
      <c r="E1620" s="112" t="s">
        <v>16</v>
      </c>
      <c r="F1620" s="109" t="s">
        <v>3189</v>
      </c>
      <c r="G1620" s="111" t="s">
        <v>930</v>
      </c>
    </row>
    <row r="1621" customFormat="false" ht="15" hidden="false" customHeight="false" outlineLevel="0" collapsed="false">
      <c r="A1621" s="109" t="s">
        <v>105</v>
      </c>
      <c r="B1621" s="109" t="s">
        <v>112</v>
      </c>
      <c r="C1621" s="109" t="s">
        <v>667</v>
      </c>
      <c r="D1621" s="109" t="s">
        <v>71</v>
      </c>
      <c r="E1621" s="112" t="s">
        <v>16</v>
      </c>
      <c r="F1621" s="109" t="s">
        <v>3190</v>
      </c>
      <c r="G1621" s="111" t="s">
        <v>3191</v>
      </c>
    </row>
    <row r="1622" customFormat="false" ht="23.85" hidden="false" customHeight="false" outlineLevel="0" collapsed="false">
      <c r="A1622" s="109" t="s">
        <v>105</v>
      </c>
      <c r="B1622" s="109" t="s">
        <v>112</v>
      </c>
      <c r="C1622" s="109" t="s">
        <v>669</v>
      </c>
      <c r="D1622" s="109" t="s">
        <v>35</v>
      </c>
      <c r="E1622" s="110" t="s">
        <v>18</v>
      </c>
      <c r="F1622" s="109" t="s">
        <v>3192</v>
      </c>
      <c r="G1622" s="111" t="s">
        <v>3193</v>
      </c>
    </row>
    <row r="1623" customFormat="false" ht="23.85" hidden="false" customHeight="false" outlineLevel="0" collapsed="false">
      <c r="A1623" s="109" t="s">
        <v>105</v>
      </c>
      <c r="B1623" s="109" t="s">
        <v>112</v>
      </c>
      <c r="C1623" s="109" t="s">
        <v>669</v>
      </c>
      <c r="D1623" s="109" t="s">
        <v>39</v>
      </c>
      <c r="E1623" s="114" t="s">
        <v>22</v>
      </c>
      <c r="F1623" s="109" t="s">
        <v>3194</v>
      </c>
      <c r="G1623" s="111" t="s">
        <v>3195</v>
      </c>
    </row>
    <row r="1624" customFormat="false" ht="15" hidden="false" customHeight="false" outlineLevel="0" collapsed="false">
      <c r="A1624" s="109" t="s">
        <v>105</v>
      </c>
      <c r="B1624" s="109" t="s">
        <v>112</v>
      </c>
      <c r="C1624" s="109" t="s">
        <v>669</v>
      </c>
      <c r="D1624" s="109" t="s">
        <v>43</v>
      </c>
      <c r="E1624" s="115" t="s">
        <v>20</v>
      </c>
      <c r="F1624" s="109" t="s">
        <v>3196</v>
      </c>
      <c r="G1624" s="111" t="s">
        <v>3197</v>
      </c>
    </row>
    <row r="1625" customFormat="false" ht="15" hidden="false" customHeight="false" outlineLevel="0" collapsed="false">
      <c r="A1625" s="109" t="s">
        <v>105</v>
      </c>
      <c r="B1625" s="109" t="s">
        <v>112</v>
      </c>
      <c r="C1625" s="109" t="s">
        <v>669</v>
      </c>
      <c r="D1625" s="109" t="s">
        <v>47</v>
      </c>
      <c r="E1625" s="115" t="s">
        <v>20</v>
      </c>
      <c r="F1625" s="109" t="s">
        <v>3198</v>
      </c>
      <c r="G1625" s="111" t="s">
        <v>3199</v>
      </c>
    </row>
    <row r="1626" customFormat="false" ht="15" hidden="false" customHeight="false" outlineLevel="0" collapsed="false">
      <c r="A1626" s="109" t="s">
        <v>105</v>
      </c>
      <c r="B1626" s="109" t="s">
        <v>112</v>
      </c>
      <c r="C1626" s="109" t="s">
        <v>669</v>
      </c>
      <c r="D1626" s="109" t="s">
        <v>51</v>
      </c>
      <c r="E1626" s="115" t="s">
        <v>20</v>
      </c>
      <c r="F1626" s="109" t="s">
        <v>3200</v>
      </c>
      <c r="G1626" s="111" t="s">
        <v>3201</v>
      </c>
    </row>
    <row r="1627" customFormat="false" ht="15" hidden="false" customHeight="false" outlineLevel="0" collapsed="false">
      <c r="A1627" s="109" t="s">
        <v>105</v>
      </c>
      <c r="B1627" s="109" t="s">
        <v>112</v>
      </c>
      <c r="C1627" s="109" t="s">
        <v>669</v>
      </c>
      <c r="D1627" s="109" t="s">
        <v>55</v>
      </c>
      <c r="E1627" s="114" t="s">
        <v>22</v>
      </c>
      <c r="F1627" s="109" t="s">
        <v>3202</v>
      </c>
      <c r="G1627" s="111" t="s">
        <v>3203</v>
      </c>
    </row>
    <row r="1628" customFormat="false" ht="23.85" hidden="false" customHeight="false" outlineLevel="0" collapsed="false">
      <c r="A1628" s="109" t="s">
        <v>105</v>
      </c>
      <c r="B1628" s="109" t="s">
        <v>112</v>
      </c>
      <c r="C1628" s="109" t="s">
        <v>669</v>
      </c>
      <c r="D1628" s="109" t="s">
        <v>59</v>
      </c>
      <c r="E1628" s="114" t="s">
        <v>22</v>
      </c>
      <c r="F1628" s="109" t="s">
        <v>3204</v>
      </c>
      <c r="G1628" s="111" t="s">
        <v>3205</v>
      </c>
    </row>
    <row r="1629" customFormat="false" ht="23.85" hidden="false" customHeight="false" outlineLevel="0" collapsed="false">
      <c r="A1629" s="109" t="s">
        <v>105</v>
      </c>
      <c r="B1629" s="109" t="s">
        <v>112</v>
      </c>
      <c r="C1629" s="109" t="s">
        <v>669</v>
      </c>
      <c r="D1629" s="109" t="s">
        <v>63</v>
      </c>
      <c r="E1629" s="114" t="s">
        <v>22</v>
      </c>
      <c r="F1629" s="109" t="s">
        <v>3206</v>
      </c>
      <c r="G1629" s="111" t="s">
        <v>1157</v>
      </c>
    </row>
    <row r="1630" customFormat="false" ht="15" hidden="false" customHeight="false" outlineLevel="0" collapsed="false">
      <c r="A1630" s="109" t="s">
        <v>105</v>
      </c>
      <c r="B1630" s="109" t="s">
        <v>112</v>
      </c>
      <c r="C1630" s="109" t="s">
        <v>669</v>
      </c>
      <c r="D1630" s="109" t="s">
        <v>67</v>
      </c>
      <c r="E1630" s="115" t="s">
        <v>20</v>
      </c>
      <c r="F1630" s="109" t="s">
        <v>3207</v>
      </c>
      <c r="G1630" s="111" t="s">
        <v>1777</v>
      </c>
    </row>
    <row r="1631" customFormat="false" ht="15" hidden="false" customHeight="false" outlineLevel="0" collapsed="false">
      <c r="A1631" s="109" t="s">
        <v>105</v>
      </c>
      <c r="B1631" s="109" t="s">
        <v>112</v>
      </c>
      <c r="C1631" s="109" t="s">
        <v>669</v>
      </c>
      <c r="D1631" s="109" t="s">
        <v>71</v>
      </c>
      <c r="E1631" s="115" t="s">
        <v>20</v>
      </c>
      <c r="F1631" s="109" t="s">
        <v>3208</v>
      </c>
      <c r="G1631" s="111" t="s">
        <v>3209</v>
      </c>
    </row>
    <row r="1632" customFormat="false" ht="23.85" hidden="false" customHeight="false" outlineLevel="0" collapsed="false">
      <c r="A1632" s="109" t="s">
        <v>105</v>
      </c>
      <c r="B1632" s="109" t="s">
        <v>112</v>
      </c>
      <c r="C1632" s="109" t="s">
        <v>671</v>
      </c>
      <c r="D1632" s="109" t="s">
        <v>35</v>
      </c>
      <c r="E1632" s="114" t="s">
        <v>22</v>
      </c>
      <c r="F1632" s="109" t="s">
        <v>3210</v>
      </c>
      <c r="G1632" s="111" t="s">
        <v>3211</v>
      </c>
    </row>
    <row r="1633" customFormat="false" ht="15" hidden="false" customHeight="false" outlineLevel="0" collapsed="false">
      <c r="A1633" s="109" t="s">
        <v>105</v>
      </c>
      <c r="B1633" s="109" t="s">
        <v>112</v>
      </c>
      <c r="C1633" s="109" t="s">
        <v>671</v>
      </c>
      <c r="D1633" s="109" t="s">
        <v>39</v>
      </c>
      <c r="E1633" s="115" t="s">
        <v>20</v>
      </c>
      <c r="F1633" s="109" t="s">
        <v>3212</v>
      </c>
      <c r="G1633" s="111" t="s">
        <v>3213</v>
      </c>
    </row>
    <row r="1634" customFormat="false" ht="23.85" hidden="false" customHeight="false" outlineLevel="0" collapsed="false">
      <c r="A1634" s="109" t="s">
        <v>105</v>
      </c>
      <c r="B1634" s="109" t="s">
        <v>112</v>
      </c>
      <c r="C1634" s="109" t="s">
        <v>671</v>
      </c>
      <c r="D1634" s="109" t="s">
        <v>43</v>
      </c>
      <c r="E1634" s="114" t="s">
        <v>22</v>
      </c>
      <c r="F1634" s="109" t="s">
        <v>3214</v>
      </c>
      <c r="G1634" s="111" t="s">
        <v>2366</v>
      </c>
    </row>
    <row r="1635" customFormat="false" ht="23.85" hidden="false" customHeight="false" outlineLevel="0" collapsed="false">
      <c r="A1635" s="109" t="s">
        <v>105</v>
      </c>
      <c r="B1635" s="109" t="s">
        <v>112</v>
      </c>
      <c r="C1635" s="109" t="s">
        <v>671</v>
      </c>
      <c r="D1635" s="109" t="s">
        <v>47</v>
      </c>
      <c r="E1635" s="114" t="s">
        <v>22</v>
      </c>
      <c r="F1635" s="109" t="s">
        <v>3215</v>
      </c>
      <c r="G1635" s="111" t="s">
        <v>1149</v>
      </c>
    </row>
    <row r="1636" customFormat="false" ht="15" hidden="false" customHeight="false" outlineLevel="0" collapsed="false">
      <c r="A1636" s="109" t="s">
        <v>105</v>
      </c>
      <c r="B1636" s="109" t="s">
        <v>112</v>
      </c>
      <c r="C1636" s="109" t="s">
        <v>671</v>
      </c>
      <c r="D1636" s="109" t="s">
        <v>51</v>
      </c>
      <c r="E1636" s="112" t="s">
        <v>16</v>
      </c>
      <c r="F1636" s="109" t="s">
        <v>3216</v>
      </c>
      <c r="G1636" s="111" t="s">
        <v>1735</v>
      </c>
    </row>
    <row r="1637" customFormat="false" ht="15" hidden="false" customHeight="false" outlineLevel="0" collapsed="false">
      <c r="A1637" s="109" t="s">
        <v>105</v>
      </c>
      <c r="B1637" s="109" t="s">
        <v>112</v>
      </c>
      <c r="C1637" s="109" t="s">
        <v>671</v>
      </c>
      <c r="D1637" s="109" t="s">
        <v>55</v>
      </c>
      <c r="E1637" s="112" t="s">
        <v>16</v>
      </c>
      <c r="F1637" s="109" t="s">
        <v>3217</v>
      </c>
      <c r="G1637" s="111" t="s">
        <v>3218</v>
      </c>
    </row>
    <row r="1638" customFormat="false" ht="15" hidden="false" customHeight="false" outlineLevel="0" collapsed="false">
      <c r="A1638" s="109" t="s">
        <v>105</v>
      </c>
      <c r="B1638" s="109" t="s">
        <v>112</v>
      </c>
      <c r="C1638" s="109" t="s">
        <v>671</v>
      </c>
      <c r="D1638" s="109" t="s">
        <v>59</v>
      </c>
      <c r="E1638" s="112" t="s">
        <v>16</v>
      </c>
      <c r="F1638" s="109" t="s">
        <v>3219</v>
      </c>
      <c r="G1638" s="111" t="s">
        <v>1155</v>
      </c>
    </row>
    <row r="1639" customFormat="false" ht="15" hidden="false" customHeight="false" outlineLevel="0" collapsed="false">
      <c r="A1639" s="109" t="s">
        <v>105</v>
      </c>
      <c r="B1639" s="109" t="s">
        <v>112</v>
      </c>
      <c r="C1639" s="109" t="s">
        <v>671</v>
      </c>
      <c r="D1639" s="109" t="s">
        <v>63</v>
      </c>
      <c r="E1639" s="114" t="s">
        <v>22</v>
      </c>
      <c r="F1639" s="109" t="s">
        <v>3220</v>
      </c>
      <c r="G1639" s="109"/>
    </row>
    <row r="1640" customFormat="false" ht="15" hidden="false" customHeight="false" outlineLevel="0" collapsed="false">
      <c r="A1640" s="109" t="s">
        <v>105</v>
      </c>
      <c r="B1640" s="109" t="s">
        <v>112</v>
      </c>
      <c r="C1640" s="109" t="s">
        <v>671</v>
      </c>
      <c r="D1640" s="109" t="s">
        <v>67</v>
      </c>
      <c r="E1640" s="114" t="s">
        <v>22</v>
      </c>
      <c r="F1640" s="109" t="s">
        <v>3221</v>
      </c>
      <c r="G1640" s="111" t="s">
        <v>3222</v>
      </c>
    </row>
    <row r="1641" customFormat="false" ht="15" hidden="false" customHeight="false" outlineLevel="0" collapsed="false">
      <c r="A1641" s="109" t="s">
        <v>105</v>
      </c>
      <c r="B1641" s="109" t="s">
        <v>112</v>
      </c>
      <c r="C1641" s="109" t="s">
        <v>671</v>
      </c>
      <c r="D1641" s="109" t="s">
        <v>71</v>
      </c>
      <c r="E1641" s="112" t="s">
        <v>16</v>
      </c>
      <c r="F1641" s="109" t="s">
        <v>3223</v>
      </c>
      <c r="G1641" s="111" t="s">
        <v>3224</v>
      </c>
    </row>
    <row r="1642" customFormat="false" ht="15" hidden="false" customHeight="false" outlineLevel="0" collapsed="false">
      <c r="A1642" s="109" t="s">
        <v>105</v>
      </c>
      <c r="B1642" s="109" t="s">
        <v>112</v>
      </c>
      <c r="C1642" s="109" t="s">
        <v>673</v>
      </c>
      <c r="D1642" s="109" t="s">
        <v>35</v>
      </c>
      <c r="E1642" s="114" t="s">
        <v>22</v>
      </c>
      <c r="F1642" s="109" t="s">
        <v>3225</v>
      </c>
      <c r="G1642" s="111" t="s">
        <v>3226</v>
      </c>
    </row>
    <row r="1643" customFormat="false" ht="23.85" hidden="false" customHeight="false" outlineLevel="0" collapsed="false">
      <c r="A1643" s="109" t="s">
        <v>105</v>
      </c>
      <c r="B1643" s="109" t="s">
        <v>112</v>
      </c>
      <c r="C1643" s="109" t="s">
        <v>673</v>
      </c>
      <c r="D1643" s="109" t="s">
        <v>39</v>
      </c>
      <c r="E1643" s="114" t="s">
        <v>22</v>
      </c>
      <c r="F1643" s="109" t="s">
        <v>3227</v>
      </c>
      <c r="G1643" s="111" t="s">
        <v>3228</v>
      </c>
    </row>
    <row r="1644" customFormat="false" ht="23.85" hidden="false" customHeight="false" outlineLevel="0" collapsed="false">
      <c r="A1644" s="109" t="s">
        <v>105</v>
      </c>
      <c r="B1644" s="109" t="s">
        <v>112</v>
      </c>
      <c r="C1644" s="109" t="s">
        <v>673</v>
      </c>
      <c r="D1644" s="109" t="s">
        <v>43</v>
      </c>
      <c r="E1644" s="114" t="s">
        <v>22</v>
      </c>
      <c r="F1644" s="109" t="s">
        <v>3229</v>
      </c>
      <c r="G1644" s="111" t="s">
        <v>2231</v>
      </c>
    </row>
    <row r="1645" customFormat="false" ht="23.85" hidden="false" customHeight="false" outlineLevel="0" collapsed="false">
      <c r="A1645" s="109" t="s">
        <v>105</v>
      </c>
      <c r="B1645" s="109" t="s">
        <v>112</v>
      </c>
      <c r="C1645" s="109" t="s">
        <v>673</v>
      </c>
      <c r="D1645" s="109" t="s">
        <v>47</v>
      </c>
      <c r="E1645" s="114" t="s">
        <v>22</v>
      </c>
      <c r="F1645" s="109" t="s">
        <v>3230</v>
      </c>
      <c r="G1645" s="111" t="s">
        <v>2962</v>
      </c>
    </row>
    <row r="1646" customFormat="false" ht="15" hidden="false" customHeight="false" outlineLevel="0" collapsed="false">
      <c r="A1646" s="109" t="s">
        <v>105</v>
      </c>
      <c r="B1646" s="109" t="s">
        <v>112</v>
      </c>
      <c r="C1646" s="109" t="s">
        <v>673</v>
      </c>
      <c r="D1646" s="109" t="s">
        <v>51</v>
      </c>
      <c r="E1646" s="113" t="s">
        <v>24</v>
      </c>
      <c r="F1646" s="109" t="s">
        <v>3231</v>
      </c>
      <c r="G1646" s="109"/>
    </row>
    <row r="1647" customFormat="false" ht="15" hidden="false" customHeight="false" outlineLevel="0" collapsed="false">
      <c r="A1647" s="109" t="s">
        <v>105</v>
      </c>
      <c r="B1647" s="109" t="s">
        <v>112</v>
      </c>
      <c r="C1647" s="109" t="s">
        <v>673</v>
      </c>
      <c r="D1647" s="109" t="s">
        <v>55</v>
      </c>
      <c r="E1647" s="113" t="s">
        <v>24</v>
      </c>
      <c r="F1647" s="109" t="s">
        <v>3232</v>
      </c>
      <c r="G1647" s="109"/>
    </row>
    <row r="1648" customFormat="false" ht="23.85" hidden="false" customHeight="false" outlineLevel="0" collapsed="false">
      <c r="A1648" s="109" t="s">
        <v>105</v>
      </c>
      <c r="B1648" s="109" t="s">
        <v>112</v>
      </c>
      <c r="C1648" s="109" t="s">
        <v>673</v>
      </c>
      <c r="D1648" s="109" t="s">
        <v>59</v>
      </c>
      <c r="E1648" s="114" t="s">
        <v>22</v>
      </c>
      <c r="F1648" s="109" t="s">
        <v>3233</v>
      </c>
      <c r="G1648" s="111" t="s">
        <v>1138</v>
      </c>
    </row>
    <row r="1649" customFormat="false" ht="15" hidden="false" customHeight="false" outlineLevel="0" collapsed="false">
      <c r="A1649" s="109" t="s">
        <v>105</v>
      </c>
      <c r="B1649" s="109" t="s">
        <v>112</v>
      </c>
      <c r="C1649" s="109" t="s">
        <v>673</v>
      </c>
      <c r="D1649" s="109" t="s">
        <v>63</v>
      </c>
      <c r="E1649" s="114" t="s">
        <v>22</v>
      </c>
      <c r="F1649" s="109" t="s">
        <v>3234</v>
      </c>
      <c r="G1649" s="109"/>
    </row>
    <row r="1650" customFormat="false" ht="15" hidden="false" customHeight="false" outlineLevel="0" collapsed="false">
      <c r="A1650" s="109" t="s">
        <v>105</v>
      </c>
      <c r="B1650" s="109" t="s">
        <v>112</v>
      </c>
      <c r="C1650" s="109" t="s">
        <v>673</v>
      </c>
      <c r="D1650" s="109" t="s">
        <v>67</v>
      </c>
      <c r="E1650" s="113" t="s">
        <v>24</v>
      </c>
      <c r="F1650" s="109" t="s">
        <v>3235</v>
      </c>
      <c r="G1650" s="109"/>
    </row>
    <row r="1651" customFormat="false" ht="15" hidden="false" customHeight="false" outlineLevel="0" collapsed="false">
      <c r="A1651" s="109" t="s">
        <v>105</v>
      </c>
      <c r="B1651" s="109" t="s">
        <v>112</v>
      </c>
      <c r="C1651" s="109" t="s">
        <v>673</v>
      </c>
      <c r="D1651" s="109" t="s">
        <v>71</v>
      </c>
      <c r="E1651" s="113" t="s">
        <v>24</v>
      </c>
      <c r="F1651" s="109" t="s">
        <v>3236</v>
      </c>
      <c r="G1651" s="109"/>
    </row>
    <row r="1652" customFormat="false" ht="23.85" hidden="false" customHeight="false" outlineLevel="0" collapsed="false">
      <c r="A1652" s="109" t="s">
        <v>105</v>
      </c>
      <c r="B1652" s="109" t="s">
        <v>112</v>
      </c>
      <c r="C1652" s="109" t="s">
        <v>675</v>
      </c>
      <c r="D1652" s="109" t="s">
        <v>35</v>
      </c>
      <c r="E1652" s="112" t="s">
        <v>16</v>
      </c>
      <c r="F1652" s="109" t="s">
        <v>3237</v>
      </c>
      <c r="G1652" s="111" t="s">
        <v>3238</v>
      </c>
    </row>
    <row r="1653" customFormat="false" ht="23.85" hidden="false" customHeight="false" outlineLevel="0" collapsed="false">
      <c r="A1653" s="109" t="s">
        <v>105</v>
      </c>
      <c r="B1653" s="109" t="s">
        <v>112</v>
      </c>
      <c r="C1653" s="109" t="s">
        <v>675</v>
      </c>
      <c r="D1653" s="109" t="s">
        <v>39</v>
      </c>
      <c r="E1653" s="112" t="s">
        <v>16</v>
      </c>
      <c r="F1653" s="109" t="s">
        <v>3239</v>
      </c>
      <c r="G1653" s="111" t="s">
        <v>3166</v>
      </c>
    </row>
    <row r="1654" customFormat="false" ht="23.85" hidden="false" customHeight="false" outlineLevel="0" collapsed="false">
      <c r="A1654" s="109" t="s">
        <v>105</v>
      </c>
      <c r="B1654" s="109" t="s">
        <v>112</v>
      </c>
      <c r="C1654" s="109" t="s">
        <v>675</v>
      </c>
      <c r="D1654" s="109" t="s">
        <v>43</v>
      </c>
      <c r="E1654" s="112" t="s">
        <v>16</v>
      </c>
      <c r="F1654" s="109" t="s">
        <v>3240</v>
      </c>
      <c r="G1654" s="111" t="s">
        <v>2366</v>
      </c>
    </row>
    <row r="1655" customFormat="false" ht="23.85" hidden="false" customHeight="false" outlineLevel="0" collapsed="false">
      <c r="A1655" s="109" t="s">
        <v>105</v>
      </c>
      <c r="B1655" s="109" t="s">
        <v>112</v>
      </c>
      <c r="C1655" s="109" t="s">
        <v>675</v>
      </c>
      <c r="D1655" s="109" t="s">
        <v>47</v>
      </c>
      <c r="E1655" s="112" t="s">
        <v>16</v>
      </c>
      <c r="F1655" s="109" t="s">
        <v>3241</v>
      </c>
      <c r="G1655" s="111" t="s">
        <v>1310</v>
      </c>
    </row>
    <row r="1656" customFormat="false" ht="15" hidden="false" customHeight="false" outlineLevel="0" collapsed="false">
      <c r="A1656" s="109" t="s">
        <v>105</v>
      </c>
      <c r="B1656" s="109" t="s">
        <v>112</v>
      </c>
      <c r="C1656" s="109" t="s">
        <v>675</v>
      </c>
      <c r="D1656" s="109" t="s">
        <v>51</v>
      </c>
      <c r="E1656" s="112" t="s">
        <v>16</v>
      </c>
      <c r="F1656" s="109" t="s">
        <v>3242</v>
      </c>
      <c r="G1656" s="111" t="s">
        <v>1232</v>
      </c>
    </row>
    <row r="1657" customFormat="false" ht="15" hidden="false" customHeight="false" outlineLevel="0" collapsed="false">
      <c r="A1657" s="109" t="s">
        <v>105</v>
      </c>
      <c r="B1657" s="109" t="s">
        <v>112</v>
      </c>
      <c r="C1657" s="109" t="s">
        <v>675</v>
      </c>
      <c r="D1657" s="109" t="s">
        <v>55</v>
      </c>
      <c r="E1657" s="112" t="s">
        <v>16</v>
      </c>
      <c r="F1657" s="109" t="s">
        <v>3243</v>
      </c>
      <c r="G1657" s="111" t="s">
        <v>1586</v>
      </c>
    </row>
    <row r="1658" customFormat="false" ht="23.85" hidden="false" customHeight="false" outlineLevel="0" collapsed="false">
      <c r="A1658" s="109" t="s">
        <v>105</v>
      </c>
      <c r="B1658" s="109" t="s">
        <v>112</v>
      </c>
      <c r="C1658" s="109" t="s">
        <v>675</v>
      </c>
      <c r="D1658" s="109" t="s">
        <v>59</v>
      </c>
      <c r="E1658" s="112" t="s">
        <v>16</v>
      </c>
      <c r="F1658" s="109" t="s">
        <v>3244</v>
      </c>
      <c r="G1658" s="111" t="s">
        <v>1138</v>
      </c>
    </row>
    <row r="1659" customFormat="false" ht="23.85" hidden="false" customHeight="false" outlineLevel="0" collapsed="false">
      <c r="A1659" s="109" t="s">
        <v>105</v>
      </c>
      <c r="B1659" s="109" t="s">
        <v>112</v>
      </c>
      <c r="C1659" s="109" t="s">
        <v>675</v>
      </c>
      <c r="D1659" s="109" t="s">
        <v>63</v>
      </c>
      <c r="E1659" s="112" t="s">
        <v>16</v>
      </c>
      <c r="F1659" s="109" t="s">
        <v>3245</v>
      </c>
      <c r="G1659" s="111" t="s">
        <v>3246</v>
      </c>
    </row>
    <row r="1660" customFormat="false" ht="15" hidden="false" customHeight="false" outlineLevel="0" collapsed="false">
      <c r="A1660" s="109" t="s">
        <v>105</v>
      </c>
      <c r="B1660" s="109" t="s">
        <v>112</v>
      </c>
      <c r="C1660" s="109" t="s">
        <v>675</v>
      </c>
      <c r="D1660" s="109" t="s">
        <v>67</v>
      </c>
      <c r="E1660" s="114" t="s">
        <v>22</v>
      </c>
      <c r="F1660" s="109" t="s">
        <v>3247</v>
      </c>
      <c r="G1660" s="111" t="s">
        <v>2123</v>
      </c>
    </row>
    <row r="1661" customFormat="false" ht="15" hidden="false" customHeight="false" outlineLevel="0" collapsed="false">
      <c r="A1661" s="109" t="s">
        <v>105</v>
      </c>
      <c r="B1661" s="109" t="s">
        <v>112</v>
      </c>
      <c r="C1661" s="109" t="s">
        <v>675</v>
      </c>
      <c r="D1661" s="109" t="s">
        <v>71</v>
      </c>
      <c r="E1661" s="114" t="s">
        <v>22</v>
      </c>
      <c r="F1661" s="109" t="s">
        <v>3248</v>
      </c>
      <c r="G1661" s="111" t="s">
        <v>884</v>
      </c>
    </row>
    <row r="1662" customFormat="false" ht="15" hidden="false" customHeight="false" outlineLevel="0" collapsed="false">
      <c r="A1662" s="109" t="s">
        <v>105</v>
      </c>
      <c r="B1662" s="109" t="s">
        <v>113</v>
      </c>
      <c r="C1662" s="109" t="s">
        <v>677</v>
      </c>
      <c r="D1662" s="109" t="s">
        <v>35</v>
      </c>
      <c r="E1662" s="110" t="s">
        <v>18</v>
      </c>
      <c r="F1662" s="109" t="s">
        <v>3249</v>
      </c>
      <c r="G1662" s="111" t="s">
        <v>3250</v>
      </c>
    </row>
    <row r="1663" customFormat="false" ht="23.85" hidden="false" customHeight="false" outlineLevel="0" collapsed="false">
      <c r="A1663" s="109" t="s">
        <v>105</v>
      </c>
      <c r="B1663" s="109" t="s">
        <v>113</v>
      </c>
      <c r="C1663" s="109" t="s">
        <v>677</v>
      </c>
      <c r="D1663" s="109" t="s">
        <v>39</v>
      </c>
      <c r="E1663" s="112" t="s">
        <v>16</v>
      </c>
      <c r="F1663" s="109" t="s">
        <v>3251</v>
      </c>
      <c r="G1663" s="111" t="s">
        <v>2111</v>
      </c>
    </row>
    <row r="1664" customFormat="false" ht="23.85" hidden="false" customHeight="false" outlineLevel="0" collapsed="false">
      <c r="A1664" s="109" t="s">
        <v>105</v>
      </c>
      <c r="B1664" s="109" t="s">
        <v>113</v>
      </c>
      <c r="C1664" s="109" t="s">
        <v>677</v>
      </c>
      <c r="D1664" s="109" t="s">
        <v>43</v>
      </c>
      <c r="E1664" s="112" t="s">
        <v>16</v>
      </c>
      <c r="F1664" s="109" t="s">
        <v>3252</v>
      </c>
      <c r="G1664" s="111" t="s">
        <v>3253</v>
      </c>
    </row>
    <row r="1665" customFormat="false" ht="15" hidden="false" customHeight="false" outlineLevel="0" collapsed="false">
      <c r="A1665" s="109" t="s">
        <v>105</v>
      </c>
      <c r="B1665" s="109" t="s">
        <v>113</v>
      </c>
      <c r="C1665" s="109" t="s">
        <v>677</v>
      </c>
      <c r="D1665" s="109" t="s">
        <v>47</v>
      </c>
      <c r="E1665" s="110" t="s">
        <v>18</v>
      </c>
      <c r="F1665" s="109" t="s">
        <v>3254</v>
      </c>
      <c r="G1665" s="111" t="s">
        <v>3255</v>
      </c>
    </row>
    <row r="1666" customFormat="false" ht="15" hidden="false" customHeight="false" outlineLevel="0" collapsed="false">
      <c r="A1666" s="109" t="s">
        <v>105</v>
      </c>
      <c r="B1666" s="109" t="s">
        <v>113</v>
      </c>
      <c r="C1666" s="109" t="s">
        <v>677</v>
      </c>
      <c r="D1666" s="109" t="s">
        <v>51</v>
      </c>
      <c r="E1666" s="112" t="s">
        <v>16</v>
      </c>
      <c r="F1666" s="109" t="s">
        <v>3256</v>
      </c>
      <c r="G1666" s="111" t="s">
        <v>3257</v>
      </c>
    </row>
    <row r="1667" customFormat="false" ht="15" hidden="false" customHeight="false" outlineLevel="0" collapsed="false">
      <c r="A1667" s="109" t="s">
        <v>105</v>
      </c>
      <c r="B1667" s="109" t="s">
        <v>113</v>
      </c>
      <c r="C1667" s="109" t="s">
        <v>677</v>
      </c>
      <c r="D1667" s="109" t="s">
        <v>55</v>
      </c>
      <c r="E1667" s="112" t="s">
        <v>16</v>
      </c>
      <c r="F1667" s="109" t="s">
        <v>3258</v>
      </c>
      <c r="G1667" s="111" t="s">
        <v>1368</v>
      </c>
    </row>
    <row r="1668" customFormat="false" ht="15" hidden="false" customHeight="false" outlineLevel="0" collapsed="false">
      <c r="A1668" s="109" t="s">
        <v>105</v>
      </c>
      <c r="B1668" s="109" t="s">
        <v>113</v>
      </c>
      <c r="C1668" s="109" t="s">
        <v>677</v>
      </c>
      <c r="D1668" s="109" t="s">
        <v>59</v>
      </c>
      <c r="E1668" s="112" t="s">
        <v>16</v>
      </c>
      <c r="F1668" s="109" t="s">
        <v>3259</v>
      </c>
      <c r="G1668" s="111" t="s">
        <v>3109</v>
      </c>
    </row>
    <row r="1669" customFormat="false" ht="23.85" hidden="false" customHeight="false" outlineLevel="0" collapsed="false">
      <c r="A1669" s="109" t="s">
        <v>105</v>
      </c>
      <c r="B1669" s="109" t="s">
        <v>113</v>
      </c>
      <c r="C1669" s="109" t="s">
        <v>677</v>
      </c>
      <c r="D1669" s="109" t="s">
        <v>63</v>
      </c>
      <c r="E1669" s="112" t="s">
        <v>16</v>
      </c>
      <c r="F1669" s="109" t="s">
        <v>3260</v>
      </c>
      <c r="G1669" s="111" t="s">
        <v>2851</v>
      </c>
    </row>
    <row r="1670" customFormat="false" ht="15" hidden="false" customHeight="false" outlineLevel="0" collapsed="false">
      <c r="A1670" s="109" t="s">
        <v>105</v>
      </c>
      <c r="B1670" s="109" t="s">
        <v>113</v>
      </c>
      <c r="C1670" s="109" t="s">
        <v>677</v>
      </c>
      <c r="D1670" s="109" t="s">
        <v>67</v>
      </c>
      <c r="E1670" s="112" t="s">
        <v>16</v>
      </c>
      <c r="F1670" s="109" t="s">
        <v>3261</v>
      </c>
      <c r="G1670" s="111" t="s">
        <v>3262</v>
      </c>
    </row>
    <row r="1671" customFormat="false" ht="15" hidden="false" customHeight="false" outlineLevel="0" collapsed="false">
      <c r="A1671" s="109" t="s">
        <v>105</v>
      </c>
      <c r="B1671" s="109" t="s">
        <v>113</v>
      </c>
      <c r="C1671" s="109" t="s">
        <v>677</v>
      </c>
      <c r="D1671" s="109" t="s">
        <v>71</v>
      </c>
      <c r="E1671" s="112" t="s">
        <v>16</v>
      </c>
      <c r="F1671" s="109" t="s">
        <v>3263</v>
      </c>
      <c r="G1671" s="111" t="s">
        <v>2310</v>
      </c>
    </row>
    <row r="1672" customFormat="false" ht="15" hidden="false" customHeight="false" outlineLevel="0" collapsed="false">
      <c r="A1672" s="109" t="s">
        <v>105</v>
      </c>
      <c r="B1672" s="109" t="s">
        <v>113</v>
      </c>
      <c r="C1672" s="109" t="s">
        <v>679</v>
      </c>
      <c r="D1672" s="109" t="s">
        <v>35</v>
      </c>
      <c r="E1672" s="110" t="s">
        <v>18</v>
      </c>
      <c r="F1672" s="109" t="s">
        <v>3264</v>
      </c>
      <c r="G1672" s="111" t="s">
        <v>3265</v>
      </c>
    </row>
    <row r="1673" customFormat="false" ht="23.85" hidden="false" customHeight="false" outlineLevel="0" collapsed="false">
      <c r="A1673" s="109" t="s">
        <v>105</v>
      </c>
      <c r="B1673" s="109" t="s">
        <v>113</v>
      </c>
      <c r="C1673" s="109" t="s">
        <v>679</v>
      </c>
      <c r="D1673" s="109" t="s">
        <v>39</v>
      </c>
      <c r="E1673" s="115" t="s">
        <v>20</v>
      </c>
      <c r="F1673" s="109" t="s">
        <v>3266</v>
      </c>
      <c r="G1673" s="111" t="s">
        <v>3267</v>
      </c>
    </row>
    <row r="1674" customFormat="false" ht="23.85" hidden="false" customHeight="false" outlineLevel="0" collapsed="false">
      <c r="A1674" s="109" t="s">
        <v>105</v>
      </c>
      <c r="B1674" s="109" t="s">
        <v>113</v>
      </c>
      <c r="C1674" s="109" t="s">
        <v>679</v>
      </c>
      <c r="D1674" s="109" t="s">
        <v>43</v>
      </c>
      <c r="E1674" s="110" t="s">
        <v>18</v>
      </c>
      <c r="F1674" s="109" t="s">
        <v>3268</v>
      </c>
      <c r="G1674" s="111" t="s">
        <v>3269</v>
      </c>
    </row>
    <row r="1675" customFormat="false" ht="23.85" hidden="false" customHeight="false" outlineLevel="0" collapsed="false">
      <c r="A1675" s="109" t="s">
        <v>105</v>
      </c>
      <c r="B1675" s="109" t="s">
        <v>113</v>
      </c>
      <c r="C1675" s="109" t="s">
        <v>679</v>
      </c>
      <c r="D1675" s="109" t="s">
        <v>47</v>
      </c>
      <c r="E1675" s="110" t="s">
        <v>18</v>
      </c>
      <c r="F1675" s="109" t="s">
        <v>3270</v>
      </c>
      <c r="G1675" s="111" t="s">
        <v>3255</v>
      </c>
    </row>
    <row r="1676" customFormat="false" ht="15" hidden="false" customHeight="false" outlineLevel="0" collapsed="false">
      <c r="A1676" s="109" t="s">
        <v>105</v>
      </c>
      <c r="B1676" s="109" t="s">
        <v>113</v>
      </c>
      <c r="C1676" s="109" t="s">
        <v>679</v>
      </c>
      <c r="D1676" s="109" t="s">
        <v>51</v>
      </c>
      <c r="E1676" s="112" t="s">
        <v>16</v>
      </c>
      <c r="F1676" s="109" t="s">
        <v>3271</v>
      </c>
      <c r="G1676" s="111" t="s">
        <v>3257</v>
      </c>
    </row>
    <row r="1677" customFormat="false" ht="23.85" hidden="false" customHeight="false" outlineLevel="0" collapsed="false">
      <c r="A1677" s="109" t="s">
        <v>105</v>
      </c>
      <c r="B1677" s="109" t="s">
        <v>113</v>
      </c>
      <c r="C1677" s="109" t="s">
        <v>679</v>
      </c>
      <c r="D1677" s="109" t="s">
        <v>55</v>
      </c>
      <c r="E1677" s="112" t="s">
        <v>16</v>
      </c>
      <c r="F1677" s="109" t="s">
        <v>3272</v>
      </c>
      <c r="G1677" s="111" t="s">
        <v>1368</v>
      </c>
    </row>
    <row r="1678" customFormat="false" ht="15" hidden="false" customHeight="false" outlineLevel="0" collapsed="false">
      <c r="A1678" s="109" t="s">
        <v>105</v>
      </c>
      <c r="B1678" s="109" t="s">
        <v>113</v>
      </c>
      <c r="C1678" s="109" t="s">
        <v>679</v>
      </c>
      <c r="D1678" s="109" t="s">
        <v>59</v>
      </c>
      <c r="E1678" s="110" t="s">
        <v>18</v>
      </c>
      <c r="F1678" s="109" t="s">
        <v>3273</v>
      </c>
      <c r="G1678" s="111" t="s">
        <v>3274</v>
      </c>
    </row>
    <row r="1679" customFormat="false" ht="23.85" hidden="false" customHeight="false" outlineLevel="0" collapsed="false">
      <c r="A1679" s="109" t="s">
        <v>105</v>
      </c>
      <c r="B1679" s="109" t="s">
        <v>113</v>
      </c>
      <c r="C1679" s="109" t="s">
        <v>679</v>
      </c>
      <c r="D1679" s="109" t="s">
        <v>63</v>
      </c>
      <c r="E1679" s="114" t="s">
        <v>22</v>
      </c>
      <c r="F1679" s="109" t="s">
        <v>3275</v>
      </c>
      <c r="G1679" s="111" t="s">
        <v>3276</v>
      </c>
    </row>
    <row r="1680" customFormat="false" ht="15" hidden="false" customHeight="false" outlineLevel="0" collapsed="false">
      <c r="A1680" s="109" t="s">
        <v>105</v>
      </c>
      <c r="B1680" s="109" t="s">
        <v>113</v>
      </c>
      <c r="C1680" s="109" t="s">
        <v>679</v>
      </c>
      <c r="D1680" s="109" t="s">
        <v>67</v>
      </c>
      <c r="E1680" s="112" t="s">
        <v>16</v>
      </c>
      <c r="F1680" s="109" t="s">
        <v>3277</v>
      </c>
      <c r="G1680" s="111" t="s">
        <v>3262</v>
      </c>
    </row>
    <row r="1681" customFormat="false" ht="15" hidden="false" customHeight="false" outlineLevel="0" collapsed="false">
      <c r="A1681" s="109" t="s">
        <v>105</v>
      </c>
      <c r="B1681" s="109" t="s">
        <v>113</v>
      </c>
      <c r="C1681" s="109" t="s">
        <v>679</v>
      </c>
      <c r="D1681" s="109" t="s">
        <v>71</v>
      </c>
      <c r="E1681" s="114" t="s">
        <v>22</v>
      </c>
      <c r="F1681" s="109" t="s">
        <v>3278</v>
      </c>
      <c r="G1681" s="111" t="s">
        <v>3279</v>
      </c>
    </row>
    <row r="1682" customFormat="false" ht="15" hidden="false" customHeight="false" outlineLevel="0" collapsed="false">
      <c r="A1682" s="109" t="s">
        <v>105</v>
      </c>
      <c r="B1682" s="109" t="s">
        <v>113</v>
      </c>
      <c r="C1682" s="109" t="s">
        <v>681</v>
      </c>
      <c r="D1682" s="109" t="s">
        <v>35</v>
      </c>
      <c r="E1682" s="114" t="s">
        <v>22</v>
      </c>
      <c r="F1682" s="109" t="s">
        <v>3280</v>
      </c>
      <c r="G1682" s="111" t="s">
        <v>3281</v>
      </c>
    </row>
    <row r="1683" customFormat="false" ht="23.85" hidden="false" customHeight="false" outlineLevel="0" collapsed="false">
      <c r="A1683" s="109" t="s">
        <v>105</v>
      </c>
      <c r="B1683" s="109" t="s">
        <v>113</v>
      </c>
      <c r="C1683" s="109" t="s">
        <v>681</v>
      </c>
      <c r="D1683" s="109" t="s">
        <v>39</v>
      </c>
      <c r="E1683" s="112" t="s">
        <v>16</v>
      </c>
      <c r="F1683" s="109" t="s">
        <v>3282</v>
      </c>
      <c r="G1683" s="111" t="s">
        <v>3283</v>
      </c>
    </row>
    <row r="1684" customFormat="false" ht="15" hidden="false" customHeight="false" outlineLevel="0" collapsed="false">
      <c r="A1684" s="109" t="s">
        <v>105</v>
      </c>
      <c r="B1684" s="109" t="s">
        <v>113</v>
      </c>
      <c r="C1684" s="109" t="s">
        <v>681</v>
      </c>
      <c r="D1684" s="109" t="s">
        <v>43</v>
      </c>
      <c r="E1684" s="112" t="s">
        <v>16</v>
      </c>
      <c r="F1684" s="109" t="s">
        <v>3284</v>
      </c>
      <c r="G1684" s="111" t="s">
        <v>2859</v>
      </c>
    </row>
    <row r="1685" customFormat="false" ht="23.85" hidden="false" customHeight="false" outlineLevel="0" collapsed="false">
      <c r="A1685" s="109" t="s">
        <v>105</v>
      </c>
      <c r="B1685" s="109" t="s">
        <v>113</v>
      </c>
      <c r="C1685" s="109" t="s">
        <v>681</v>
      </c>
      <c r="D1685" s="109" t="s">
        <v>47</v>
      </c>
      <c r="E1685" s="113" t="s">
        <v>24</v>
      </c>
      <c r="F1685" s="109" t="s">
        <v>3285</v>
      </c>
      <c r="G1685" s="109"/>
    </row>
    <row r="1686" customFormat="false" ht="15" hidden="false" customHeight="false" outlineLevel="0" collapsed="false">
      <c r="A1686" s="109" t="s">
        <v>105</v>
      </c>
      <c r="B1686" s="109" t="s">
        <v>113</v>
      </c>
      <c r="C1686" s="109" t="s">
        <v>681</v>
      </c>
      <c r="D1686" s="109" t="s">
        <v>51</v>
      </c>
      <c r="E1686" s="112" t="s">
        <v>16</v>
      </c>
      <c r="F1686" s="109" t="s">
        <v>3286</v>
      </c>
      <c r="G1686" s="111" t="s">
        <v>3257</v>
      </c>
    </row>
    <row r="1687" customFormat="false" ht="15" hidden="false" customHeight="false" outlineLevel="0" collapsed="false">
      <c r="A1687" s="109" t="s">
        <v>105</v>
      </c>
      <c r="B1687" s="109" t="s">
        <v>113</v>
      </c>
      <c r="C1687" s="109" t="s">
        <v>681</v>
      </c>
      <c r="D1687" s="109" t="s">
        <v>55</v>
      </c>
      <c r="E1687" s="112" t="s">
        <v>16</v>
      </c>
      <c r="F1687" s="109" t="s">
        <v>3287</v>
      </c>
      <c r="G1687" s="111" t="s">
        <v>3288</v>
      </c>
    </row>
    <row r="1688" customFormat="false" ht="15" hidden="false" customHeight="false" outlineLevel="0" collapsed="false">
      <c r="A1688" s="109" t="s">
        <v>105</v>
      </c>
      <c r="B1688" s="109" t="s">
        <v>113</v>
      </c>
      <c r="C1688" s="109" t="s">
        <v>681</v>
      </c>
      <c r="D1688" s="109" t="s">
        <v>59</v>
      </c>
      <c r="E1688" s="113" t="s">
        <v>24</v>
      </c>
      <c r="F1688" s="109" t="s">
        <v>3289</v>
      </c>
      <c r="G1688" s="109"/>
    </row>
    <row r="1689" customFormat="false" ht="15" hidden="false" customHeight="false" outlineLevel="0" collapsed="false">
      <c r="A1689" s="109" t="s">
        <v>105</v>
      </c>
      <c r="B1689" s="109" t="s">
        <v>113</v>
      </c>
      <c r="C1689" s="109" t="s">
        <v>681</v>
      </c>
      <c r="D1689" s="109" t="s">
        <v>63</v>
      </c>
      <c r="E1689" s="112" t="s">
        <v>16</v>
      </c>
      <c r="F1689" s="109" t="s">
        <v>3290</v>
      </c>
      <c r="G1689" s="111" t="s">
        <v>2851</v>
      </c>
    </row>
    <row r="1690" customFormat="false" ht="15" hidden="false" customHeight="false" outlineLevel="0" collapsed="false">
      <c r="A1690" s="109" t="s">
        <v>105</v>
      </c>
      <c r="B1690" s="109" t="s">
        <v>113</v>
      </c>
      <c r="C1690" s="109" t="s">
        <v>681</v>
      </c>
      <c r="D1690" s="109" t="s">
        <v>67</v>
      </c>
      <c r="E1690" s="112" t="s">
        <v>16</v>
      </c>
      <c r="F1690" s="109" t="s">
        <v>3291</v>
      </c>
      <c r="G1690" s="111" t="s">
        <v>3262</v>
      </c>
    </row>
    <row r="1691" customFormat="false" ht="15" hidden="false" customHeight="false" outlineLevel="0" collapsed="false">
      <c r="A1691" s="109" t="s">
        <v>105</v>
      </c>
      <c r="B1691" s="109" t="s">
        <v>113</v>
      </c>
      <c r="C1691" s="109" t="s">
        <v>681</v>
      </c>
      <c r="D1691" s="109" t="s">
        <v>71</v>
      </c>
      <c r="E1691" s="112" t="s">
        <v>16</v>
      </c>
      <c r="F1691" s="109" t="s">
        <v>3292</v>
      </c>
      <c r="G1691" s="111" t="s">
        <v>1990</v>
      </c>
    </row>
    <row r="1692" customFormat="false" ht="23.85" hidden="false" customHeight="false" outlineLevel="0" collapsed="false">
      <c r="A1692" s="109" t="s">
        <v>105</v>
      </c>
      <c r="B1692" s="109" t="s">
        <v>113</v>
      </c>
      <c r="C1692" s="109" t="s">
        <v>682</v>
      </c>
      <c r="D1692" s="109" t="s">
        <v>35</v>
      </c>
      <c r="E1692" s="114" t="s">
        <v>22</v>
      </c>
      <c r="F1692" s="109" t="s">
        <v>3293</v>
      </c>
      <c r="G1692" s="111" t="s">
        <v>3294</v>
      </c>
    </row>
    <row r="1693" customFormat="false" ht="23.85" hidden="false" customHeight="false" outlineLevel="0" collapsed="false">
      <c r="A1693" s="109" t="s">
        <v>105</v>
      </c>
      <c r="B1693" s="109" t="s">
        <v>113</v>
      </c>
      <c r="C1693" s="109" t="s">
        <v>682</v>
      </c>
      <c r="D1693" s="109" t="s">
        <v>39</v>
      </c>
      <c r="E1693" s="114" t="s">
        <v>22</v>
      </c>
      <c r="F1693" s="109" t="s">
        <v>3295</v>
      </c>
      <c r="G1693" s="111" t="s">
        <v>3296</v>
      </c>
    </row>
    <row r="1694" customFormat="false" ht="15" hidden="false" customHeight="false" outlineLevel="0" collapsed="false">
      <c r="A1694" s="109" t="s">
        <v>105</v>
      </c>
      <c r="B1694" s="109" t="s">
        <v>113</v>
      </c>
      <c r="C1694" s="109" t="s">
        <v>682</v>
      </c>
      <c r="D1694" s="109" t="s">
        <v>43</v>
      </c>
      <c r="E1694" s="114" t="s">
        <v>22</v>
      </c>
      <c r="F1694" s="109" t="s">
        <v>3297</v>
      </c>
      <c r="G1694" s="111" t="s">
        <v>3298</v>
      </c>
    </row>
    <row r="1695" customFormat="false" ht="15" hidden="false" customHeight="false" outlineLevel="0" collapsed="false">
      <c r="A1695" s="109" t="s">
        <v>105</v>
      </c>
      <c r="B1695" s="109" t="s">
        <v>113</v>
      </c>
      <c r="C1695" s="109" t="s">
        <v>682</v>
      </c>
      <c r="D1695" s="109" t="s">
        <v>47</v>
      </c>
      <c r="E1695" s="113" t="s">
        <v>24</v>
      </c>
      <c r="F1695" s="109" t="s">
        <v>3299</v>
      </c>
      <c r="G1695" s="109"/>
    </row>
    <row r="1696" customFormat="false" ht="15" hidden="false" customHeight="false" outlineLevel="0" collapsed="false">
      <c r="A1696" s="109" t="s">
        <v>105</v>
      </c>
      <c r="B1696" s="109" t="s">
        <v>113</v>
      </c>
      <c r="C1696" s="109" t="s">
        <v>682</v>
      </c>
      <c r="D1696" s="109" t="s">
        <v>51</v>
      </c>
      <c r="E1696" s="114" t="s">
        <v>22</v>
      </c>
      <c r="F1696" s="109" t="s">
        <v>3300</v>
      </c>
      <c r="G1696" s="109"/>
    </row>
    <row r="1697" customFormat="false" ht="15" hidden="false" customHeight="false" outlineLevel="0" collapsed="false">
      <c r="A1697" s="109" t="s">
        <v>105</v>
      </c>
      <c r="B1697" s="109" t="s">
        <v>113</v>
      </c>
      <c r="C1697" s="109" t="s">
        <v>682</v>
      </c>
      <c r="D1697" s="109" t="s">
        <v>55</v>
      </c>
      <c r="E1697" s="112" t="s">
        <v>16</v>
      </c>
      <c r="F1697" s="109" t="s">
        <v>3301</v>
      </c>
      <c r="G1697" s="111" t="s">
        <v>1368</v>
      </c>
    </row>
    <row r="1698" customFormat="false" ht="15" hidden="false" customHeight="false" outlineLevel="0" collapsed="false">
      <c r="A1698" s="109" t="s">
        <v>105</v>
      </c>
      <c r="B1698" s="109" t="s">
        <v>113</v>
      </c>
      <c r="C1698" s="109" t="s">
        <v>682</v>
      </c>
      <c r="D1698" s="109" t="s">
        <v>59</v>
      </c>
      <c r="E1698" s="113" t="s">
        <v>24</v>
      </c>
      <c r="F1698" s="109" t="s">
        <v>3302</v>
      </c>
      <c r="G1698" s="111" t="s">
        <v>842</v>
      </c>
    </row>
    <row r="1699" customFormat="false" ht="15" hidden="false" customHeight="false" outlineLevel="0" collapsed="false">
      <c r="A1699" s="109" t="s">
        <v>105</v>
      </c>
      <c r="B1699" s="109" t="s">
        <v>113</v>
      </c>
      <c r="C1699" s="109" t="s">
        <v>682</v>
      </c>
      <c r="D1699" s="109" t="s">
        <v>63</v>
      </c>
      <c r="E1699" s="114" t="s">
        <v>22</v>
      </c>
      <c r="F1699" s="109" t="s">
        <v>3303</v>
      </c>
      <c r="G1699" s="111" t="s">
        <v>2444</v>
      </c>
    </row>
    <row r="1700" customFormat="false" ht="15" hidden="false" customHeight="false" outlineLevel="0" collapsed="false">
      <c r="A1700" s="109" t="s">
        <v>105</v>
      </c>
      <c r="B1700" s="109" t="s">
        <v>113</v>
      </c>
      <c r="C1700" s="109" t="s">
        <v>682</v>
      </c>
      <c r="D1700" s="109" t="s">
        <v>67</v>
      </c>
      <c r="E1700" s="112" t="s">
        <v>16</v>
      </c>
      <c r="F1700" s="109" t="s">
        <v>3304</v>
      </c>
      <c r="G1700" s="111" t="s">
        <v>1684</v>
      </c>
    </row>
    <row r="1701" customFormat="false" ht="15" hidden="false" customHeight="false" outlineLevel="0" collapsed="false">
      <c r="A1701" s="109" t="s">
        <v>105</v>
      </c>
      <c r="B1701" s="109" t="s">
        <v>113</v>
      </c>
      <c r="C1701" s="109" t="s">
        <v>682</v>
      </c>
      <c r="D1701" s="109" t="s">
        <v>71</v>
      </c>
      <c r="E1701" s="112" t="s">
        <v>16</v>
      </c>
      <c r="F1701" s="109" t="s">
        <v>3305</v>
      </c>
      <c r="G1701" s="111" t="s">
        <v>3306</v>
      </c>
    </row>
    <row r="1702" customFormat="false" ht="23.85" hidden="false" customHeight="false" outlineLevel="0" collapsed="false">
      <c r="A1702" s="109" t="s">
        <v>105</v>
      </c>
      <c r="B1702" s="109" t="s">
        <v>113</v>
      </c>
      <c r="C1702" s="109" t="s">
        <v>684</v>
      </c>
      <c r="D1702" s="109" t="s">
        <v>35</v>
      </c>
      <c r="E1702" s="110" t="s">
        <v>18</v>
      </c>
      <c r="F1702" s="109" t="s">
        <v>3307</v>
      </c>
      <c r="G1702" s="111" t="s">
        <v>3308</v>
      </c>
    </row>
    <row r="1703" customFormat="false" ht="15" hidden="false" customHeight="false" outlineLevel="0" collapsed="false">
      <c r="A1703" s="109" t="s">
        <v>105</v>
      </c>
      <c r="B1703" s="109" t="s">
        <v>113</v>
      </c>
      <c r="C1703" s="109" t="s">
        <v>684</v>
      </c>
      <c r="D1703" s="109" t="s">
        <v>39</v>
      </c>
      <c r="E1703" s="112" t="s">
        <v>16</v>
      </c>
      <c r="F1703" s="109" t="s">
        <v>3309</v>
      </c>
      <c r="G1703" s="111" t="s">
        <v>3310</v>
      </c>
    </row>
    <row r="1704" customFormat="false" ht="15" hidden="false" customHeight="false" outlineLevel="0" collapsed="false">
      <c r="A1704" s="109" t="s">
        <v>105</v>
      </c>
      <c r="B1704" s="109" t="s">
        <v>113</v>
      </c>
      <c r="C1704" s="109" t="s">
        <v>684</v>
      </c>
      <c r="D1704" s="109" t="s">
        <v>43</v>
      </c>
      <c r="E1704" s="112" t="s">
        <v>16</v>
      </c>
      <c r="F1704" s="109" t="s">
        <v>3311</v>
      </c>
      <c r="G1704" s="111" t="s">
        <v>3312</v>
      </c>
    </row>
    <row r="1705" customFormat="false" ht="15" hidden="false" customHeight="false" outlineLevel="0" collapsed="false">
      <c r="A1705" s="109" t="s">
        <v>105</v>
      </c>
      <c r="B1705" s="109" t="s">
        <v>113</v>
      </c>
      <c r="C1705" s="109" t="s">
        <v>684</v>
      </c>
      <c r="D1705" s="109" t="s">
        <v>47</v>
      </c>
      <c r="E1705" s="113" t="s">
        <v>24</v>
      </c>
      <c r="F1705" s="109" t="s">
        <v>3313</v>
      </c>
      <c r="G1705" s="109"/>
    </row>
    <row r="1706" customFormat="false" ht="15" hidden="false" customHeight="false" outlineLevel="0" collapsed="false">
      <c r="A1706" s="109" t="s">
        <v>105</v>
      </c>
      <c r="B1706" s="109" t="s">
        <v>113</v>
      </c>
      <c r="C1706" s="109" t="s">
        <v>684</v>
      </c>
      <c r="D1706" s="109" t="s">
        <v>51</v>
      </c>
      <c r="E1706" s="112" t="s">
        <v>16</v>
      </c>
      <c r="F1706" s="109" t="s">
        <v>3314</v>
      </c>
      <c r="G1706" s="111" t="s">
        <v>3315</v>
      </c>
    </row>
    <row r="1707" customFormat="false" ht="15" hidden="false" customHeight="false" outlineLevel="0" collapsed="false">
      <c r="A1707" s="109" t="s">
        <v>105</v>
      </c>
      <c r="B1707" s="109" t="s">
        <v>113</v>
      </c>
      <c r="C1707" s="109" t="s">
        <v>684</v>
      </c>
      <c r="D1707" s="109" t="s">
        <v>55</v>
      </c>
      <c r="E1707" s="112" t="s">
        <v>16</v>
      </c>
      <c r="F1707" s="109" t="s">
        <v>3316</v>
      </c>
      <c r="G1707" s="111" t="s">
        <v>3317</v>
      </c>
    </row>
    <row r="1708" customFormat="false" ht="23.85" hidden="false" customHeight="false" outlineLevel="0" collapsed="false">
      <c r="A1708" s="109" t="s">
        <v>105</v>
      </c>
      <c r="B1708" s="109" t="s">
        <v>113</v>
      </c>
      <c r="C1708" s="109" t="s">
        <v>684</v>
      </c>
      <c r="D1708" s="109" t="s">
        <v>59</v>
      </c>
      <c r="E1708" s="114" t="s">
        <v>22</v>
      </c>
      <c r="F1708" s="109" t="s">
        <v>3318</v>
      </c>
      <c r="G1708" s="111" t="s">
        <v>3319</v>
      </c>
    </row>
    <row r="1709" customFormat="false" ht="15" hidden="false" customHeight="false" outlineLevel="0" collapsed="false">
      <c r="A1709" s="109" t="s">
        <v>105</v>
      </c>
      <c r="B1709" s="109" t="s">
        <v>113</v>
      </c>
      <c r="C1709" s="109" t="s">
        <v>684</v>
      </c>
      <c r="D1709" s="109" t="s">
        <v>63</v>
      </c>
      <c r="E1709" s="114" t="s">
        <v>22</v>
      </c>
      <c r="F1709" s="109" t="s">
        <v>3320</v>
      </c>
      <c r="G1709" s="111" t="s">
        <v>2444</v>
      </c>
    </row>
    <row r="1710" customFormat="false" ht="23.85" hidden="false" customHeight="false" outlineLevel="0" collapsed="false">
      <c r="A1710" s="109" t="s">
        <v>105</v>
      </c>
      <c r="B1710" s="109" t="s">
        <v>113</v>
      </c>
      <c r="C1710" s="109" t="s">
        <v>684</v>
      </c>
      <c r="D1710" s="109" t="s">
        <v>67</v>
      </c>
      <c r="E1710" s="114" t="s">
        <v>22</v>
      </c>
      <c r="F1710" s="109" t="s">
        <v>3321</v>
      </c>
      <c r="G1710" s="111" t="s">
        <v>3322</v>
      </c>
    </row>
    <row r="1711" customFormat="false" ht="15" hidden="false" customHeight="false" outlineLevel="0" collapsed="false">
      <c r="A1711" s="109" t="s">
        <v>105</v>
      </c>
      <c r="B1711" s="109" t="s">
        <v>113</v>
      </c>
      <c r="C1711" s="109" t="s">
        <v>684</v>
      </c>
      <c r="D1711" s="109" t="s">
        <v>71</v>
      </c>
      <c r="E1711" s="114" t="s">
        <v>22</v>
      </c>
      <c r="F1711" s="109" t="s">
        <v>3323</v>
      </c>
      <c r="G1711" s="111" t="s">
        <v>3324</v>
      </c>
    </row>
    <row r="1712" customFormat="false" ht="23.85" hidden="false" customHeight="false" outlineLevel="0" collapsed="false">
      <c r="A1712" s="109" t="s">
        <v>105</v>
      </c>
      <c r="B1712" s="109" t="s">
        <v>113</v>
      </c>
      <c r="C1712" s="109" t="s">
        <v>686</v>
      </c>
      <c r="D1712" s="109" t="s">
        <v>35</v>
      </c>
      <c r="E1712" s="114" t="s">
        <v>22</v>
      </c>
      <c r="F1712" s="109" t="s">
        <v>3325</v>
      </c>
      <c r="G1712" s="111" t="s">
        <v>3326</v>
      </c>
    </row>
    <row r="1713" customFormat="false" ht="15" hidden="false" customHeight="false" outlineLevel="0" collapsed="false">
      <c r="A1713" s="109" t="s">
        <v>105</v>
      </c>
      <c r="B1713" s="109" t="s">
        <v>113</v>
      </c>
      <c r="C1713" s="109" t="s">
        <v>686</v>
      </c>
      <c r="D1713" s="109" t="s">
        <v>39</v>
      </c>
      <c r="E1713" s="115" t="s">
        <v>20</v>
      </c>
      <c r="F1713" s="109" t="s">
        <v>3327</v>
      </c>
      <c r="G1713" s="111" t="s">
        <v>3328</v>
      </c>
    </row>
    <row r="1714" customFormat="false" ht="15" hidden="false" customHeight="false" outlineLevel="0" collapsed="false">
      <c r="A1714" s="109" t="s">
        <v>105</v>
      </c>
      <c r="B1714" s="109" t="s">
        <v>113</v>
      </c>
      <c r="C1714" s="109" t="s">
        <v>686</v>
      </c>
      <c r="D1714" s="109" t="s">
        <v>43</v>
      </c>
      <c r="E1714" s="112" t="s">
        <v>16</v>
      </c>
      <c r="F1714" s="109" t="s">
        <v>3329</v>
      </c>
      <c r="G1714" s="111" t="s">
        <v>1035</v>
      </c>
    </row>
    <row r="1715" customFormat="false" ht="23.85" hidden="false" customHeight="false" outlineLevel="0" collapsed="false">
      <c r="A1715" s="109" t="s">
        <v>105</v>
      </c>
      <c r="B1715" s="109" t="s">
        <v>113</v>
      </c>
      <c r="C1715" s="109" t="s">
        <v>686</v>
      </c>
      <c r="D1715" s="109" t="s">
        <v>47</v>
      </c>
      <c r="E1715" s="114" t="s">
        <v>22</v>
      </c>
      <c r="F1715" s="109" t="s">
        <v>3330</v>
      </c>
      <c r="G1715" s="111" t="s">
        <v>3331</v>
      </c>
    </row>
    <row r="1716" customFormat="false" ht="23.85" hidden="false" customHeight="false" outlineLevel="0" collapsed="false">
      <c r="A1716" s="109" t="s">
        <v>105</v>
      </c>
      <c r="B1716" s="109" t="s">
        <v>113</v>
      </c>
      <c r="C1716" s="109" t="s">
        <v>686</v>
      </c>
      <c r="D1716" s="109" t="s">
        <v>51</v>
      </c>
      <c r="E1716" s="112" t="s">
        <v>16</v>
      </c>
      <c r="F1716" s="109" t="s">
        <v>3332</v>
      </c>
      <c r="G1716" s="111" t="s">
        <v>3333</v>
      </c>
    </row>
    <row r="1717" customFormat="false" ht="15" hidden="false" customHeight="false" outlineLevel="0" collapsed="false">
      <c r="A1717" s="109" t="s">
        <v>105</v>
      </c>
      <c r="B1717" s="109" t="s">
        <v>113</v>
      </c>
      <c r="C1717" s="109" t="s">
        <v>686</v>
      </c>
      <c r="D1717" s="109" t="s">
        <v>55</v>
      </c>
      <c r="E1717" s="110" t="s">
        <v>18</v>
      </c>
      <c r="F1717" s="109" t="s">
        <v>3334</v>
      </c>
      <c r="G1717" s="111" t="s">
        <v>3335</v>
      </c>
    </row>
    <row r="1718" customFormat="false" ht="15" hidden="false" customHeight="false" outlineLevel="0" collapsed="false">
      <c r="A1718" s="109" t="s">
        <v>105</v>
      </c>
      <c r="B1718" s="109" t="s">
        <v>113</v>
      </c>
      <c r="C1718" s="109" t="s">
        <v>686</v>
      </c>
      <c r="D1718" s="109" t="s">
        <v>59</v>
      </c>
      <c r="E1718" s="112" t="s">
        <v>16</v>
      </c>
      <c r="F1718" s="109" t="s">
        <v>3336</v>
      </c>
      <c r="G1718" s="111" t="s">
        <v>2206</v>
      </c>
    </row>
    <row r="1719" customFormat="false" ht="15" hidden="false" customHeight="false" outlineLevel="0" collapsed="false">
      <c r="A1719" s="109" t="s">
        <v>105</v>
      </c>
      <c r="B1719" s="109" t="s">
        <v>113</v>
      </c>
      <c r="C1719" s="109" t="s">
        <v>686</v>
      </c>
      <c r="D1719" s="109" t="s">
        <v>63</v>
      </c>
      <c r="E1719" s="113" t="s">
        <v>24</v>
      </c>
      <c r="F1719" s="109" t="s">
        <v>3337</v>
      </c>
      <c r="G1719" s="111" t="s">
        <v>3338</v>
      </c>
    </row>
    <row r="1720" customFormat="false" ht="15" hidden="false" customHeight="false" outlineLevel="0" collapsed="false">
      <c r="A1720" s="109" t="s">
        <v>105</v>
      </c>
      <c r="B1720" s="109" t="s">
        <v>113</v>
      </c>
      <c r="C1720" s="109" t="s">
        <v>686</v>
      </c>
      <c r="D1720" s="109" t="s">
        <v>67</v>
      </c>
      <c r="E1720" s="115" t="s">
        <v>20</v>
      </c>
      <c r="F1720" s="109" t="s">
        <v>3339</v>
      </c>
      <c r="G1720" s="109"/>
    </row>
    <row r="1721" customFormat="false" ht="15" hidden="false" customHeight="false" outlineLevel="0" collapsed="false">
      <c r="A1721" s="109" t="s">
        <v>105</v>
      </c>
      <c r="B1721" s="109" t="s">
        <v>113</v>
      </c>
      <c r="C1721" s="109" t="s">
        <v>686</v>
      </c>
      <c r="D1721" s="109" t="s">
        <v>71</v>
      </c>
      <c r="E1721" s="115" t="s">
        <v>20</v>
      </c>
      <c r="F1721" s="109" t="s">
        <v>3340</v>
      </c>
      <c r="G1721" s="111" t="s">
        <v>3341</v>
      </c>
    </row>
    <row r="1722" customFormat="false" ht="23.85" hidden="false" customHeight="false" outlineLevel="0" collapsed="false">
      <c r="A1722" s="109" t="s">
        <v>105</v>
      </c>
      <c r="B1722" s="109" t="s">
        <v>113</v>
      </c>
      <c r="C1722" s="109" t="s">
        <v>688</v>
      </c>
      <c r="D1722" s="109" t="s">
        <v>35</v>
      </c>
      <c r="E1722" s="114" t="s">
        <v>22</v>
      </c>
      <c r="F1722" s="109" t="s">
        <v>3342</v>
      </c>
      <c r="G1722" s="109"/>
    </row>
    <row r="1723" customFormat="false" ht="15" hidden="false" customHeight="false" outlineLevel="0" collapsed="false">
      <c r="A1723" s="109" t="s">
        <v>105</v>
      </c>
      <c r="B1723" s="109" t="s">
        <v>113</v>
      </c>
      <c r="C1723" s="109" t="s">
        <v>688</v>
      </c>
      <c r="D1723" s="109" t="s">
        <v>39</v>
      </c>
      <c r="E1723" s="114" t="s">
        <v>22</v>
      </c>
      <c r="F1723" s="109" t="s">
        <v>3343</v>
      </c>
      <c r="G1723" s="111" t="s">
        <v>3344</v>
      </c>
    </row>
    <row r="1724" customFormat="false" ht="23.85" hidden="false" customHeight="false" outlineLevel="0" collapsed="false">
      <c r="A1724" s="109" t="s">
        <v>105</v>
      </c>
      <c r="B1724" s="109" t="s">
        <v>113</v>
      </c>
      <c r="C1724" s="109" t="s">
        <v>688</v>
      </c>
      <c r="D1724" s="109" t="s">
        <v>43</v>
      </c>
      <c r="E1724" s="114" t="s">
        <v>22</v>
      </c>
      <c r="F1724" s="109" t="s">
        <v>3345</v>
      </c>
      <c r="G1724" s="111" t="s">
        <v>3346</v>
      </c>
    </row>
    <row r="1725" customFormat="false" ht="23.85" hidden="false" customHeight="false" outlineLevel="0" collapsed="false">
      <c r="A1725" s="109" t="s">
        <v>105</v>
      </c>
      <c r="B1725" s="109" t="s">
        <v>113</v>
      </c>
      <c r="C1725" s="109" t="s">
        <v>688</v>
      </c>
      <c r="D1725" s="109" t="s">
        <v>47</v>
      </c>
      <c r="E1725" s="112" t="s">
        <v>16</v>
      </c>
      <c r="F1725" s="109" t="s">
        <v>3347</v>
      </c>
      <c r="G1725" s="111" t="s">
        <v>1213</v>
      </c>
    </row>
    <row r="1726" customFormat="false" ht="23.85" hidden="false" customHeight="false" outlineLevel="0" collapsed="false">
      <c r="A1726" s="109" t="s">
        <v>105</v>
      </c>
      <c r="B1726" s="109" t="s">
        <v>113</v>
      </c>
      <c r="C1726" s="109" t="s">
        <v>688</v>
      </c>
      <c r="D1726" s="109" t="s">
        <v>51</v>
      </c>
      <c r="E1726" s="114" t="s">
        <v>22</v>
      </c>
      <c r="F1726" s="109" t="s">
        <v>3348</v>
      </c>
      <c r="G1726" s="109"/>
    </row>
    <row r="1727" customFormat="false" ht="15" hidden="false" customHeight="false" outlineLevel="0" collapsed="false">
      <c r="A1727" s="109" t="s">
        <v>105</v>
      </c>
      <c r="B1727" s="109" t="s">
        <v>113</v>
      </c>
      <c r="C1727" s="109" t="s">
        <v>688</v>
      </c>
      <c r="D1727" s="109" t="s">
        <v>55</v>
      </c>
      <c r="E1727" s="114" t="s">
        <v>22</v>
      </c>
      <c r="F1727" s="109" t="s">
        <v>3349</v>
      </c>
      <c r="G1727" s="109"/>
    </row>
    <row r="1728" customFormat="false" ht="15" hidden="false" customHeight="false" outlineLevel="0" collapsed="false">
      <c r="A1728" s="109" t="s">
        <v>105</v>
      </c>
      <c r="B1728" s="109" t="s">
        <v>113</v>
      </c>
      <c r="C1728" s="109" t="s">
        <v>688</v>
      </c>
      <c r="D1728" s="109" t="s">
        <v>59</v>
      </c>
      <c r="E1728" s="114" t="s">
        <v>22</v>
      </c>
      <c r="F1728" s="109" t="s">
        <v>3350</v>
      </c>
      <c r="G1728" s="111" t="s">
        <v>2206</v>
      </c>
    </row>
    <row r="1729" customFormat="false" ht="15" hidden="false" customHeight="false" outlineLevel="0" collapsed="false">
      <c r="A1729" s="109" t="s">
        <v>105</v>
      </c>
      <c r="B1729" s="109" t="s">
        <v>113</v>
      </c>
      <c r="C1729" s="109" t="s">
        <v>688</v>
      </c>
      <c r="D1729" s="109" t="s">
        <v>63</v>
      </c>
      <c r="E1729" s="112" t="s">
        <v>16</v>
      </c>
      <c r="F1729" s="109" t="s">
        <v>3351</v>
      </c>
      <c r="G1729" s="111" t="s">
        <v>3352</v>
      </c>
    </row>
    <row r="1730" customFormat="false" ht="15" hidden="false" customHeight="false" outlineLevel="0" collapsed="false">
      <c r="A1730" s="109" t="s">
        <v>105</v>
      </c>
      <c r="B1730" s="109" t="s">
        <v>113</v>
      </c>
      <c r="C1730" s="109" t="s">
        <v>688</v>
      </c>
      <c r="D1730" s="109" t="s">
        <v>67</v>
      </c>
      <c r="E1730" s="114" t="s">
        <v>22</v>
      </c>
      <c r="F1730" s="109" t="s">
        <v>3353</v>
      </c>
      <c r="G1730" s="109"/>
    </row>
    <row r="1731" customFormat="false" ht="15" hidden="false" customHeight="false" outlineLevel="0" collapsed="false">
      <c r="A1731" s="109" t="s">
        <v>105</v>
      </c>
      <c r="B1731" s="109" t="s">
        <v>113</v>
      </c>
      <c r="C1731" s="109" t="s">
        <v>688</v>
      </c>
      <c r="D1731" s="109" t="s">
        <v>71</v>
      </c>
      <c r="E1731" s="114" t="s">
        <v>22</v>
      </c>
      <c r="F1731" s="109" t="s">
        <v>3354</v>
      </c>
      <c r="G1731" s="111" t="s">
        <v>916</v>
      </c>
    </row>
    <row r="1732" customFormat="false" ht="23.85" hidden="false" customHeight="false" outlineLevel="0" collapsed="false">
      <c r="A1732" s="109" t="s">
        <v>105</v>
      </c>
      <c r="B1732" s="109" t="s">
        <v>113</v>
      </c>
      <c r="C1732" s="109" t="s">
        <v>690</v>
      </c>
      <c r="D1732" s="109" t="s">
        <v>35</v>
      </c>
      <c r="E1732" s="112" t="s">
        <v>16</v>
      </c>
      <c r="F1732" s="109" t="s">
        <v>3355</v>
      </c>
      <c r="G1732" s="111" t="s">
        <v>3356</v>
      </c>
    </row>
    <row r="1733" customFormat="false" ht="15" hidden="false" customHeight="false" outlineLevel="0" collapsed="false">
      <c r="A1733" s="109" t="s">
        <v>105</v>
      </c>
      <c r="B1733" s="109" t="s">
        <v>113</v>
      </c>
      <c r="C1733" s="109" t="s">
        <v>690</v>
      </c>
      <c r="D1733" s="109" t="s">
        <v>39</v>
      </c>
      <c r="E1733" s="112" t="s">
        <v>16</v>
      </c>
      <c r="F1733" s="109" t="s">
        <v>3357</v>
      </c>
      <c r="G1733" s="111" t="s">
        <v>3358</v>
      </c>
    </row>
    <row r="1734" customFormat="false" ht="15" hidden="false" customHeight="false" outlineLevel="0" collapsed="false">
      <c r="A1734" s="109" t="s">
        <v>105</v>
      </c>
      <c r="B1734" s="109" t="s">
        <v>113</v>
      </c>
      <c r="C1734" s="109" t="s">
        <v>690</v>
      </c>
      <c r="D1734" s="109" t="s">
        <v>43</v>
      </c>
      <c r="E1734" s="112" t="s">
        <v>16</v>
      </c>
      <c r="F1734" s="109" t="s">
        <v>3359</v>
      </c>
      <c r="G1734" s="111" t="s">
        <v>3360</v>
      </c>
    </row>
    <row r="1735" customFormat="false" ht="15" hidden="false" customHeight="false" outlineLevel="0" collapsed="false">
      <c r="A1735" s="109" t="s">
        <v>105</v>
      </c>
      <c r="B1735" s="109" t="s">
        <v>113</v>
      </c>
      <c r="C1735" s="109" t="s">
        <v>690</v>
      </c>
      <c r="D1735" s="109" t="s">
        <v>47</v>
      </c>
      <c r="E1735" s="112" t="s">
        <v>16</v>
      </c>
      <c r="F1735" s="109" t="s">
        <v>3361</v>
      </c>
      <c r="G1735" s="111" t="s">
        <v>3362</v>
      </c>
    </row>
    <row r="1736" customFormat="false" ht="23.85" hidden="false" customHeight="false" outlineLevel="0" collapsed="false">
      <c r="A1736" s="109" t="s">
        <v>105</v>
      </c>
      <c r="B1736" s="109" t="s">
        <v>113</v>
      </c>
      <c r="C1736" s="109" t="s">
        <v>690</v>
      </c>
      <c r="D1736" s="109" t="s">
        <v>51</v>
      </c>
      <c r="E1736" s="112" t="s">
        <v>16</v>
      </c>
      <c r="F1736" s="109" t="s">
        <v>3363</v>
      </c>
      <c r="G1736" s="111" t="s">
        <v>3364</v>
      </c>
    </row>
    <row r="1737" customFormat="false" ht="15" hidden="false" customHeight="false" outlineLevel="0" collapsed="false">
      <c r="A1737" s="109" t="s">
        <v>105</v>
      </c>
      <c r="B1737" s="109" t="s">
        <v>113</v>
      </c>
      <c r="C1737" s="109" t="s">
        <v>690</v>
      </c>
      <c r="D1737" s="109" t="s">
        <v>55</v>
      </c>
      <c r="E1737" s="112" t="s">
        <v>16</v>
      </c>
      <c r="F1737" s="109" t="s">
        <v>3365</v>
      </c>
      <c r="G1737" s="111" t="s">
        <v>3366</v>
      </c>
    </row>
    <row r="1738" customFormat="false" ht="15" hidden="false" customHeight="false" outlineLevel="0" collapsed="false">
      <c r="A1738" s="109" t="s">
        <v>105</v>
      </c>
      <c r="B1738" s="109" t="s">
        <v>113</v>
      </c>
      <c r="C1738" s="109" t="s">
        <v>690</v>
      </c>
      <c r="D1738" s="109" t="s">
        <v>59</v>
      </c>
      <c r="E1738" s="112" t="s">
        <v>16</v>
      </c>
      <c r="F1738" s="109" t="s">
        <v>3367</v>
      </c>
      <c r="G1738" s="111" t="s">
        <v>1856</v>
      </c>
    </row>
    <row r="1739" customFormat="false" ht="15" hidden="false" customHeight="false" outlineLevel="0" collapsed="false">
      <c r="A1739" s="109" t="s">
        <v>105</v>
      </c>
      <c r="B1739" s="109" t="s">
        <v>113</v>
      </c>
      <c r="C1739" s="109" t="s">
        <v>690</v>
      </c>
      <c r="D1739" s="109" t="s">
        <v>63</v>
      </c>
      <c r="E1739" s="112" t="s">
        <v>16</v>
      </c>
      <c r="F1739" s="109" t="s">
        <v>3368</v>
      </c>
      <c r="G1739" s="111" t="s">
        <v>3369</v>
      </c>
    </row>
    <row r="1740" customFormat="false" ht="23.85" hidden="false" customHeight="false" outlineLevel="0" collapsed="false">
      <c r="A1740" s="109" t="s">
        <v>105</v>
      </c>
      <c r="B1740" s="109" t="s">
        <v>113</v>
      </c>
      <c r="C1740" s="109" t="s">
        <v>690</v>
      </c>
      <c r="D1740" s="109" t="s">
        <v>67</v>
      </c>
      <c r="E1740" s="114" t="s">
        <v>22</v>
      </c>
      <c r="F1740" s="109" t="s">
        <v>3370</v>
      </c>
      <c r="G1740" s="111" t="s">
        <v>3371</v>
      </c>
    </row>
    <row r="1741" customFormat="false" ht="15" hidden="false" customHeight="false" outlineLevel="0" collapsed="false">
      <c r="A1741" s="109" t="s">
        <v>105</v>
      </c>
      <c r="B1741" s="109" t="s">
        <v>113</v>
      </c>
      <c r="C1741" s="109" t="s">
        <v>690</v>
      </c>
      <c r="D1741" s="109" t="s">
        <v>71</v>
      </c>
      <c r="E1741" s="114" t="s">
        <v>22</v>
      </c>
      <c r="F1741" s="109" t="s">
        <v>3372</v>
      </c>
      <c r="G1741" s="111" t="s">
        <v>848</v>
      </c>
    </row>
    <row r="1742" customFormat="false" ht="15" hidden="false" customHeight="false" outlineLevel="0" collapsed="false">
      <c r="A1742" s="109" t="s">
        <v>105</v>
      </c>
      <c r="B1742" s="109" t="s">
        <v>114</v>
      </c>
      <c r="C1742" s="109" t="s">
        <v>701</v>
      </c>
      <c r="D1742" s="109" t="s">
        <v>35</v>
      </c>
      <c r="E1742" s="112" t="s">
        <v>16</v>
      </c>
      <c r="F1742" s="109" t="s">
        <v>3373</v>
      </c>
      <c r="G1742" s="111" t="s">
        <v>2722</v>
      </c>
    </row>
    <row r="1743" customFormat="false" ht="15" hidden="false" customHeight="false" outlineLevel="0" collapsed="false">
      <c r="A1743" s="109" t="s">
        <v>105</v>
      </c>
      <c r="B1743" s="109" t="s">
        <v>114</v>
      </c>
      <c r="C1743" s="109" t="s">
        <v>701</v>
      </c>
      <c r="D1743" s="109" t="s">
        <v>39</v>
      </c>
      <c r="E1743" s="112" t="s">
        <v>16</v>
      </c>
      <c r="F1743" s="109" t="s">
        <v>3374</v>
      </c>
      <c r="G1743" s="111" t="s">
        <v>3375</v>
      </c>
    </row>
    <row r="1744" customFormat="false" ht="23.85" hidden="false" customHeight="false" outlineLevel="0" collapsed="false">
      <c r="A1744" s="109" t="s">
        <v>105</v>
      </c>
      <c r="B1744" s="109" t="s">
        <v>114</v>
      </c>
      <c r="C1744" s="109" t="s">
        <v>701</v>
      </c>
      <c r="D1744" s="109" t="s">
        <v>43</v>
      </c>
      <c r="E1744" s="114" t="s">
        <v>22</v>
      </c>
      <c r="F1744" s="109" t="s">
        <v>3376</v>
      </c>
      <c r="G1744" s="111" t="s">
        <v>3377</v>
      </c>
    </row>
    <row r="1745" customFormat="false" ht="15" hidden="false" customHeight="false" outlineLevel="0" collapsed="false">
      <c r="A1745" s="109" t="s">
        <v>105</v>
      </c>
      <c r="B1745" s="109" t="s">
        <v>114</v>
      </c>
      <c r="C1745" s="109" t="s">
        <v>701</v>
      </c>
      <c r="D1745" s="109" t="s">
        <v>47</v>
      </c>
      <c r="E1745" s="112" t="s">
        <v>16</v>
      </c>
      <c r="F1745" s="109" t="s">
        <v>3378</v>
      </c>
      <c r="G1745" s="111" t="s">
        <v>2349</v>
      </c>
    </row>
    <row r="1746" customFormat="false" ht="15" hidden="false" customHeight="false" outlineLevel="0" collapsed="false">
      <c r="A1746" s="109" t="s">
        <v>105</v>
      </c>
      <c r="B1746" s="109" t="s">
        <v>114</v>
      </c>
      <c r="C1746" s="109" t="s">
        <v>701</v>
      </c>
      <c r="D1746" s="109" t="s">
        <v>51</v>
      </c>
      <c r="E1746" s="113" t="s">
        <v>24</v>
      </c>
      <c r="F1746" s="109" t="s">
        <v>3379</v>
      </c>
      <c r="G1746" s="111" t="s">
        <v>3380</v>
      </c>
    </row>
    <row r="1747" customFormat="false" ht="15" hidden="false" customHeight="false" outlineLevel="0" collapsed="false">
      <c r="A1747" s="109" t="s">
        <v>105</v>
      </c>
      <c r="B1747" s="109" t="s">
        <v>114</v>
      </c>
      <c r="C1747" s="109" t="s">
        <v>701</v>
      </c>
      <c r="D1747" s="109" t="s">
        <v>55</v>
      </c>
      <c r="E1747" s="112" t="s">
        <v>16</v>
      </c>
      <c r="F1747" s="109" t="s">
        <v>3381</v>
      </c>
      <c r="G1747" s="111" t="s">
        <v>2732</v>
      </c>
    </row>
    <row r="1748" customFormat="false" ht="23.85" hidden="false" customHeight="false" outlineLevel="0" collapsed="false">
      <c r="A1748" s="109" t="s">
        <v>105</v>
      </c>
      <c r="B1748" s="109" t="s">
        <v>114</v>
      </c>
      <c r="C1748" s="109" t="s">
        <v>701</v>
      </c>
      <c r="D1748" s="109" t="s">
        <v>59</v>
      </c>
      <c r="E1748" s="114" t="s">
        <v>22</v>
      </c>
      <c r="F1748" s="109" t="s">
        <v>3382</v>
      </c>
      <c r="G1748" s="111" t="s">
        <v>1155</v>
      </c>
    </row>
    <row r="1749" customFormat="false" ht="15" hidden="false" customHeight="false" outlineLevel="0" collapsed="false">
      <c r="A1749" s="109" t="s">
        <v>105</v>
      </c>
      <c r="B1749" s="109" t="s">
        <v>114</v>
      </c>
      <c r="C1749" s="109" t="s">
        <v>701</v>
      </c>
      <c r="D1749" s="109" t="s">
        <v>63</v>
      </c>
      <c r="E1749" s="113" t="s">
        <v>24</v>
      </c>
      <c r="F1749" s="109" t="s">
        <v>3383</v>
      </c>
      <c r="G1749" s="109"/>
    </row>
    <row r="1750" customFormat="false" ht="15" hidden="false" customHeight="false" outlineLevel="0" collapsed="false">
      <c r="A1750" s="109" t="s">
        <v>105</v>
      </c>
      <c r="B1750" s="109" t="s">
        <v>114</v>
      </c>
      <c r="C1750" s="109" t="s">
        <v>701</v>
      </c>
      <c r="D1750" s="109" t="s">
        <v>67</v>
      </c>
      <c r="E1750" s="112" t="s">
        <v>16</v>
      </c>
      <c r="F1750" s="109" t="s">
        <v>3384</v>
      </c>
      <c r="G1750" s="111" t="s">
        <v>1935</v>
      </c>
    </row>
    <row r="1751" customFormat="false" ht="15" hidden="false" customHeight="false" outlineLevel="0" collapsed="false">
      <c r="A1751" s="109" t="s">
        <v>105</v>
      </c>
      <c r="B1751" s="109" t="s">
        <v>114</v>
      </c>
      <c r="C1751" s="109" t="s">
        <v>701</v>
      </c>
      <c r="D1751" s="109" t="s">
        <v>71</v>
      </c>
      <c r="E1751" s="113" t="s">
        <v>24</v>
      </c>
      <c r="F1751" s="109" t="s">
        <v>3385</v>
      </c>
      <c r="G1751" s="111" t="s">
        <v>1990</v>
      </c>
    </row>
    <row r="1752" customFormat="false" ht="23.85" hidden="false" customHeight="false" outlineLevel="0" collapsed="false">
      <c r="A1752" s="109" t="s">
        <v>105</v>
      </c>
      <c r="B1752" s="109" t="s">
        <v>114</v>
      </c>
      <c r="C1752" s="109" t="s">
        <v>703</v>
      </c>
      <c r="D1752" s="109" t="s">
        <v>35</v>
      </c>
      <c r="E1752" s="110" t="s">
        <v>18</v>
      </c>
      <c r="F1752" s="109" t="s">
        <v>3386</v>
      </c>
      <c r="G1752" s="111" t="s">
        <v>3387</v>
      </c>
    </row>
    <row r="1753" customFormat="false" ht="23.85" hidden="false" customHeight="false" outlineLevel="0" collapsed="false">
      <c r="A1753" s="109" t="s">
        <v>105</v>
      </c>
      <c r="B1753" s="109" t="s">
        <v>114</v>
      </c>
      <c r="C1753" s="109" t="s">
        <v>703</v>
      </c>
      <c r="D1753" s="109" t="s">
        <v>39</v>
      </c>
      <c r="E1753" s="112" t="s">
        <v>16</v>
      </c>
      <c r="F1753" s="109" t="s">
        <v>3388</v>
      </c>
      <c r="G1753" s="111" t="s">
        <v>3389</v>
      </c>
    </row>
    <row r="1754" customFormat="false" ht="15" hidden="false" customHeight="false" outlineLevel="0" collapsed="false">
      <c r="A1754" s="109" t="s">
        <v>105</v>
      </c>
      <c r="B1754" s="109" t="s">
        <v>114</v>
      </c>
      <c r="C1754" s="109" t="s">
        <v>703</v>
      </c>
      <c r="D1754" s="109" t="s">
        <v>43</v>
      </c>
      <c r="E1754" s="112" t="s">
        <v>16</v>
      </c>
      <c r="F1754" s="109" t="s">
        <v>3390</v>
      </c>
      <c r="G1754" s="111" t="s">
        <v>3377</v>
      </c>
    </row>
    <row r="1755" customFormat="false" ht="15" hidden="false" customHeight="false" outlineLevel="0" collapsed="false">
      <c r="A1755" s="109" t="s">
        <v>105</v>
      </c>
      <c r="B1755" s="109" t="s">
        <v>114</v>
      </c>
      <c r="C1755" s="109" t="s">
        <v>703</v>
      </c>
      <c r="D1755" s="109" t="s">
        <v>47</v>
      </c>
      <c r="E1755" s="112" t="s">
        <v>16</v>
      </c>
      <c r="F1755" s="109" t="s">
        <v>3391</v>
      </c>
      <c r="G1755" s="111" t="s">
        <v>2349</v>
      </c>
    </row>
    <row r="1756" customFormat="false" ht="15" hidden="false" customHeight="false" outlineLevel="0" collapsed="false">
      <c r="A1756" s="109" t="s">
        <v>105</v>
      </c>
      <c r="B1756" s="109" t="s">
        <v>114</v>
      </c>
      <c r="C1756" s="109" t="s">
        <v>703</v>
      </c>
      <c r="D1756" s="109" t="s">
        <v>51</v>
      </c>
      <c r="E1756" s="112" t="s">
        <v>16</v>
      </c>
      <c r="F1756" s="109" t="s">
        <v>3392</v>
      </c>
      <c r="G1756" s="111" t="s">
        <v>3380</v>
      </c>
    </row>
    <row r="1757" customFormat="false" ht="15" hidden="false" customHeight="false" outlineLevel="0" collapsed="false">
      <c r="A1757" s="109" t="s">
        <v>105</v>
      </c>
      <c r="B1757" s="109" t="s">
        <v>114</v>
      </c>
      <c r="C1757" s="109" t="s">
        <v>703</v>
      </c>
      <c r="D1757" s="109" t="s">
        <v>55</v>
      </c>
      <c r="E1757" s="112" t="s">
        <v>16</v>
      </c>
      <c r="F1757" s="109" t="s">
        <v>3393</v>
      </c>
      <c r="G1757" s="111" t="s">
        <v>2732</v>
      </c>
    </row>
    <row r="1758" customFormat="false" ht="15" hidden="false" customHeight="false" outlineLevel="0" collapsed="false">
      <c r="A1758" s="109" t="s">
        <v>105</v>
      </c>
      <c r="B1758" s="109" t="s">
        <v>114</v>
      </c>
      <c r="C1758" s="109" t="s">
        <v>703</v>
      </c>
      <c r="D1758" s="109" t="s">
        <v>59</v>
      </c>
      <c r="E1758" s="112" t="s">
        <v>16</v>
      </c>
      <c r="F1758" s="109" t="s">
        <v>3394</v>
      </c>
      <c r="G1758" s="111" t="s">
        <v>2206</v>
      </c>
    </row>
    <row r="1759" customFormat="false" ht="15" hidden="false" customHeight="false" outlineLevel="0" collapsed="false">
      <c r="A1759" s="109" t="s">
        <v>105</v>
      </c>
      <c r="B1759" s="109" t="s">
        <v>114</v>
      </c>
      <c r="C1759" s="109" t="s">
        <v>703</v>
      </c>
      <c r="D1759" s="109" t="s">
        <v>63</v>
      </c>
      <c r="E1759" s="112" t="s">
        <v>16</v>
      </c>
      <c r="F1759" s="109" t="s">
        <v>3395</v>
      </c>
      <c r="G1759" s="111" t="s">
        <v>3276</v>
      </c>
    </row>
    <row r="1760" customFormat="false" ht="23.85" hidden="false" customHeight="false" outlineLevel="0" collapsed="false">
      <c r="A1760" s="109" t="s">
        <v>105</v>
      </c>
      <c r="B1760" s="109" t="s">
        <v>114</v>
      </c>
      <c r="C1760" s="109" t="s">
        <v>703</v>
      </c>
      <c r="D1760" s="109" t="s">
        <v>67</v>
      </c>
      <c r="E1760" s="112" t="s">
        <v>16</v>
      </c>
      <c r="F1760" s="109" t="s">
        <v>3396</v>
      </c>
      <c r="G1760" s="111" t="s">
        <v>1935</v>
      </c>
    </row>
    <row r="1761" customFormat="false" ht="15" hidden="false" customHeight="false" outlineLevel="0" collapsed="false">
      <c r="A1761" s="109" t="s">
        <v>105</v>
      </c>
      <c r="B1761" s="109" t="s">
        <v>114</v>
      </c>
      <c r="C1761" s="109" t="s">
        <v>703</v>
      </c>
      <c r="D1761" s="109" t="s">
        <v>71</v>
      </c>
      <c r="E1761" s="112" t="s">
        <v>16</v>
      </c>
      <c r="F1761" s="109" t="s">
        <v>3397</v>
      </c>
      <c r="G1761" s="111" t="s">
        <v>1990</v>
      </c>
    </row>
    <row r="1762" customFormat="false" ht="23.85" hidden="false" customHeight="false" outlineLevel="0" collapsed="false">
      <c r="A1762" s="109" t="s">
        <v>105</v>
      </c>
      <c r="B1762" s="109" t="s">
        <v>114</v>
      </c>
      <c r="C1762" s="109" t="s">
        <v>705</v>
      </c>
      <c r="D1762" s="109" t="s">
        <v>35</v>
      </c>
      <c r="E1762" s="112" t="s">
        <v>16</v>
      </c>
      <c r="F1762" s="109" t="s">
        <v>3398</v>
      </c>
      <c r="G1762" s="111" t="s">
        <v>3399</v>
      </c>
    </row>
    <row r="1763" customFormat="false" ht="23.85" hidden="false" customHeight="false" outlineLevel="0" collapsed="false">
      <c r="A1763" s="109" t="s">
        <v>105</v>
      </c>
      <c r="B1763" s="109" t="s">
        <v>114</v>
      </c>
      <c r="C1763" s="109" t="s">
        <v>705</v>
      </c>
      <c r="D1763" s="109" t="s">
        <v>39</v>
      </c>
      <c r="E1763" s="110" t="s">
        <v>18</v>
      </c>
      <c r="F1763" s="109" t="s">
        <v>3400</v>
      </c>
      <c r="G1763" s="111" t="s">
        <v>3401</v>
      </c>
    </row>
    <row r="1764" customFormat="false" ht="15" hidden="false" customHeight="false" outlineLevel="0" collapsed="false">
      <c r="A1764" s="109" t="s">
        <v>105</v>
      </c>
      <c r="B1764" s="109" t="s">
        <v>114</v>
      </c>
      <c r="C1764" s="109" t="s">
        <v>705</v>
      </c>
      <c r="D1764" s="109" t="s">
        <v>43</v>
      </c>
      <c r="E1764" s="112" t="s">
        <v>16</v>
      </c>
      <c r="F1764" s="109" t="s">
        <v>3402</v>
      </c>
      <c r="G1764" s="111" t="s">
        <v>2366</v>
      </c>
    </row>
    <row r="1765" customFormat="false" ht="23.85" hidden="false" customHeight="false" outlineLevel="0" collapsed="false">
      <c r="A1765" s="109" t="s">
        <v>105</v>
      </c>
      <c r="B1765" s="109" t="s">
        <v>114</v>
      </c>
      <c r="C1765" s="109" t="s">
        <v>705</v>
      </c>
      <c r="D1765" s="109" t="s">
        <v>47</v>
      </c>
      <c r="E1765" s="113" t="s">
        <v>24</v>
      </c>
      <c r="F1765" s="109" t="s">
        <v>3403</v>
      </c>
      <c r="G1765" s="111" t="s">
        <v>3404</v>
      </c>
    </row>
    <row r="1766" customFormat="false" ht="15" hidden="false" customHeight="false" outlineLevel="0" collapsed="false">
      <c r="A1766" s="109" t="s">
        <v>105</v>
      </c>
      <c r="B1766" s="109" t="s">
        <v>114</v>
      </c>
      <c r="C1766" s="109" t="s">
        <v>705</v>
      </c>
      <c r="D1766" s="109" t="s">
        <v>51</v>
      </c>
      <c r="E1766" s="113" t="s">
        <v>24</v>
      </c>
      <c r="F1766" s="109" t="s">
        <v>3405</v>
      </c>
      <c r="G1766" s="111" t="s">
        <v>3406</v>
      </c>
    </row>
    <row r="1767" customFormat="false" ht="15" hidden="false" customHeight="false" outlineLevel="0" collapsed="false">
      <c r="A1767" s="109" t="s">
        <v>105</v>
      </c>
      <c r="B1767" s="109" t="s">
        <v>114</v>
      </c>
      <c r="C1767" s="109" t="s">
        <v>705</v>
      </c>
      <c r="D1767" s="109" t="s">
        <v>55</v>
      </c>
      <c r="E1767" s="112" t="s">
        <v>16</v>
      </c>
      <c r="F1767" s="109" t="s">
        <v>3407</v>
      </c>
      <c r="G1767" s="111" t="s">
        <v>3408</v>
      </c>
    </row>
    <row r="1768" customFormat="false" ht="23.85" hidden="false" customHeight="false" outlineLevel="0" collapsed="false">
      <c r="A1768" s="109" t="s">
        <v>105</v>
      </c>
      <c r="B1768" s="109" t="s">
        <v>114</v>
      </c>
      <c r="C1768" s="109" t="s">
        <v>705</v>
      </c>
      <c r="D1768" s="109" t="s">
        <v>59</v>
      </c>
      <c r="E1768" s="110" t="s">
        <v>18</v>
      </c>
      <c r="F1768" s="109" t="s">
        <v>3409</v>
      </c>
      <c r="G1768" s="111" t="s">
        <v>1155</v>
      </c>
    </row>
    <row r="1769" customFormat="false" ht="15" hidden="false" customHeight="false" outlineLevel="0" collapsed="false">
      <c r="A1769" s="109" t="s">
        <v>105</v>
      </c>
      <c r="B1769" s="109" t="s">
        <v>114</v>
      </c>
      <c r="C1769" s="109" t="s">
        <v>705</v>
      </c>
      <c r="D1769" s="109" t="s">
        <v>63</v>
      </c>
      <c r="E1769" s="113" t="s">
        <v>24</v>
      </c>
      <c r="F1769" s="109" t="s">
        <v>3410</v>
      </c>
      <c r="G1769" s="109"/>
    </row>
    <row r="1770" customFormat="false" ht="23.85" hidden="false" customHeight="false" outlineLevel="0" collapsed="false">
      <c r="A1770" s="109" t="s">
        <v>105</v>
      </c>
      <c r="B1770" s="109" t="s">
        <v>114</v>
      </c>
      <c r="C1770" s="109" t="s">
        <v>705</v>
      </c>
      <c r="D1770" s="109" t="s">
        <v>67</v>
      </c>
      <c r="E1770" s="112" t="s">
        <v>16</v>
      </c>
      <c r="F1770" s="109" t="s">
        <v>3411</v>
      </c>
      <c r="G1770" s="111" t="s">
        <v>2888</v>
      </c>
    </row>
    <row r="1771" customFormat="false" ht="15" hidden="false" customHeight="false" outlineLevel="0" collapsed="false">
      <c r="A1771" s="109" t="s">
        <v>105</v>
      </c>
      <c r="B1771" s="109" t="s">
        <v>114</v>
      </c>
      <c r="C1771" s="109" t="s">
        <v>705</v>
      </c>
      <c r="D1771" s="109" t="s">
        <v>71</v>
      </c>
      <c r="E1771" s="113" t="s">
        <v>24</v>
      </c>
      <c r="F1771" s="109" t="s">
        <v>3412</v>
      </c>
      <c r="G1771" s="109"/>
    </row>
    <row r="1772" customFormat="false" ht="15" hidden="false" customHeight="false" outlineLevel="0" collapsed="false">
      <c r="A1772" s="109" t="s">
        <v>105</v>
      </c>
      <c r="B1772" s="109" t="s">
        <v>114</v>
      </c>
      <c r="C1772" s="109" t="s">
        <v>707</v>
      </c>
      <c r="D1772" s="109" t="s">
        <v>35</v>
      </c>
      <c r="E1772" s="112" t="s">
        <v>16</v>
      </c>
      <c r="F1772" s="109" t="s">
        <v>3413</v>
      </c>
      <c r="G1772" s="111" t="s">
        <v>3414</v>
      </c>
    </row>
    <row r="1773" customFormat="false" ht="23.85" hidden="false" customHeight="false" outlineLevel="0" collapsed="false">
      <c r="A1773" s="109" t="s">
        <v>105</v>
      </c>
      <c r="B1773" s="109" t="s">
        <v>114</v>
      </c>
      <c r="C1773" s="109" t="s">
        <v>707</v>
      </c>
      <c r="D1773" s="109" t="s">
        <v>39</v>
      </c>
      <c r="E1773" s="114" t="s">
        <v>22</v>
      </c>
      <c r="F1773" s="109" t="s">
        <v>3415</v>
      </c>
      <c r="G1773" s="111" t="s">
        <v>3401</v>
      </c>
    </row>
    <row r="1774" customFormat="false" ht="15" hidden="false" customHeight="false" outlineLevel="0" collapsed="false">
      <c r="A1774" s="109" t="s">
        <v>105</v>
      </c>
      <c r="B1774" s="109" t="s">
        <v>114</v>
      </c>
      <c r="C1774" s="109" t="s">
        <v>707</v>
      </c>
      <c r="D1774" s="109" t="s">
        <v>43</v>
      </c>
      <c r="E1774" s="113" t="s">
        <v>24</v>
      </c>
      <c r="F1774" s="109" t="s">
        <v>3416</v>
      </c>
      <c r="G1774" s="109"/>
    </row>
    <row r="1775" customFormat="false" ht="15" hidden="false" customHeight="false" outlineLevel="0" collapsed="false">
      <c r="A1775" s="109" t="s">
        <v>105</v>
      </c>
      <c r="B1775" s="109" t="s">
        <v>114</v>
      </c>
      <c r="C1775" s="109" t="s">
        <v>707</v>
      </c>
      <c r="D1775" s="109" t="s">
        <v>47</v>
      </c>
      <c r="E1775" s="113" t="s">
        <v>24</v>
      </c>
      <c r="F1775" s="109" t="s">
        <v>3416</v>
      </c>
      <c r="G1775" s="109"/>
    </row>
    <row r="1776" customFormat="false" ht="15" hidden="false" customHeight="false" outlineLevel="0" collapsed="false">
      <c r="A1776" s="109" t="s">
        <v>105</v>
      </c>
      <c r="B1776" s="109" t="s">
        <v>114</v>
      </c>
      <c r="C1776" s="109" t="s">
        <v>707</v>
      </c>
      <c r="D1776" s="109" t="s">
        <v>51</v>
      </c>
      <c r="E1776" s="113" t="s">
        <v>24</v>
      </c>
      <c r="F1776" s="109" t="s">
        <v>3417</v>
      </c>
      <c r="G1776" s="111" t="s">
        <v>3406</v>
      </c>
    </row>
    <row r="1777" customFormat="false" ht="15" hidden="false" customHeight="false" outlineLevel="0" collapsed="false">
      <c r="A1777" s="109" t="s">
        <v>105</v>
      </c>
      <c r="B1777" s="109" t="s">
        <v>114</v>
      </c>
      <c r="C1777" s="109" t="s">
        <v>707</v>
      </c>
      <c r="D1777" s="109" t="s">
        <v>55</v>
      </c>
      <c r="E1777" s="113" t="s">
        <v>24</v>
      </c>
      <c r="F1777" s="109" t="s">
        <v>3418</v>
      </c>
      <c r="G1777" s="109"/>
    </row>
    <row r="1778" customFormat="false" ht="15" hidden="false" customHeight="false" outlineLevel="0" collapsed="false">
      <c r="A1778" s="109" t="s">
        <v>105</v>
      </c>
      <c r="B1778" s="109" t="s">
        <v>114</v>
      </c>
      <c r="C1778" s="109" t="s">
        <v>707</v>
      </c>
      <c r="D1778" s="109" t="s">
        <v>59</v>
      </c>
      <c r="E1778" s="113" t="s">
        <v>24</v>
      </c>
      <c r="F1778" s="109" t="s">
        <v>3419</v>
      </c>
      <c r="G1778" s="109"/>
    </row>
    <row r="1779" customFormat="false" ht="15" hidden="false" customHeight="false" outlineLevel="0" collapsed="false">
      <c r="A1779" s="109" t="s">
        <v>105</v>
      </c>
      <c r="B1779" s="109" t="s">
        <v>114</v>
      </c>
      <c r="C1779" s="109" t="s">
        <v>707</v>
      </c>
      <c r="D1779" s="109" t="s">
        <v>63</v>
      </c>
      <c r="E1779" s="113" t="s">
        <v>24</v>
      </c>
      <c r="F1779" s="109" t="s">
        <v>3416</v>
      </c>
      <c r="G1779" s="109"/>
    </row>
    <row r="1780" customFormat="false" ht="15" hidden="false" customHeight="false" outlineLevel="0" collapsed="false">
      <c r="A1780" s="109" t="s">
        <v>105</v>
      </c>
      <c r="B1780" s="109" t="s">
        <v>114</v>
      </c>
      <c r="C1780" s="109" t="s">
        <v>707</v>
      </c>
      <c r="D1780" s="109" t="s">
        <v>67</v>
      </c>
      <c r="E1780" s="113" t="s">
        <v>24</v>
      </c>
      <c r="F1780" s="109" t="s">
        <v>3420</v>
      </c>
      <c r="G1780" s="111" t="s">
        <v>2888</v>
      </c>
    </row>
    <row r="1781" customFormat="false" ht="15" hidden="false" customHeight="false" outlineLevel="0" collapsed="false">
      <c r="A1781" s="109" t="s">
        <v>105</v>
      </c>
      <c r="B1781" s="109" t="s">
        <v>114</v>
      </c>
      <c r="C1781" s="109" t="s">
        <v>707</v>
      </c>
      <c r="D1781" s="109" t="s">
        <v>71</v>
      </c>
      <c r="E1781" s="113" t="s">
        <v>24</v>
      </c>
      <c r="F1781" s="109" t="s">
        <v>2671</v>
      </c>
      <c r="G1781" s="109"/>
    </row>
    <row r="1782" customFormat="false" ht="23.85" hidden="false" customHeight="false" outlineLevel="0" collapsed="false">
      <c r="A1782" s="109" t="s">
        <v>105</v>
      </c>
      <c r="B1782" s="109" t="s">
        <v>114</v>
      </c>
      <c r="C1782" s="109" t="s">
        <v>708</v>
      </c>
      <c r="D1782" s="109" t="s">
        <v>35</v>
      </c>
      <c r="E1782" s="114" t="s">
        <v>22</v>
      </c>
      <c r="F1782" s="109" t="s">
        <v>3421</v>
      </c>
      <c r="G1782" s="111" t="s">
        <v>3422</v>
      </c>
    </row>
    <row r="1783" customFormat="false" ht="15" hidden="false" customHeight="false" outlineLevel="0" collapsed="false">
      <c r="A1783" s="109" t="s">
        <v>105</v>
      </c>
      <c r="B1783" s="109" t="s">
        <v>114</v>
      </c>
      <c r="C1783" s="109" t="s">
        <v>708</v>
      </c>
      <c r="D1783" s="109" t="s">
        <v>39</v>
      </c>
      <c r="E1783" s="112" t="s">
        <v>16</v>
      </c>
      <c r="F1783" s="109" t="s">
        <v>3423</v>
      </c>
      <c r="G1783" s="111" t="s">
        <v>3424</v>
      </c>
    </row>
    <row r="1784" customFormat="false" ht="15" hidden="false" customHeight="false" outlineLevel="0" collapsed="false">
      <c r="A1784" s="109" t="s">
        <v>105</v>
      </c>
      <c r="B1784" s="109" t="s">
        <v>114</v>
      </c>
      <c r="C1784" s="109" t="s">
        <v>708</v>
      </c>
      <c r="D1784" s="109" t="s">
        <v>43</v>
      </c>
      <c r="E1784" s="112" t="s">
        <v>16</v>
      </c>
      <c r="F1784" s="109" t="s">
        <v>3425</v>
      </c>
      <c r="G1784" s="111" t="s">
        <v>2366</v>
      </c>
    </row>
    <row r="1785" customFormat="false" ht="15" hidden="false" customHeight="false" outlineLevel="0" collapsed="false">
      <c r="A1785" s="109" t="s">
        <v>105</v>
      </c>
      <c r="B1785" s="109" t="s">
        <v>114</v>
      </c>
      <c r="C1785" s="109" t="s">
        <v>708</v>
      </c>
      <c r="D1785" s="109" t="s">
        <v>47</v>
      </c>
      <c r="E1785" s="115" t="s">
        <v>20</v>
      </c>
      <c r="F1785" s="109" t="s">
        <v>3426</v>
      </c>
      <c r="G1785" s="111" t="s">
        <v>1963</v>
      </c>
    </row>
    <row r="1786" customFormat="false" ht="15" hidden="false" customHeight="false" outlineLevel="0" collapsed="false">
      <c r="A1786" s="109" t="s">
        <v>105</v>
      </c>
      <c r="B1786" s="109" t="s">
        <v>114</v>
      </c>
      <c r="C1786" s="109" t="s">
        <v>708</v>
      </c>
      <c r="D1786" s="109" t="s">
        <v>51</v>
      </c>
      <c r="E1786" s="112" t="s">
        <v>16</v>
      </c>
      <c r="F1786" s="109" t="s">
        <v>3427</v>
      </c>
      <c r="G1786" s="109"/>
    </row>
    <row r="1787" customFormat="false" ht="15" hidden="false" customHeight="false" outlineLevel="0" collapsed="false">
      <c r="A1787" s="109" t="s">
        <v>105</v>
      </c>
      <c r="B1787" s="109" t="s">
        <v>114</v>
      </c>
      <c r="C1787" s="109" t="s">
        <v>708</v>
      </c>
      <c r="D1787" s="109" t="s">
        <v>55</v>
      </c>
      <c r="E1787" s="112" t="s">
        <v>16</v>
      </c>
      <c r="F1787" s="109" t="s">
        <v>3428</v>
      </c>
      <c r="G1787" s="111" t="s">
        <v>1983</v>
      </c>
    </row>
    <row r="1788" customFormat="false" ht="23.85" hidden="false" customHeight="false" outlineLevel="0" collapsed="false">
      <c r="A1788" s="109" t="s">
        <v>105</v>
      </c>
      <c r="B1788" s="109" t="s">
        <v>114</v>
      </c>
      <c r="C1788" s="109" t="s">
        <v>708</v>
      </c>
      <c r="D1788" s="109" t="s">
        <v>59</v>
      </c>
      <c r="E1788" s="110" t="s">
        <v>18</v>
      </c>
      <c r="F1788" s="109" t="s">
        <v>3429</v>
      </c>
      <c r="G1788" s="111" t="s">
        <v>3430</v>
      </c>
    </row>
    <row r="1789" customFormat="false" ht="15" hidden="false" customHeight="false" outlineLevel="0" collapsed="false">
      <c r="A1789" s="109" t="s">
        <v>105</v>
      </c>
      <c r="B1789" s="109" t="s">
        <v>114</v>
      </c>
      <c r="C1789" s="109" t="s">
        <v>708</v>
      </c>
      <c r="D1789" s="109" t="s">
        <v>63</v>
      </c>
      <c r="E1789" s="113" t="s">
        <v>24</v>
      </c>
      <c r="F1789" s="109" t="s">
        <v>3431</v>
      </c>
      <c r="G1789" s="109"/>
    </row>
    <row r="1790" customFormat="false" ht="15" hidden="false" customHeight="false" outlineLevel="0" collapsed="false">
      <c r="A1790" s="109" t="s">
        <v>105</v>
      </c>
      <c r="B1790" s="109" t="s">
        <v>114</v>
      </c>
      <c r="C1790" s="109" t="s">
        <v>708</v>
      </c>
      <c r="D1790" s="109" t="s">
        <v>67</v>
      </c>
      <c r="E1790" s="112" t="s">
        <v>16</v>
      </c>
      <c r="F1790" s="109" t="s">
        <v>3432</v>
      </c>
      <c r="G1790" s="111" t="s">
        <v>996</v>
      </c>
    </row>
    <row r="1791" customFormat="false" ht="15" hidden="false" customHeight="false" outlineLevel="0" collapsed="false">
      <c r="A1791" s="109" t="s">
        <v>105</v>
      </c>
      <c r="B1791" s="109" t="s">
        <v>114</v>
      </c>
      <c r="C1791" s="109" t="s">
        <v>708</v>
      </c>
      <c r="D1791" s="109" t="s">
        <v>71</v>
      </c>
      <c r="E1791" s="112" t="s">
        <v>16</v>
      </c>
      <c r="F1791" s="109" t="s">
        <v>3433</v>
      </c>
      <c r="G1791" s="111" t="s">
        <v>3434</v>
      </c>
    </row>
    <row r="1792" customFormat="false" ht="15" hidden="false" customHeight="false" outlineLevel="0" collapsed="false">
      <c r="A1792" s="109" t="s">
        <v>105</v>
      </c>
      <c r="B1792" s="109" t="s">
        <v>114</v>
      </c>
      <c r="C1792" s="109" t="s">
        <v>710</v>
      </c>
      <c r="D1792" s="109" t="s">
        <v>35</v>
      </c>
      <c r="E1792" s="112" t="s">
        <v>16</v>
      </c>
      <c r="F1792" s="109" t="s">
        <v>3435</v>
      </c>
      <c r="G1792" s="111" t="s">
        <v>3436</v>
      </c>
    </row>
    <row r="1793" customFormat="false" ht="15" hidden="false" customHeight="false" outlineLevel="0" collapsed="false">
      <c r="A1793" s="109" t="s">
        <v>105</v>
      </c>
      <c r="B1793" s="109" t="s">
        <v>114</v>
      </c>
      <c r="C1793" s="109" t="s">
        <v>710</v>
      </c>
      <c r="D1793" s="109" t="s">
        <v>39</v>
      </c>
      <c r="E1793" s="114" t="s">
        <v>22</v>
      </c>
      <c r="F1793" s="109" t="s">
        <v>3437</v>
      </c>
      <c r="G1793" s="111" t="s">
        <v>3438</v>
      </c>
    </row>
    <row r="1794" customFormat="false" ht="23.85" hidden="false" customHeight="false" outlineLevel="0" collapsed="false">
      <c r="A1794" s="109" t="s">
        <v>105</v>
      </c>
      <c r="B1794" s="109" t="s">
        <v>114</v>
      </c>
      <c r="C1794" s="109" t="s">
        <v>710</v>
      </c>
      <c r="D1794" s="109" t="s">
        <v>43</v>
      </c>
      <c r="E1794" s="114" t="s">
        <v>22</v>
      </c>
      <c r="F1794" s="109" t="s">
        <v>3439</v>
      </c>
      <c r="G1794" s="111" t="s">
        <v>2726</v>
      </c>
    </row>
    <row r="1795" customFormat="false" ht="23.85" hidden="false" customHeight="false" outlineLevel="0" collapsed="false">
      <c r="A1795" s="109" t="s">
        <v>105</v>
      </c>
      <c r="B1795" s="109" t="s">
        <v>114</v>
      </c>
      <c r="C1795" s="109" t="s">
        <v>710</v>
      </c>
      <c r="D1795" s="109" t="s">
        <v>47</v>
      </c>
      <c r="E1795" s="112" t="s">
        <v>16</v>
      </c>
      <c r="F1795" s="109" t="s">
        <v>3440</v>
      </c>
      <c r="G1795" s="111" t="s">
        <v>3441</v>
      </c>
    </row>
    <row r="1796" customFormat="false" ht="23.85" hidden="false" customHeight="false" outlineLevel="0" collapsed="false">
      <c r="A1796" s="109" t="s">
        <v>105</v>
      </c>
      <c r="B1796" s="109" t="s">
        <v>114</v>
      </c>
      <c r="C1796" s="109" t="s">
        <v>710</v>
      </c>
      <c r="D1796" s="109" t="s">
        <v>51</v>
      </c>
      <c r="E1796" s="114" t="s">
        <v>22</v>
      </c>
      <c r="F1796" s="109" t="s">
        <v>3442</v>
      </c>
      <c r="G1796" s="111" t="s">
        <v>3443</v>
      </c>
    </row>
    <row r="1797" customFormat="false" ht="15" hidden="false" customHeight="false" outlineLevel="0" collapsed="false">
      <c r="A1797" s="109" t="s">
        <v>105</v>
      </c>
      <c r="B1797" s="109" t="s">
        <v>114</v>
      </c>
      <c r="C1797" s="109" t="s">
        <v>710</v>
      </c>
      <c r="D1797" s="109" t="s">
        <v>55</v>
      </c>
      <c r="E1797" s="114" t="s">
        <v>22</v>
      </c>
      <c r="F1797" s="109" t="s">
        <v>3444</v>
      </c>
      <c r="G1797" s="111" t="s">
        <v>2732</v>
      </c>
    </row>
    <row r="1798" customFormat="false" ht="23.85" hidden="false" customHeight="false" outlineLevel="0" collapsed="false">
      <c r="A1798" s="109" t="s">
        <v>105</v>
      </c>
      <c r="B1798" s="109" t="s">
        <v>114</v>
      </c>
      <c r="C1798" s="109" t="s">
        <v>710</v>
      </c>
      <c r="D1798" s="109" t="s">
        <v>59</v>
      </c>
      <c r="E1798" s="112" t="s">
        <v>16</v>
      </c>
      <c r="F1798" s="109" t="s">
        <v>3445</v>
      </c>
      <c r="G1798" s="111" t="s">
        <v>1479</v>
      </c>
    </row>
    <row r="1799" customFormat="false" ht="23.85" hidden="false" customHeight="false" outlineLevel="0" collapsed="false">
      <c r="A1799" s="109" t="s">
        <v>105</v>
      </c>
      <c r="B1799" s="109" t="s">
        <v>114</v>
      </c>
      <c r="C1799" s="109" t="s">
        <v>710</v>
      </c>
      <c r="D1799" s="109" t="s">
        <v>63</v>
      </c>
      <c r="E1799" s="114" t="s">
        <v>22</v>
      </c>
      <c r="F1799" s="109" t="s">
        <v>3446</v>
      </c>
      <c r="G1799" s="111" t="s">
        <v>3447</v>
      </c>
    </row>
    <row r="1800" customFormat="false" ht="23.85" hidden="false" customHeight="false" outlineLevel="0" collapsed="false">
      <c r="A1800" s="109" t="s">
        <v>105</v>
      </c>
      <c r="B1800" s="109" t="s">
        <v>114</v>
      </c>
      <c r="C1800" s="109" t="s">
        <v>710</v>
      </c>
      <c r="D1800" s="109" t="s">
        <v>67</v>
      </c>
      <c r="E1800" s="114" t="s">
        <v>22</v>
      </c>
      <c r="F1800" s="109" t="s">
        <v>3448</v>
      </c>
      <c r="G1800" s="111" t="s">
        <v>1935</v>
      </c>
    </row>
    <row r="1801" customFormat="false" ht="15" hidden="false" customHeight="false" outlineLevel="0" collapsed="false">
      <c r="A1801" s="109" t="s">
        <v>105</v>
      </c>
      <c r="B1801" s="109" t="s">
        <v>114</v>
      </c>
      <c r="C1801" s="109" t="s">
        <v>710</v>
      </c>
      <c r="D1801" s="109" t="s">
        <v>71</v>
      </c>
      <c r="E1801" s="114" t="s">
        <v>22</v>
      </c>
      <c r="F1801" s="109" t="s">
        <v>3449</v>
      </c>
      <c r="G1801" s="111" t="s">
        <v>1990</v>
      </c>
    </row>
    <row r="1802" customFormat="false" ht="23.85" hidden="false" customHeight="false" outlineLevel="0" collapsed="false">
      <c r="A1802" s="109" t="s">
        <v>105</v>
      </c>
      <c r="B1802" s="109" t="s">
        <v>115</v>
      </c>
      <c r="C1802" s="109" t="s">
        <v>722</v>
      </c>
      <c r="D1802" s="109" t="s">
        <v>35</v>
      </c>
      <c r="E1802" s="110" t="s">
        <v>18</v>
      </c>
      <c r="F1802" s="109" t="s">
        <v>3450</v>
      </c>
      <c r="G1802" s="111" t="s">
        <v>3451</v>
      </c>
    </row>
    <row r="1803" customFormat="false" ht="23.85" hidden="false" customHeight="false" outlineLevel="0" collapsed="false">
      <c r="A1803" s="109" t="s">
        <v>105</v>
      </c>
      <c r="B1803" s="109" t="s">
        <v>115</v>
      </c>
      <c r="C1803" s="109" t="s">
        <v>722</v>
      </c>
      <c r="D1803" s="109" t="s">
        <v>39</v>
      </c>
      <c r="E1803" s="115" t="s">
        <v>20</v>
      </c>
      <c r="F1803" s="109" t="s">
        <v>3452</v>
      </c>
      <c r="G1803" s="111" t="s">
        <v>3453</v>
      </c>
    </row>
    <row r="1804" customFormat="false" ht="15" hidden="false" customHeight="false" outlineLevel="0" collapsed="false">
      <c r="A1804" s="109" t="s">
        <v>105</v>
      </c>
      <c r="B1804" s="109" t="s">
        <v>115</v>
      </c>
      <c r="C1804" s="109" t="s">
        <v>722</v>
      </c>
      <c r="D1804" s="109" t="s">
        <v>43</v>
      </c>
      <c r="E1804" s="115" t="s">
        <v>20</v>
      </c>
      <c r="F1804" s="109" t="s">
        <v>3454</v>
      </c>
      <c r="G1804" s="111" t="s">
        <v>3455</v>
      </c>
    </row>
    <row r="1805" customFormat="false" ht="15" hidden="false" customHeight="false" outlineLevel="0" collapsed="false">
      <c r="A1805" s="109" t="s">
        <v>105</v>
      </c>
      <c r="B1805" s="109" t="s">
        <v>115</v>
      </c>
      <c r="C1805" s="109" t="s">
        <v>722</v>
      </c>
      <c r="D1805" s="109" t="s">
        <v>47</v>
      </c>
      <c r="E1805" s="115" t="s">
        <v>20</v>
      </c>
      <c r="F1805" s="109" t="s">
        <v>3456</v>
      </c>
      <c r="G1805" s="111" t="s">
        <v>3457</v>
      </c>
    </row>
    <row r="1806" customFormat="false" ht="15" hidden="false" customHeight="false" outlineLevel="0" collapsed="false">
      <c r="A1806" s="109" t="s">
        <v>105</v>
      </c>
      <c r="B1806" s="109" t="s">
        <v>115</v>
      </c>
      <c r="C1806" s="109" t="s">
        <v>722</v>
      </c>
      <c r="D1806" s="109" t="s">
        <v>51</v>
      </c>
      <c r="E1806" s="115" t="s">
        <v>20</v>
      </c>
      <c r="F1806" s="109" t="s">
        <v>3458</v>
      </c>
      <c r="G1806" s="111" t="s">
        <v>1947</v>
      </c>
    </row>
    <row r="1807" customFormat="false" ht="15" hidden="false" customHeight="false" outlineLevel="0" collapsed="false">
      <c r="A1807" s="109" t="s">
        <v>105</v>
      </c>
      <c r="B1807" s="109" t="s">
        <v>115</v>
      </c>
      <c r="C1807" s="109" t="s">
        <v>722</v>
      </c>
      <c r="D1807" s="109" t="s">
        <v>55</v>
      </c>
      <c r="E1807" s="115" t="s">
        <v>20</v>
      </c>
      <c r="F1807" s="109" t="s">
        <v>3459</v>
      </c>
      <c r="G1807" s="111" t="s">
        <v>3460</v>
      </c>
    </row>
    <row r="1808" customFormat="false" ht="15" hidden="false" customHeight="false" outlineLevel="0" collapsed="false">
      <c r="A1808" s="109" t="s">
        <v>105</v>
      </c>
      <c r="B1808" s="109" t="s">
        <v>115</v>
      </c>
      <c r="C1808" s="109" t="s">
        <v>722</v>
      </c>
      <c r="D1808" s="109" t="s">
        <v>59</v>
      </c>
      <c r="E1808" s="110" t="s">
        <v>18</v>
      </c>
      <c r="F1808" s="109" t="s">
        <v>3461</v>
      </c>
      <c r="G1808" s="111" t="s">
        <v>3140</v>
      </c>
    </row>
    <row r="1809" customFormat="false" ht="15" hidden="false" customHeight="false" outlineLevel="0" collapsed="false">
      <c r="A1809" s="109" t="s">
        <v>105</v>
      </c>
      <c r="B1809" s="109" t="s">
        <v>115</v>
      </c>
      <c r="C1809" s="109" t="s">
        <v>722</v>
      </c>
      <c r="D1809" s="109" t="s">
        <v>63</v>
      </c>
      <c r="E1809" s="110" t="s">
        <v>18</v>
      </c>
      <c r="F1809" s="109" t="s">
        <v>3462</v>
      </c>
      <c r="G1809" s="111" t="s">
        <v>1157</v>
      </c>
    </row>
    <row r="1810" customFormat="false" ht="15" hidden="false" customHeight="false" outlineLevel="0" collapsed="false">
      <c r="A1810" s="109" t="s">
        <v>105</v>
      </c>
      <c r="B1810" s="109" t="s">
        <v>115</v>
      </c>
      <c r="C1810" s="109" t="s">
        <v>722</v>
      </c>
      <c r="D1810" s="109" t="s">
        <v>67</v>
      </c>
      <c r="E1810" s="113" t="s">
        <v>24</v>
      </c>
      <c r="F1810" s="109" t="s">
        <v>3463</v>
      </c>
      <c r="G1810" s="109"/>
    </row>
    <row r="1811" customFormat="false" ht="15" hidden="false" customHeight="false" outlineLevel="0" collapsed="false">
      <c r="A1811" s="109" t="s">
        <v>105</v>
      </c>
      <c r="B1811" s="109" t="s">
        <v>115</v>
      </c>
      <c r="C1811" s="109" t="s">
        <v>722</v>
      </c>
      <c r="D1811" s="109" t="s">
        <v>71</v>
      </c>
      <c r="E1811" s="113" t="s">
        <v>24</v>
      </c>
      <c r="F1811" s="109" t="s">
        <v>3464</v>
      </c>
      <c r="G1811" s="109"/>
    </row>
    <row r="1812" customFormat="false" ht="15" hidden="false" customHeight="false" outlineLevel="0" collapsed="false">
      <c r="A1812" s="109" t="s">
        <v>105</v>
      </c>
      <c r="B1812" s="109" t="s">
        <v>115</v>
      </c>
      <c r="C1812" s="109" t="s">
        <v>724</v>
      </c>
      <c r="D1812" s="109" t="s">
        <v>35</v>
      </c>
      <c r="E1812" s="110" t="s">
        <v>18</v>
      </c>
      <c r="F1812" s="109" t="s">
        <v>3465</v>
      </c>
      <c r="G1812" s="111" t="s">
        <v>3451</v>
      </c>
    </row>
    <row r="1813" customFormat="false" ht="15" hidden="false" customHeight="false" outlineLevel="0" collapsed="false">
      <c r="A1813" s="109" t="s">
        <v>105</v>
      </c>
      <c r="B1813" s="109" t="s">
        <v>115</v>
      </c>
      <c r="C1813" s="109" t="s">
        <v>724</v>
      </c>
      <c r="D1813" s="109" t="s">
        <v>39</v>
      </c>
      <c r="E1813" s="115" t="s">
        <v>20</v>
      </c>
      <c r="F1813" s="109" t="s">
        <v>3466</v>
      </c>
      <c r="G1813" s="111" t="s">
        <v>3453</v>
      </c>
    </row>
    <row r="1814" customFormat="false" ht="15" hidden="false" customHeight="false" outlineLevel="0" collapsed="false">
      <c r="A1814" s="109" t="s">
        <v>105</v>
      </c>
      <c r="B1814" s="109" t="s">
        <v>115</v>
      </c>
      <c r="C1814" s="109" t="s">
        <v>724</v>
      </c>
      <c r="D1814" s="109" t="s">
        <v>43</v>
      </c>
      <c r="E1814" s="115" t="s">
        <v>20</v>
      </c>
      <c r="F1814" s="109" t="s">
        <v>3467</v>
      </c>
      <c r="G1814" s="111" t="s">
        <v>3468</v>
      </c>
    </row>
    <row r="1815" customFormat="false" ht="15" hidden="false" customHeight="false" outlineLevel="0" collapsed="false">
      <c r="A1815" s="109" t="s">
        <v>105</v>
      </c>
      <c r="B1815" s="109" t="s">
        <v>115</v>
      </c>
      <c r="C1815" s="109" t="s">
        <v>724</v>
      </c>
      <c r="D1815" s="109" t="s">
        <v>47</v>
      </c>
      <c r="E1815" s="115" t="s">
        <v>20</v>
      </c>
      <c r="F1815" s="109" t="s">
        <v>3469</v>
      </c>
      <c r="G1815" s="111" t="s">
        <v>3470</v>
      </c>
    </row>
    <row r="1816" customFormat="false" ht="15" hidden="false" customHeight="false" outlineLevel="0" collapsed="false">
      <c r="A1816" s="109" t="s">
        <v>105</v>
      </c>
      <c r="B1816" s="109" t="s">
        <v>115</v>
      </c>
      <c r="C1816" s="109" t="s">
        <v>724</v>
      </c>
      <c r="D1816" s="109" t="s">
        <v>51</v>
      </c>
      <c r="E1816" s="115" t="s">
        <v>20</v>
      </c>
      <c r="F1816" s="109" t="s">
        <v>3471</v>
      </c>
      <c r="G1816" s="111" t="s">
        <v>3472</v>
      </c>
    </row>
    <row r="1817" customFormat="false" ht="15" hidden="false" customHeight="false" outlineLevel="0" collapsed="false">
      <c r="A1817" s="109" t="s">
        <v>105</v>
      </c>
      <c r="B1817" s="109" t="s">
        <v>115</v>
      </c>
      <c r="C1817" s="109" t="s">
        <v>724</v>
      </c>
      <c r="D1817" s="109" t="s">
        <v>55</v>
      </c>
      <c r="E1817" s="113" t="s">
        <v>24</v>
      </c>
      <c r="F1817" s="109" t="s">
        <v>3473</v>
      </c>
      <c r="G1817" s="109"/>
    </row>
    <row r="1818" customFormat="false" ht="15" hidden="false" customHeight="false" outlineLevel="0" collapsed="false">
      <c r="A1818" s="109" t="s">
        <v>105</v>
      </c>
      <c r="B1818" s="109" t="s">
        <v>115</v>
      </c>
      <c r="C1818" s="109" t="s">
        <v>724</v>
      </c>
      <c r="D1818" s="109" t="s">
        <v>59</v>
      </c>
      <c r="E1818" s="110" t="s">
        <v>18</v>
      </c>
      <c r="F1818" s="109" t="s">
        <v>3474</v>
      </c>
      <c r="G1818" s="111" t="s">
        <v>1856</v>
      </c>
    </row>
    <row r="1819" customFormat="false" ht="15" hidden="false" customHeight="false" outlineLevel="0" collapsed="false">
      <c r="A1819" s="109" t="s">
        <v>105</v>
      </c>
      <c r="B1819" s="109" t="s">
        <v>115</v>
      </c>
      <c r="C1819" s="109" t="s">
        <v>724</v>
      </c>
      <c r="D1819" s="109" t="s">
        <v>63</v>
      </c>
      <c r="E1819" s="110" t="s">
        <v>18</v>
      </c>
      <c r="F1819" s="109" t="s">
        <v>3475</v>
      </c>
      <c r="G1819" s="111" t="s">
        <v>1157</v>
      </c>
    </row>
    <row r="1820" customFormat="false" ht="15" hidden="false" customHeight="false" outlineLevel="0" collapsed="false">
      <c r="A1820" s="109" t="s">
        <v>105</v>
      </c>
      <c r="B1820" s="109" t="s">
        <v>115</v>
      </c>
      <c r="C1820" s="109" t="s">
        <v>724</v>
      </c>
      <c r="D1820" s="109" t="s">
        <v>67</v>
      </c>
      <c r="E1820" s="113" t="s">
        <v>24</v>
      </c>
      <c r="F1820" s="109" t="s">
        <v>3476</v>
      </c>
      <c r="G1820" s="111" t="s">
        <v>3477</v>
      </c>
    </row>
    <row r="1821" customFormat="false" ht="15" hidden="false" customHeight="false" outlineLevel="0" collapsed="false">
      <c r="A1821" s="109" t="s">
        <v>105</v>
      </c>
      <c r="B1821" s="109" t="s">
        <v>115</v>
      </c>
      <c r="C1821" s="109" t="s">
        <v>724</v>
      </c>
      <c r="D1821" s="109" t="s">
        <v>71</v>
      </c>
      <c r="E1821" s="113" t="s">
        <v>24</v>
      </c>
      <c r="F1821" s="109" t="s">
        <v>2671</v>
      </c>
      <c r="G1821" s="109"/>
    </row>
    <row r="1822" customFormat="false" ht="15" hidden="false" customHeight="false" outlineLevel="0" collapsed="false">
      <c r="A1822" s="109" t="s">
        <v>105</v>
      </c>
      <c r="B1822" s="109" t="s">
        <v>115</v>
      </c>
      <c r="C1822" s="109" t="s">
        <v>726</v>
      </c>
      <c r="D1822" s="109" t="s">
        <v>35</v>
      </c>
      <c r="E1822" s="110" t="s">
        <v>18</v>
      </c>
      <c r="F1822" s="109" t="s">
        <v>3478</v>
      </c>
      <c r="G1822" s="111" t="s">
        <v>3451</v>
      </c>
    </row>
    <row r="1823" customFormat="false" ht="15" hidden="false" customHeight="false" outlineLevel="0" collapsed="false">
      <c r="A1823" s="109" t="s">
        <v>105</v>
      </c>
      <c r="B1823" s="109" t="s">
        <v>115</v>
      </c>
      <c r="C1823" s="109" t="s">
        <v>726</v>
      </c>
      <c r="D1823" s="109" t="s">
        <v>39</v>
      </c>
      <c r="E1823" s="115" t="s">
        <v>20</v>
      </c>
      <c r="F1823" s="109" t="s">
        <v>3479</v>
      </c>
      <c r="G1823" s="111" t="s">
        <v>3480</v>
      </c>
    </row>
    <row r="1824" customFormat="false" ht="15" hidden="false" customHeight="false" outlineLevel="0" collapsed="false">
      <c r="A1824" s="109" t="s">
        <v>105</v>
      </c>
      <c r="B1824" s="109" t="s">
        <v>115</v>
      </c>
      <c r="C1824" s="109" t="s">
        <v>726</v>
      </c>
      <c r="D1824" s="109" t="s">
        <v>43</v>
      </c>
      <c r="E1824" s="115" t="s">
        <v>20</v>
      </c>
      <c r="F1824" s="109" t="s">
        <v>3481</v>
      </c>
      <c r="G1824" s="111" t="s">
        <v>3482</v>
      </c>
    </row>
    <row r="1825" customFormat="false" ht="15" hidden="false" customHeight="false" outlineLevel="0" collapsed="false">
      <c r="A1825" s="109" t="s">
        <v>105</v>
      </c>
      <c r="B1825" s="109" t="s">
        <v>115</v>
      </c>
      <c r="C1825" s="109" t="s">
        <v>726</v>
      </c>
      <c r="D1825" s="109" t="s">
        <v>47</v>
      </c>
      <c r="E1825" s="115" t="s">
        <v>20</v>
      </c>
      <c r="F1825" s="109" t="s">
        <v>3483</v>
      </c>
      <c r="G1825" s="111" t="s">
        <v>3457</v>
      </c>
    </row>
    <row r="1826" customFormat="false" ht="15" hidden="false" customHeight="false" outlineLevel="0" collapsed="false">
      <c r="A1826" s="109" t="s">
        <v>105</v>
      </c>
      <c r="B1826" s="109" t="s">
        <v>115</v>
      </c>
      <c r="C1826" s="109" t="s">
        <v>726</v>
      </c>
      <c r="D1826" s="109" t="s">
        <v>51</v>
      </c>
      <c r="E1826" s="115" t="s">
        <v>20</v>
      </c>
      <c r="F1826" s="109" t="s">
        <v>3484</v>
      </c>
      <c r="G1826" s="111" t="s">
        <v>3485</v>
      </c>
    </row>
    <row r="1827" customFormat="false" ht="15" hidden="false" customHeight="false" outlineLevel="0" collapsed="false">
      <c r="A1827" s="109" t="s">
        <v>105</v>
      </c>
      <c r="B1827" s="109" t="s">
        <v>115</v>
      </c>
      <c r="C1827" s="109" t="s">
        <v>726</v>
      </c>
      <c r="D1827" s="109" t="s">
        <v>55</v>
      </c>
      <c r="E1827" s="115" t="s">
        <v>20</v>
      </c>
      <c r="F1827" s="109" t="s">
        <v>3486</v>
      </c>
      <c r="G1827" s="111" t="s">
        <v>3487</v>
      </c>
    </row>
    <row r="1828" customFormat="false" ht="15" hidden="false" customHeight="false" outlineLevel="0" collapsed="false">
      <c r="A1828" s="109" t="s">
        <v>105</v>
      </c>
      <c r="B1828" s="109" t="s">
        <v>115</v>
      </c>
      <c r="C1828" s="109" t="s">
        <v>726</v>
      </c>
      <c r="D1828" s="109" t="s">
        <v>59</v>
      </c>
      <c r="E1828" s="116" t="s">
        <v>26</v>
      </c>
      <c r="F1828" s="109" t="s">
        <v>3488</v>
      </c>
      <c r="G1828" s="109"/>
    </row>
    <row r="1829" customFormat="false" ht="15" hidden="false" customHeight="false" outlineLevel="0" collapsed="false">
      <c r="A1829" s="109" t="s">
        <v>105</v>
      </c>
      <c r="B1829" s="109" t="s">
        <v>115</v>
      </c>
      <c r="C1829" s="109" t="s">
        <v>726</v>
      </c>
      <c r="D1829" s="109" t="s">
        <v>63</v>
      </c>
      <c r="E1829" s="113" t="s">
        <v>24</v>
      </c>
      <c r="F1829" s="109" t="s">
        <v>3489</v>
      </c>
      <c r="G1829" s="109"/>
    </row>
    <row r="1830" customFormat="false" ht="15" hidden="false" customHeight="false" outlineLevel="0" collapsed="false">
      <c r="A1830" s="109" t="s">
        <v>105</v>
      </c>
      <c r="B1830" s="109" t="s">
        <v>115</v>
      </c>
      <c r="C1830" s="109" t="s">
        <v>726</v>
      </c>
      <c r="D1830" s="109" t="s">
        <v>67</v>
      </c>
      <c r="E1830" s="113" t="s">
        <v>24</v>
      </c>
      <c r="F1830" s="109" t="s">
        <v>3490</v>
      </c>
      <c r="G1830" s="111" t="s">
        <v>1239</v>
      </c>
    </row>
    <row r="1831" customFormat="false" ht="15" hidden="false" customHeight="false" outlineLevel="0" collapsed="false">
      <c r="A1831" s="109" t="s">
        <v>105</v>
      </c>
      <c r="B1831" s="109" t="s">
        <v>115</v>
      </c>
      <c r="C1831" s="109" t="s">
        <v>726</v>
      </c>
      <c r="D1831" s="109" t="s">
        <v>71</v>
      </c>
      <c r="E1831" s="113" t="s">
        <v>24</v>
      </c>
      <c r="F1831" s="109" t="s">
        <v>2671</v>
      </c>
      <c r="G1831" s="109"/>
    </row>
    <row r="1832" customFormat="false" ht="23.85" hidden="false" customHeight="false" outlineLevel="0" collapsed="false">
      <c r="A1832" s="109" t="s">
        <v>105</v>
      </c>
      <c r="B1832" s="109" t="s">
        <v>115</v>
      </c>
      <c r="C1832" s="109" t="s">
        <v>728</v>
      </c>
      <c r="D1832" s="109" t="s">
        <v>35</v>
      </c>
      <c r="E1832" s="115" t="s">
        <v>20</v>
      </c>
      <c r="F1832" s="109" t="s">
        <v>3491</v>
      </c>
      <c r="G1832" s="111" t="s">
        <v>3492</v>
      </c>
    </row>
    <row r="1833" customFormat="false" ht="23.85" hidden="false" customHeight="false" outlineLevel="0" collapsed="false">
      <c r="A1833" s="109" t="s">
        <v>105</v>
      </c>
      <c r="B1833" s="109" t="s">
        <v>115</v>
      </c>
      <c r="C1833" s="109" t="s">
        <v>728</v>
      </c>
      <c r="D1833" s="109" t="s">
        <v>39</v>
      </c>
      <c r="E1833" s="115" t="s">
        <v>20</v>
      </c>
      <c r="F1833" s="109" t="s">
        <v>3493</v>
      </c>
      <c r="G1833" s="111" t="s">
        <v>3453</v>
      </c>
    </row>
    <row r="1834" customFormat="false" ht="15" hidden="false" customHeight="false" outlineLevel="0" collapsed="false">
      <c r="A1834" s="109" t="s">
        <v>105</v>
      </c>
      <c r="B1834" s="109" t="s">
        <v>115</v>
      </c>
      <c r="C1834" s="109" t="s">
        <v>728</v>
      </c>
      <c r="D1834" s="109" t="s">
        <v>43</v>
      </c>
      <c r="E1834" s="115" t="s">
        <v>20</v>
      </c>
      <c r="F1834" s="109" t="s">
        <v>3494</v>
      </c>
      <c r="G1834" s="111" t="s">
        <v>3495</v>
      </c>
    </row>
    <row r="1835" customFormat="false" ht="15" hidden="false" customHeight="false" outlineLevel="0" collapsed="false">
      <c r="A1835" s="109" t="s">
        <v>105</v>
      </c>
      <c r="B1835" s="109" t="s">
        <v>115</v>
      </c>
      <c r="C1835" s="109" t="s">
        <v>728</v>
      </c>
      <c r="D1835" s="109" t="s">
        <v>47</v>
      </c>
      <c r="E1835" s="115" t="s">
        <v>20</v>
      </c>
      <c r="F1835" s="109" t="s">
        <v>3496</v>
      </c>
      <c r="G1835" s="111" t="s">
        <v>3457</v>
      </c>
    </row>
    <row r="1836" customFormat="false" ht="15" hidden="false" customHeight="false" outlineLevel="0" collapsed="false">
      <c r="A1836" s="109" t="s">
        <v>105</v>
      </c>
      <c r="B1836" s="109" t="s">
        <v>115</v>
      </c>
      <c r="C1836" s="109" t="s">
        <v>728</v>
      </c>
      <c r="D1836" s="109" t="s">
        <v>51</v>
      </c>
      <c r="E1836" s="116" t="s">
        <v>26</v>
      </c>
      <c r="F1836" s="109" t="s">
        <v>3497</v>
      </c>
      <c r="G1836" s="109"/>
    </row>
    <row r="1837" customFormat="false" ht="15" hidden="false" customHeight="false" outlineLevel="0" collapsed="false">
      <c r="A1837" s="109" t="s">
        <v>105</v>
      </c>
      <c r="B1837" s="109" t="s">
        <v>115</v>
      </c>
      <c r="C1837" s="109" t="s">
        <v>728</v>
      </c>
      <c r="D1837" s="109" t="s">
        <v>55</v>
      </c>
      <c r="E1837" s="115" t="s">
        <v>20</v>
      </c>
      <c r="F1837" s="109" t="s">
        <v>3498</v>
      </c>
      <c r="G1837" s="111" t="s">
        <v>3499</v>
      </c>
    </row>
    <row r="1838" customFormat="false" ht="15" hidden="false" customHeight="false" outlineLevel="0" collapsed="false">
      <c r="A1838" s="109" t="s">
        <v>105</v>
      </c>
      <c r="B1838" s="109" t="s">
        <v>115</v>
      </c>
      <c r="C1838" s="109" t="s">
        <v>728</v>
      </c>
      <c r="D1838" s="109" t="s">
        <v>59</v>
      </c>
      <c r="E1838" s="110" t="s">
        <v>18</v>
      </c>
      <c r="F1838" s="109" t="s">
        <v>3500</v>
      </c>
      <c r="G1838" s="111" t="s">
        <v>1571</v>
      </c>
    </row>
    <row r="1839" customFormat="false" ht="15" hidden="false" customHeight="false" outlineLevel="0" collapsed="false">
      <c r="A1839" s="109" t="s">
        <v>105</v>
      </c>
      <c r="B1839" s="109" t="s">
        <v>115</v>
      </c>
      <c r="C1839" s="109" t="s">
        <v>728</v>
      </c>
      <c r="D1839" s="109" t="s">
        <v>63</v>
      </c>
      <c r="E1839" s="110" t="s">
        <v>18</v>
      </c>
      <c r="F1839" s="109" t="s">
        <v>3501</v>
      </c>
      <c r="G1839" s="111" t="s">
        <v>1157</v>
      </c>
    </row>
    <row r="1840" customFormat="false" ht="15" hidden="false" customHeight="false" outlineLevel="0" collapsed="false">
      <c r="A1840" s="109" t="s">
        <v>105</v>
      </c>
      <c r="B1840" s="109" t="s">
        <v>115</v>
      </c>
      <c r="C1840" s="109" t="s">
        <v>728</v>
      </c>
      <c r="D1840" s="109" t="s">
        <v>67</v>
      </c>
      <c r="E1840" s="113" t="s">
        <v>24</v>
      </c>
      <c r="F1840" s="109" t="s">
        <v>3502</v>
      </c>
      <c r="G1840" s="111" t="s">
        <v>1498</v>
      </c>
    </row>
    <row r="1841" customFormat="false" ht="15" hidden="false" customHeight="false" outlineLevel="0" collapsed="false">
      <c r="A1841" s="109" t="s">
        <v>105</v>
      </c>
      <c r="B1841" s="109" t="s">
        <v>115</v>
      </c>
      <c r="C1841" s="109" t="s">
        <v>728</v>
      </c>
      <c r="D1841" s="109" t="s">
        <v>71</v>
      </c>
      <c r="E1841" s="113" t="s">
        <v>24</v>
      </c>
      <c r="F1841" s="109" t="s">
        <v>2671</v>
      </c>
      <c r="G1841" s="109"/>
    </row>
    <row r="1842" customFormat="false" ht="23.85" hidden="false" customHeight="false" outlineLevel="0" collapsed="false">
      <c r="A1842" s="109" t="s">
        <v>105</v>
      </c>
      <c r="B1842" s="109" t="s">
        <v>115</v>
      </c>
      <c r="C1842" s="109" t="s">
        <v>730</v>
      </c>
      <c r="D1842" s="109" t="s">
        <v>35</v>
      </c>
      <c r="E1842" s="110" t="s">
        <v>18</v>
      </c>
      <c r="F1842" s="109" t="s">
        <v>3503</v>
      </c>
      <c r="G1842" s="111" t="s">
        <v>3504</v>
      </c>
    </row>
    <row r="1843" customFormat="false" ht="23.85" hidden="false" customHeight="false" outlineLevel="0" collapsed="false">
      <c r="A1843" s="109" t="s">
        <v>105</v>
      </c>
      <c r="B1843" s="109" t="s">
        <v>115</v>
      </c>
      <c r="C1843" s="109" t="s">
        <v>730</v>
      </c>
      <c r="D1843" s="109" t="s">
        <v>39</v>
      </c>
      <c r="E1843" s="115" t="s">
        <v>20</v>
      </c>
      <c r="F1843" s="109" t="s">
        <v>3505</v>
      </c>
      <c r="G1843" s="111" t="s">
        <v>3506</v>
      </c>
    </row>
    <row r="1844" customFormat="false" ht="23.85" hidden="false" customHeight="false" outlineLevel="0" collapsed="false">
      <c r="A1844" s="109" t="s">
        <v>105</v>
      </c>
      <c r="B1844" s="109" t="s">
        <v>115</v>
      </c>
      <c r="C1844" s="109" t="s">
        <v>730</v>
      </c>
      <c r="D1844" s="109" t="s">
        <v>43</v>
      </c>
      <c r="E1844" s="115" t="s">
        <v>20</v>
      </c>
      <c r="F1844" s="109" t="s">
        <v>3507</v>
      </c>
      <c r="G1844" s="111" t="s">
        <v>3508</v>
      </c>
    </row>
    <row r="1845" customFormat="false" ht="15" hidden="false" customHeight="false" outlineLevel="0" collapsed="false">
      <c r="A1845" s="109" t="s">
        <v>105</v>
      </c>
      <c r="B1845" s="109" t="s">
        <v>115</v>
      </c>
      <c r="C1845" s="109" t="s">
        <v>730</v>
      </c>
      <c r="D1845" s="109" t="s">
        <v>47</v>
      </c>
      <c r="E1845" s="115" t="s">
        <v>20</v>
      </c>
      <c r="F1845" s="109" t="s">
        <v>3509</v>
      </c>
      <c r="G1845" s="111" t="s">
        <v>3510</v>
      </c>
    </row>
    <row r="1846" customFormat="false" ht="23.85" hidden="false" customHeight="false" outlineLevel="0" collapsed="false">
      <c r="A1846" s="109" t="s">
        <v>105</v>
      </c>
      <c r="B1846" s="109" t="s">
        <v>115</v>
      </c>
      <c r="C1846" s="109" t="s">
        <v>730</v>
      </c>
      <c r="D1846" s="109" t="s">
        <v>51</v>
      </c>
      <c r="E1846" s="115" t="s">
        <v>20</v>
      </c>
      <c r="F1846" s="109" t="s">
        <v>3511</v>
      </c>
      <c r="G1846" s="111" t="s">
        <v>3512</v>
      </c>
    </row>
    <row r="1847" customFormat="false" ht="15" hidden="false" customHeight="false" outlineLevel="0" collapsed="false">
      <c r="A1847" s="109" t="s">
        <v>105</v>
      </c>
      <c r="B1847" s="109" t="s">
        <v>115</v>
      </c>
      <c r="C1847" s="109" t="s">
        <v>730</v>
      </c>
      <c r="D1847" s="109" t="s">
        <v>55</v>
      </c>
      <c r="E1847" s="110" t="s">
        <v>18</v>
      </c>
      <c r="F1847" s="109" t="s">
        <v>3513</v>
      </c>
      <c r="G1847" s="111" t="s">
        <v>3514</v>
      </c>
    </row>
    <row r="1848" customFormat="false" ht="23.85" hidden="false" customHeight="false" outlineLevel="0" collapsed="false">
      <c r="A1848" s="109" t="s">
        <v>105</v>
      </c>
      <c r="B1848" s="109" t="s">
        <v>115</v>
      </c>
      <c r="C1848" s="109" t="s">
        <v>730</v>
      </c>
      <c r="D1848" s="109" t="s">
        <v>59</v>
      </c>
      <c r="E1848" s="110" t="s">
        <v>18</v>
      </c>
      <c r="F1848" s="109" t="s">
        <v>3515</v>
      </c>
      <c r="G1848" s="111" t="s">
        <v>1251</v>
      </c>
    </row>
    <row r="1849" customFormat="false" ht="23.85" hidden="false" customHeight="false" outlineLevel="0" collapsed="false">
      <c r="A1849" s="109" t="s">
        <v>105</v>
      </c>
      <c r="B1849" s="109" t="s">
        <v>115</v>
      </c>
      <c r="C1849" s="109" t="s">
        <v>730</v>
      </c>
      <c r="D1849" s="109" t="s">
        <v>63</v>
      </c>
      <c r="E1849" s="110" t="s">
        <v>18</v>
      </c>
      <c r="F1849" s="109" t="s">
        <v>3516</v>
      </c>
      <c r="G1849" s="111" t="s">
        <v>3517</v>
      </c>
    </row>
    <row r="1850" customFormat="false" ht="15" hidden="false" customHeight="false" outlineLevel="0" collapsed="false">
      <c r="A1850" s="109" t="s">
        <v>105</v>
      </c>
      <c r="B1850" s="109" t="s">
        <v>115</v>
      </c>
      <c r="C1850" s="109" t="s">
        <v>730</v>
      </c>
      <c r="D1850" s="109" t="s">
        <v>67</v>
      </c>
      <c r="E1850" s="114" t="s">
        <v>22</v>
      </c>
      <c r="F1850" s="109" t="s">
        <v>3518</v>
      </c>
      <c r="G1850" s="111" t="s">
        <v>3519</v>
      </c>
    </row>
    <row r="1851" customFormat="false" ht="15" hidden="false" customHeight="false" outlineLevel="0" collapsed="false">
      <c r="A1851" s="109" t="s">
        <v>105</v>
      </c>
      <c r="B1851" s="109" t="s">
        <v>115</v>
      </c>
      <c r="C1851" s="109" t="s">
        <v>730</v>
      </c>
      <c r="D1851" s="109" t="s">
        <v>71</v>
      </c>
      <c r="E1851" s="113" t="s">
        <v>24</v>
      </c>
      <c r="F1851" s="109" t="s">
        <v>2671</v>
      </c>
      <c r="G1851" s="109"/>
    </row>
    <row r="1852" customFormat="false" ht="15" hidden="false" customHeight="false" outlineLevel="0" collapsed="false">
      <c r="A1852" s="109" t="s">
        <v>116</v>
      </c>
      <c r="B1852" s="109" t="s">
        <v>117</v>
      </c>
      <c r="C1852" s="109" t="s">
        <v>739</v>
      </c>
      <c r="D1852" s="109" t="s">
        <v>35</v>
      </c>
      <c r="E1852" s="112" t="s">
        <v>16</v>
      </c>
      <c r="F1852" s="109" t="s">
        <v>3520</v>
      </c>
      <c r="G1852" s="111" t="s">
        <v>3521</v>
      </c>
    </row>
    <row r="1853" customFormat="false" ht="23.85" hidden="false" customHeight="false" outlineLevel="0" collapsed="false">
      <c r="A1853" s="109" t="s">
        <v>116</v>
      </c>
      <c r="B1853" s="109" t="s">
        <v>117</v>
      </c>
      <c r="C1853" s="109" t="s">
        <v>739</v>
      </c>
      <c r="D1853" s="109" t="s">
        <v>39</v>
      </c>
      <c r="E1853" s="114" t="s">
        <v>22</v>
      </c>
      <c r="F1853" s="109" t="s">
        <v>3522</v>
      </c>
      <c r="G1853" s="111" t="s">
        <v>3523</v>
      </c>
    </row>
    <row r="1854" customFormat="false" ht="23.85" hidden="false" customHeight="false" outlineLevel="0" collapsed="false">
      <c r="A1854" s="109" t="s">
        <v>116</v>
      </c>
      <c r="B1854" s="109" t="s">
        <v>117</v>
      </c>
      <c r="C1854" s="109" t="s">
        <v>739</v>
      </c>
      <c r="D1854" s="109" t="s">
        <v>43</v>
      </c>
      <c r="E1854" s="114" t="s">
        <v>22</v>
      </c>
      <c r="F1854" s="109" t="s">
        <v>3524</v>
      </c>
      <c r="G1854" s="111" t="s">
        <v>1691</v>
      </c>
    </row>
    <row r="1855" customFormat="false" ht="23.85" hidden="false" customHeight="false" outlineLevel="0" collapsed="false">
      <c r="A1855" s="109" t="s">
        <v>116</v>
      </c>
      <c r="B1855" s="109" t="s">
        <v>117</v>
      </c>
      <c r="C1855" s="109" t="s">
        <v>739</v>
      </c>
      <c r="D1855" s="109" t="s">
        <v>47</v>
      </c>
      <c r="E1855" s="113" t="s">
        <v>24</v>
      </c>
      <c r="F1855" s="109" t="s">
        <v>3525</v>
      </c>
      <c r="G1855" s="109"/>
    </row>
    <row r="1856" customFormat="false" ht="15" hidden="false" customHeight="false" outlineLevel="0" collapsed="false">
      <c r="A1856" s="109" t="s">
        <v>116</v>
      </c>
      <c r="B1856" s="109" t="s">
        <v>117</v>
      </c>
      <c r="C1856" s="109" t="s">
        <v>739</v>
      </c>
      <c r="D1856" s="109" t="s">
        <v>51</v>
      </c>
      <c r="E1856" s="115" t="s">
        <v>20</v>
      </c>
      <c r="F1856" s="109" t="s">
        <v>3526</v>
      </c>
      <c r="G1856" s="111" t="s">
        <v>3527</v>
      </c>
    </row>
    <row r="1857" customFormat="false" ht="15" hidden="false" customHeight="false" outlineLevel="0" collapsed="false">
      <c r="A1857" s="109" t="s">
        <v>116</v>
      </c>
      <c r="B1857" s="109" t="s">
        <v>117</v>
      </c>
      <c r="C1857" s="109" t="s">
        <v>739</v>
      </c>
      <c r="D1857" s="109" t="s">
        <v>55</v>
      </c>
      <c r="E1857" s="115" t="s">
        <v>20</v>
      </c>
      <c r="F1857" s="109" t="s">
        <v>3528</v>
      </c>
      <c r="G1857" s="111" t="s">
        <v>3529</v>
      </c>
    </row>
    <row r="1858" customFormat="false" ht="23.85" hidden="false" customHeight="false" outlineLevel="0" collapsed="false">
      <c r="A1858" s="109" t="s">
        <v>116</v>
      </c>
      <c r="B1858" s="109" t="s">
        <v>117</v>
      </c>
      <c r="C1858" s="109" t="s">
        <v>739</v>
      </c>
      <c r="D1858" s="109" t="s">
        <v>59</v>
      </c>
      <c r="E1858" s="114" t="s">
        <v>22</v>
      </c>
      <c r="F1858" s="109" t="s">
        <v>3530</v>
      </c>
      <c r="G1858" s="111" t="s">
        <v>1951</v>
      </c>
    </row>
    <row r="1859" customFormat="false" ht="15" hidden="false" customHeight="false" outlineLevel="0" collapsed="false">
      <c r="A1859" s="109" t="s">
        <v>116</v>
      </c>
      <c r="B1859" s="109" t="s">
        <v>117</v>
      </c>
      <c r="C1859" s="109" t="s">
        <v>739</v>
      </c>
      <c r="D1859" s="109" t="s">
        <v>63</v>
      </c>
      <c r="E1859" s="113" t="s">
        <v>24</v>
      </c>
      <c r="F1859" s="109" t="s">
        <v>3531</v>
      </c>
      <c r="G1859" s="109"/>
    </row>
    <row r="1860" customFormat="false" ht="15" hidden="false" customHeight="false" outlineLevel="0" collapsed="false">
      <c r="A1860" s="109" t="s">
        <v>116</v>
      </c>
      <c r="B1860" s="109" t="s">
        <v>117</v>
      </c>
      <c r="C1860" s="109" t="s">
        <v>739</v>
      </c>
      <c r="D1860" s="109" t="s">
        <v>67</v>
      </c>
      <c r="E1860" s="113" t="s">
        <v>24</v>
      </c>
      <c r="F1860" s="109" t="s">
        <v>3532</v>
      </c>
      <c r="G1860" s="109"/>
    </row>
    <row r="1861" customFormat="false" ht="15" hidden="false" customHeight="false" outlineLevel="0" collapsed="false">
      <c r="A1861" s="109" t="s">
        <v>116</v>
      </c>
      <c r="B1861" s="109" t="s">
        <v>117</v>
      </c>
      <c r="C1861" s="109" t="s">
        <v>739</v>
      </c>
      <c r="D1861" s="109" t="s">
        <v>71</v>
      </c>
      <c r="E1861" s="113" t="s">
        <v>24</v>
      </c>
      <c r="F1861" s="109" t="s">
        <v>3533</v>
      </c>
      <c r="G1861" s="109"/>
    </row>
    <row r="1862" customFormat="false" ht="23.85" hidden="false" customHeight="false" outlineLevel="0" collapsed="false">
      <c r="A1862" s="109" t="s">
        <v>116</v>
      </c>
      <c r="B1862" s="109" t="s">
        <v>117</v>
      </c>
      <c r="C1862" s="109" t="s">
        <v>741</v>
      </c>
      <c r="D1862" s="109" t="s">
        <v>35</v>
      </c>
      <c r="E1862" s="115" t="s">
        <v>20</v>
      </c>
      <c r="F1862" s="109" t="s">
        <v>3534</v>
      </c>
      <c r="G1862" s="111" t="s">
        <v>3535</v>
      </c>
    </row>
    <row r="1863" customFormat="false" ht="15" hidden="false" customHeight="false" outlineLevel="0" collapsed="false">
      <c r="A1863" s="109" t="s">
        <v>116</v>
      </c>
      <c r="B1863" s="109" t="s">
        <v>117</v>
      </c>
      <c r="C1863" s="109" t="s">
        <v>741</v>
      </c>
      <c r="D1863" s="109" t="s">
        <v>39</v>
      </c>
      <c r="E1863" s="115" t="s">
        <v>20</v>
      </c>
      <c r="F1863" s="109" t="s">
        <v>3536</v>
      </c>
      <c r="G1863" s="111" t="s">
        <v>3537</v>
      </c>
    </row>
    <row r="1864" customFormat="false" ht="15" hidden="false" customHeight="false" outlineLevel="0" collapsed="false">
      <c r="A1864" s="109" t="s">
        <v>116</v>
      </c>
      <c r="B1864" s="109" t="s">
        <v>117</v>
      </c>
      <c r="C1864" s="109" t="s">
        <v>741</v>
      </c>
      <c r="D1864" s="109" t="s">
        <v>43</v>
      </c>
      <c r="E1864" s="115" t="s">
        <v>20</v>
      </c>
      <c r="F1864" s="109" t="s">
        <v>3538</v>
      </c>
      <c r="G1864" s="111" t="s">
        <v>3539</v>
      </c>
    </row>
    <row r="1865" customFormat="false" ht="15" hidden="false" customHeight="false" outlineLevel="0" collapsed="false">
      <c r="A1865" s="109" t="s">
        <v>116</v>
      </c>
      <c r="B1865" s="109" t="s">
        <v>117</v>
      </c>
      <c r="C1865" s="109" t="s">
        <v>741</v>
      </c>
      <c r="D1865" s="109" t="s">
        <v>47</v>
      </c>
      <c r="E1865" s="115" t="s">
        <v>20</v>
      </c>
      <c r="F1865" s="109" t="s">
        <v>3540</v>
      </c>
      <c r="G1865" s="111" t="s">
        <v>3541</v>
      </c>
    </row>
    <row r="1866" customFormat="false" ht="15" hidden="false" customHeight="false" outlineLevel="0" collapsed="false">
      <c r="A1866" s="109" t="s">
        <v>116</v>
      </c>
      <c r="B1866" s="109" t="s">
        <v>117</v>
      </c>
      <c r="C1866" s="109" t="s">
        <v>741</v>
      </c>
      <c r="D1866" s="109" t="s">
        <v>51</v>
      </c>
      <c r="E1866" s="115" t="s">
        <v>20</v>
      </c>
      <c r="F1866" s="109" t="s">
        <v>3542</v>
      </c>
      <c r="G1866" s="111" t="s">
        <v>3543</v>
      </c>
    </row>
    <row r="1867" customFormat="false" ht="15" hidden="false" customHeight="false" outlineLevel="0" collapsed="false">
      <c r="A1867" s="109" t="s">
        <v>116</v>
      </c>
      <c r="B1867" s="109" t="s">
        <v>117</v>
      </c>
      <c r="C1867" s="109" t="s">
        <v>741</v>
      </c>
      <c r="D1867" s="109" t="s">
        <v>55</v>
      </c>
      <c r="E1867" s="115" t="s">
        <v>20</v>
      </c>
      <c r="F1867" s="109" t="s">
        <v>3544</v>
      </c>
      <c r="G1867" s="111" t="s">
        <v>3529</v>
      </c>
    </row>
    <row r="1868" customFormat="false" ht="15" hidden="false" customHeight="false" outlineLevel="0" collapsed="false">
      <c r="A1868" s="109" t="s">
        <v>116</v>
      </c>
      <c r="B1868" s="109" t="s">
        <v>117</v>
      </c>
      <c r="C1868" s="109" t="s">
        <v>741</v>
      </c>
      <c r="D1868" s="109" t="s">
        <v>59</v>
      </c>
      <c r="E1868" s="115" t="s">
        <v>20</v>
      </c>
      <c r="F1868" s="109" t="s">
        <v>3545</v>
      </c>
      <c r="G1868" s="111" t="s">
        <v>3546</v>
      </c>
    </row>
    <row r="1869" customFormat="false" ht="15" hidden="false" customHeight="false" outlineLevel="0" collapsed="false">
      <c r="A1869" s="109" t="s">
        <v>116</v>
      </c>
      <c r="B1869" s="109" t="s">
        <v>117</v>
      </c>
      <c r="C1869" s="109" t="s">
        <v>741</v>
      </c>
      <c r="D1869" s="109" t="s">
        <v>63</v>
      </c>
      <c r="E1869" s="113" t="s">
        <v>24</v>
      </c>
      <c r="F1869" s="109" t="s">
        <v>3547</v>
      </c>
      <c r="G1869" s="109"/>
    </row>
    <row r="1870" customFormat="false" ht="15" hidden="false" customHeight="false" outlineLevel="0" collapsed="false">
      <c r="A1870" s="109" t="s">
        <v>116</v>
      </c>
      <c r="B1870" s="109" t="s">
        <v>117</v>
      </c>
      <c r="C1870" s="109" t="s">
        <v>741</v>
      </c>
      <c r="D1870" s="109" t="s">
        <v>67</v>
      </c>
      <c r="E1870" s="113" t="s">
        <v>24</v>
      </c>
      <c r="F1870" s="109" t="s">
        <v>3548</v>
      </c>
      <c r="G1870" s="111" t="s">
        <v>3549</v>
      </c>
    </row>
    <row r="1871" customFormat="false" ht="15" hidden="false" customHeight="false" outlineLevel="0" collapsed="false">
      <c r="A1871" s="109" t="s">
        <v>116</v>
      </c>
      <c r="B1871" s="109" t="s">
        <v>117</v>
      </c>
      <c r="C1871" s="109" t="s">
        <v>741</v>
      </c>
      <c r="D1871" s="109" t="s">
        <v>71</v>
      </c>
      <c r="E1871" s="113" t="s">
        <v>24</v>
      </c>
      <c r="F1871" s="109" t="s">
        <v>2671</v>
      </c>
      <c r="G1871" s="109"/>
    </row>
    <row r="1872" customFormat="false" ht="23.85" hidden="false" customHeight="false" outlineLevel="0" collapsed="false">
      <c r="A1872" s="109" t="s">
        <v>116</v>
      </c>
      <c r="B1872" s="109" t="s">
        <v>117</v>
      </c>
      <c r="C1872" s="109" t="s">
        <v>743</v>
      </c>
      <c r="D1872" s="109" t="s">
        <v>35</v>
      </c>
      <c r="E1872" s="112" t="s">
        <v>16</v>
      </c>
      <c r="F1872" s="109" t="s">
        <v>3550</v>
      </c>
      <c r="G1872" s="111" t="s">
        <v>3551</v>
      </c>
    </row>
    <row r="1873" customFormat="false" ht="15" hidden="false" customHeight="false" outlineLevel="0" collapsed="false">
      <c r="A1873" s="109" t="s">
        <v>116</v>
      </c>
      <c r="B1873" s="109" t="s">
        <v>117</v>
      </c>
      <c r="C1873" s="109" t="s">
        <v>743</v>
      </c>
      <c r="D1873" s="109" t="s">
        <v>39</v>
      </c>
      <c r="E1873" s="114" t="s">
        <v>22</v>
      </c>
      <c r="F1873" s="109" t="s">
        <v>3552</v>
      </c>
      <c r="G1873" s="111" t="s">
        <v>3553</v>
      </c>
    </row>
    <row r="1874" customFormat="false" ht="15" hidden="false" customHeight="false" outlineLevel="0" collapsed="false">
      <c r="A1874" s="109" t="s">
        <v>116</v>
      </c>
      <c r="B1874" s="109" t="s">
        <v>117</v>
      </c>
      <c r="C1874" s="109" t="s">
        <v>743</v>
      </c>
      <c r="D1874" s="109" t="s">
        <v>43</v>
      </c>
      <c r="E1874" s="113" t="s">
        <v>24</v>
      </c>
      <c r="F1874" s="109" t="s">
        <v>3554</v>
      </c>
      <c r="G1874" s="109"/>
    </row>
    <row r="1875" customFormat="false" ht="15" hidden="false" customHeight="false" outlineLevel="0" collapsed="false">
      <c r="A1875" s="109" t="s">
        <v>116</v>
      </c>
      <c r="B1875" s="109" t="s">
        <v>117</v>
      </c>
      <c r="C1875" s="109" t="s">
        <v>743</v>
      </c>
      <c r="D1875" s="109" t="s">
        <v>47</v>
      </c>
      <c r="E1875" s="113" t="s">
        <v>24</v>
      </c>
      <c r="F1875" s="109" t="s">
        <v>3555</v>
      </c>
      <c r="G1875" s="109"/>
    </row>
    <row r="1876" customFormat="false" ht="15" hidden="false" customHeight="false" outlineLevel="0" collapsed="false">
      <c r="A1876" s="109" t="s">
        <v>116</v>
      </c>
      <c r="B1876" s="109" t="s">
        <v>117</v>
      </c>
      <c r="C1876" s="109" t="s">
        <v>743</v>
      </c>
      <c r="D1876" s="109" t="s">
        <v>51</v>
      </c>
      <c r="E1876" s="113" t="s">
        <v>24</v>
      </c>
      <c r="F1876" s="109" t="s">
        <v>3556</v>
      </c>
      <c r="G1876" s="109"/>
    </row>
    <row r="1877" customFormat="false" ht="15" hidden="false" customHeight="false" outlineLevel="0" collapsed="false">
      <c r="A1877" s="109" t="s">
        <v>116</v>
      </c>
      <c r="B1877" s="109" t="s">
        <v>117</v>
      </c>
      <c r="C1877" s="109" t="s">
        <v>743</v>
      </c>
      <c r="D1877" s="109" t="s">
        <v>55</v>
      </c>
      <c r="E1877" s="113" t="s">
        <v>24</v>
      </c>
      <c r="F1877" s="109" t="s">
        <v>3557</v>
      </c>
      <c r="G1877" s="109"/>
    </row>
    <row r="1878" customFormat="false" ht="15" hidden="false" customHeight="false" outlineLevel="0" collapsed="false">
      <c r="A1878" s="109" t="s">
        <v>116</v>
      </c>
      <c r="B1878" s="109" t="s">
        <v>117</v>
      </c>
      <c r="C1878" s="109" t="s">
        <v>743</v>
      </c>
      <c r="D1878" s="109" t="s">
        <v>59</v>
      </c>
      <c r="E1878" s="113" t="s">
        <v>24</v>
      </c>
      <c r="F1878" s="109" t="s">
        <v>3558</v>
      </c>
      <c r="G1878" s="109"/>
    </row>
    <row r="1879" customFormat="false" ht="15" hidden="false" customHeight="false" outlineLevel="0" collapsed="false">
      <c r="A1879" s="109" t="s">
        <v>116</v>
      </c>
      <c r="B1879" s="109" t="s">
        <v>117</v>
      </c>
      <c r="C1879" s="109" t="s">
        <v>743</v>
      </c>
      <c r="D1879" s="109" t="s">
        <v>63</v>
      </c>
      <c r="E1879" s="113" t="s">
        <v>24</v>
      </c>
      <c r="F1879" s="109" t="s">
        <v>2671</v>
      </c>
      <c r="G1879" s="109"/>
    </row>
    <row r="1880" customFormat="false" ht="15" hidden="false" customHeight="false" outlineLevel="0" collapsed="false">
      <c r="A1880" s="109" t="s">
        <v>116</v>
      </c>
      <c r="B1880" s="109" t="s">
        <v>117</v>
      </c>
      <c r="C1880" s="109" t="s">
        <v>743</v>
      </c>
      <c r="D1880" s="109" t="s">
        <v>67</v>
      </c>
      <c r="E1880" s="113" t="s">
        <v>24</v>
      </c>
      <c r="F1880" s="109" t="s">
        <v>3559</v>
      </c>
      <c r="G1880" s="109"/>
    </row>
    <row r="1881" customFormat="false" ht="15" hidden="false" customHeight="false" outlineLevel="0" collapsed="false">
      <c r="A1881" s="109" t="s">
        <v>116</v>
      </c>
      <c r="B1881" s="109" t="s">
        <v>117</v>
      </c>
      <c r="C1881" s="109" t="s">
        <v>743</v>
      </c>
      <c r="D1881" s="109" t="s">
        <v>71</v>
      </c>
      <c r="E1881" s="114" t="s">
        <v>22</v>
      </c>
      <c r="F1881" s="109" t="s">
        <v>3560</v>
      </c>
      <c r="G1881" s="111" t="s">
        <v>965</v>
      </c>
    </row>
    <row r="1882" customFormat="false" ht="23.85" hidden="false" customHeight="false" outlineLevel="0" collapsed="false">
      <c r="A1882" s="109" t="s">
        <v>116</v>
      </c>
      <c r="B1882" s="109" t="s">
        <v>117</v>
      </c>
      <c r="C1882" s="109" t="s">
        <v>745</v>
      </c>
      <c r="D1882" s="109" t="s">
        <v>35</v>
      </c>
      <c r="E1882" s="112" t="s">
        <v>16</v>
      </c>
      <c r="F1882" s="109" t="s">
        <v>3561</v>
      </c>
      <c r="G1882" s="111" t="s">
        <v>3562</v>
      </c>
    </row>
    <row r="1883" customFormat="false" ht="23.85" hidden="false" customHeight="false" outlineLevel="0" collapsed="false">
      <c r="A1883" s="109" t="s">
        <v>116</v>
      </c>
      <c r="B1883" s="109" t="s">
        <v>117</v>
      </c>
      <c r="C1883" s="109" t="s">
        <v>745</v>
      </c>
      <c r="D1883" s="109" t="s">
        <v>39</v>
      </c>
      <c r="E1883" s="114" t="s">
        <v>22</v>
      </c>
      <c r="F1883" s="109" t="s">
        <v>3563</v>
      </c>
      <c r="G1883" s="111" t="s">
        <v>3564</v>
      </c>
    </row>
    <row r="1884" customFormat="false" ht="15" hidden="false" customHeight="false" outlineLevel="0" collapsed="false">
      <c r="A1884" s="109" t="s">
        <v>116</v>
      </c>
      <c r="B1884" s="109" t="s">
        <v>117</v>
      </c>
      <c r="C1884" s="109" t="s">
        <v>745</v>
      </c>
      <c r="D1884" s="109" t="s">
        <v>43</v>
      </c>
      <c r="E1884" s="113" t="s">
        <v>24</v>
      </c>
      <c r="F1884" s="109" t="s">
        <v>3565</v>
      </c>
      <c r="G1884" s="109"/>
    </row>
    <row r="1885" customFormat="false" ht="15" hidden="false" customHeight="false" outlineLevel="0" collapsed="false">
      <c r="A1885" s="109" t="s">
        <v>116</v>
      </c>
      <c r="B1885" s="109" t="s">
        <v>117</v>
      </c>
      <c r="C1885" s="109" t="s">
        <v>745</v>
      </c>
      <c r="D1885" s="109" t="s">
        <v>47</v>
      </c>
      <c r="E1885" s="113" t="s">
        <v>24</v>
      </c>
      <c r="F1885" s="109" t="s">
        <v>3566</v>
      </c>
      <c r="G1885" s="109"/>
    </row>
    <row r="1886" customFormat="false" ht="15" hidden="false" customHeight="false" outlineLevel="0" collapsed="false">
      <c r="A1886" s="109" t="s">
        <v>116</v>
      </c>
      <c r="B1886" s="109" t="s">
        <v>117</v>
      </c>
      <c r="C1886" s="109" t="s">
        <v>745</v>
      </c>
      <c r="D1886" s="109" t="s">
        <v>51</v>
      </c>
      <c r="E1886" s="113" t="s">
        <v>24</v>
      </c>
      <c r="F1886" s="109" t="s">
        <v>3567</v>
      </c>
      <c r="G1886" s="109"/>
    </row>
    <row r="1887" customFormat="false" ht="15" hidden="false" customHeight="false" outlineLevel="0" collapsed="false">
      <c r="A1887" s="109" t="s">
        <v>116</v>
      </c>
      <c r="B1887" s="109" t="s">
        <v>117</v>
      </c>
      <c r="C1887" s="109" t="s">
        <v>745</v>
      </c>
      <c r="D1887" s="109" t="s">
        <v>55</v>
      </c>
      <c r="E1887" s="113" t="s">
        <v>24</v>
      </c>
      <c r="F1887" s="109" t="s">
        <v>3568</v>
      </c>
      <c r="G1887" s="109"/>
    </row>
    <row r="1888" customFormat="false" ht="23.85" hidden="false" customHeight="false" outlineLevel="0" collapsed="false">
      <c r="A1888" s="109" t="s">
        <v>116</v>
      </c>
      <c r="B1888" s="109" t="s">
        <v>117</v>
      </c>
      <c r="C1888" s="109" t="s">
        <v>745</v>
      </c>
      <c r="D1888" s="109" t="s">
        <v>59</v>
      </c>
      <c r="E1888" s="114" t="s">
        <v>22</v>
      </c>
      <c r="F1888" s="109" t="s">
        <v>3569</v>
      </c>
      <c r="G1888" s="111" t="s">
        <v>992</v>
      </c>
    </row>
    <row r="1889" customFormat="false" ht="15" hidden="false" customHeight="false" outlineLevel="0" collapsed="false">
      <c r="A1889" s="109" t="s">
        <v>116</v>
      </c>
      <c r="B1889" s="109" t="s">
        <v>117</v>
      </c>
      <c r="C1889" s="109" t="s">
        <v>745</v>
      </c>
      <c r="D1889" s="109" t="s">
        <v>63</v>
      </c>
      <c r="E1889" s="113" t="s">
        <v>24</v>
      </c>
      <c r="F1889" s="109" t="s">
        <v>2671</v>
      </c>
      <c r="G1889" s="109"/>
    </row>
    <row r="1890" customFormat="false" ht="15" hidden="false" customHeight="false" outlineLevel="0" collapsed="false">
      <c r="A1890" s="109" t="s">
        <v>116</v>
      </c>
      <c r="B1890" s="109" t="s">
        <v>117</v>
      </c>
      <c r="C1890" s="109" t="s">
        <v>745</v>
      </c>
      <c r="D1890" s="109" t="s">
        <v>67</v>
      </c>
      <c r="E1890" s="113" t="s">
        <v>24</v>
      </c>
      <c r="F1890" s="109" t="s">
        <v>3570</v>
      </c>
      <c r="G1890" s="109"/>
    </row>
    <row r="1891" customFormat="false" ht="15" hidden="false" customHeight="false" outlineLevel="0" collapsed="false">
      <c r="A1891" s="109" t="s">
        <v>116</v>
      </c>
      <c r="B1891" s="109" t="s">
        <v>117</v>
      </c>
      <c r="C1891" s="109" t="s">
        <v>745</v>
      </c>
      <c r="D1891" s="109" t="s">
        <v>71</v>
      </c>
      <c r="E1891" s="113" t="s">
        <v>24</v>
      </c>
      <c r="F1891" s="109" t="s">
        <v>2671</v>
      </c>
      <c r="G1891" s="109"/>
    </row>
    <row r="1892" customFormat="false" ht="23.85" hidden="false" customHeight="false" outlineLevel="0" collapsed="false">
      <c r="A1892" s="109" t="s">
        <v>116</v>
      </c>
      <c r="B1892" s="109" t="s">
        <v>117</v>
      </c>
      <c r="C1892" s="109" t="s">
        <v>747</v>
      </c>
      <c r="D1892" s="109" t="s">
        <v>35</v>
      </c>
      <c r="E1892" s="114" t="s">
        <v>22</v>
      </c>
      <c r="F1892" s="109" t="s">
        <v>3571</v>
      </c>
      <c r="G1892" s="109"/>
    </row>
    <row r="1893" customFormat="false" ht="15" hidden="false" customHeight="false" outlineLevel="0" collapsed="false">
      <c r="A1893" s="109" t="s">
        <v>116</v>
      </c>
      <c r="B1893" s="109" t="s">
        <v>117</v>
      </c>
      <c r="C1893" s="109" t="s">
        <v>747</v>
      </c>
      <c r="D1893" s="109" t="s">
        <v>39</v>
      </c>
      <c r="E1893" s="114" t="s">
        <v>22</v>
      </c>
      <c r="F1893" s="109" t="s">
        <v>3572</v>
      </c>
      <c r="G1893" s="111" t="s">
        <v>3573</v>
      </c>
    </row>
    <row r="1894" customFormat="false" ht="23.85" hidden="false" customHeight="false" outlineLevel="0" collapsed="false">
      <c r="A1894" s="109" t="s">
        <v>116</v>
      </c>
      <c r="B1894" s="109" t="s">
        <v>117</v>
      </c>
      <c r="C1894" s="109" t="s">
        <v>747</v>
      </c>
      <c r="D1894" s="109" t="s">
        <v>43</v>
      </c>
      <c r="E1894" s="114" t="s">
        <v>22</v>
      </c>
      <c r="F1894" s="109" t="s">
        <v>3574</v>
      </c>
      <c r="G1894" s="111" t="s">
        <v>2366</v>
      </c>
    </row>
    <row r="1895" customFormat="false" ht="15" hidden="false" customHeight="false" outlineLevel="0" collapsed="false">
      <c r="A1895" s="109" t="s">
        <v>116</v>
      </c>
      <c r="B1895" s="109" t="s">
        <v>117</v>
      </c>
      <c r="C1895" s="109" t="s">
        <v>747</v>
      </c>
      <c r="D1895" s="109" t="s">
        <v>47</v>
      </c>
      <c r="E1895" s="113" t="s">
        <v>24</v>
      </c>
      <c r="F1895" s="109" t="s">
        <v>3575</v>
      </c>
      <c r="G1895" s="109"/>
    </row>
    <row r="1896" customFormat="false" ht="15" hidden="false" customHeight="false" outlineLevel="0" collapsed="false">
      <c r="A1896" s="109" t="s">
        <v>116</v>
      </c>
      <c r="B1896" s="109" t="s">
        <v>117</v>
      </c>
      <c r="C1896" s="109" t="s">
        <v>747</v>
      </c>
      <c r="D1896" s="109" t="s">
        <v>51</v>
      </c>
      <c r="E1896" s="114" t="s">
        <v>22</v>
      </c>
      <c r="F1896" s="109" t="s">
        <v>3576</v>
      </c>
      <c r="G1896" s="111" t="s">
        <v>1584</v>
      </c>
    </row>
    <row r="1897" customFormat="false" ht="15" hidden="false" customHeight="false" outlineLevel="0" collapsed="false">
      <c r="A1897" s="109" t="s">
        <v>116</v>
      </c>
      <c r="B1897" s="109" t="s">
        <v>117</v>
      </c>
      <c r="C1897" s="109" t="s">
        <v>747</v>
      </c>
      <c r="D1897" s="109" t="s">
        <v>55</v>
      </c>
      <c r="E1897" s="114" t="s">
        <v>22</v>
      </c>
      <c r="F1897" s="109" t="s">
        <v>3577</v>
      </c>
      <c r="G1897" s="111" t="s">
        <v>859</v>
      </c>
    </row>
    <row r="1898" customFormat="false" ht="23.85" hidden="false" customHeight="false" outlineLevel="0" collapsed="false">
      <c r="A1898" s="109" t="s">
        <v>116</v>
      </c>
      <c r="B1898" s="109" t="s">
        <v>117</v>
      </c>
      <c r="C1898" s="109" t="s">
        <v>747</v>
      </c>
      <c r="D1898" s="109" t="s">
        <v>59</v>
      </c>
      <c r="E1898" s="114" t="s">
        <v>22</v>
      </c>
      <c r="F1898" s="109" t="s">
        <v>3578</v>
      </c>
      <c r="G1898" s="111" t="s">
        <v>1397</v>
      </c>
    </row>
    <row r="1899" customFormat="false" ht="15" hidden="false" customHeight="false" outlineLevel="0" collapsed="false">
      <c r="A1899" s="109" t="s">
        <v>116</v>
      </c>
      <c r="B1899" s="109" t="s">
        <v>117</v>
      </c>
      <c r="C1899" s="109" t="s">
        <v>747</v>
      </c>
      <c r="D1899" s="109" t="s">
        <v>63</v>
      </c>
      <c r="E1899" s="114" t="s">
        <v>22</v>
      </c>
      <c r="F1899" s="109" t="s">
        <v>3579</v>
      </c>
      <c r="G1899" s="111" t="s">
        <v>1399</v>
      </c>
    </row>
    <row r="1900" customFormat="false" ht="23.85" hidden="false" customHeight="false" outlineLevel="0" collapsed="false">
      <c r="A1900" s="109" t="s">
        <v>116</v>
      </c>
      <c r="B1900" s="109" t="s">
        <v>117</v>
      </c>
      <c r="C1900" s="109" t="s">
        <v>747</v>
      </c>
      <c r="D1900" s="109" t="s">
        <v>67</v>
      </c>
      <c r="E1900" s="113" t="s">
        <v>24</v>
      </c>
      <c r="F1900" s="109" t="s">
        <v>3580</v>
      </c>
      <c r="G1900" s="111" t="s">
        <v>1176</v>
      </c>
    </row>
    <row r="1901" customFormat="false" ht="15" hidden="false" customHeight="false" outlineLevel="0" collapsed="false">
      <c r="A1901" s="109" t="s">
        <v>116</v>
      </c>
      <c r="B1901" s="109" t="s">
        <v>117</v>
      </c>
      <c r="C1901" s="109" t="s">
        <v>747</v>
      </c>
      <c r="D1901" s="109" t="s">
        <v>71</v>
      </c>
      <c r="E1901" s="113" t="s">
        <v>24</v>
      </c>
      <c r="F1901" s="109" t="s">
        <v>2671</v>
      </c>
      <c r="G1901" s="109"/>
    </row>
    <row r="1902" customFormat="false" ht="15" hidden="false" customHeight="false" outlineLevel="0" collapsed="false">
      <c r="A1902" s="109" t="s">
        <v>116</v>
      </c>
      <c r="B1902" s="109" t="s">
        <v>118</v>
      </c>
      <c r="C1902" s="109" t="s">
        <v>749</v>
      </c>
      <c r="D1902" s="109" t="s">
        <v>35</v>
      </c>
      <c r="E1902" s="112" t="s">
        <v>16</v>
      </c>
      <c r="F1902" s="109" t="s">
        <v>3581</v>
      </c>
      <c r="G1902" s="111" t="s">
        <v>3582</v>
      </c>
    </row>
    <row r="1903" customFormat="false" ht="15" hidden="false" customHeight="false" outlineLevel="0" collapsed="false">
      <c r="A1903" s="109" t="s">
        <v>116</v>
      </c>
      <c r="B1903" s="109" t="s">
        <v>118</v>
      </c>
      <c r="C1903" s="109" t="s">
        <v>749</v>
      </c>
      <c r="D1903" s="109" t="s">
        <v>39</v>
      </c>
      <c r="E1903" s="110" t="s">
        <v>18</v>
      </c>
      <c r="F1903" s="109" t="s">
        <v>3583</v>
      </c>
      <c r="G1903" s="111" t="s">
        <v>2974</v>
      </c>
    </row>
    <row r="1904" customFormat="false" ht="23.85" hidden="false" customHeight="false" outlineLevel="0" collapsed="false">
      <c r="A1904" s="109" t="s">
        <v>116</v>
      </c>
      <c r="B1904" s="109" t="s">
        <v>118</v>
      </c>
      <c r="C1904" s="109" t="s">
        <v>749</v>
      </c>
      <c r="D1904" s="109" t="s">
        <v>43</v>
      </c>
      <c r="E1904" s="112" t="s">
        <v>16</v>
      </c>
      <c r="F1904" s="109" t="s">
        <v>3584</v>
      </c>
      <c r="G1904" s="111" t="s">
        <v>1196</v>
      </c>
    </row>
    <row r="1905" customFormat="false" ht="15" hidden="false" customHeight="false" outlineLevel="0" collapsed="false">
      <c r="A1905" s="109" t="s">
        <v>116</v>
      </c>
      <c r="B1905" s="109" t="s">
        <v>118</v>
      </c>
      <c r="C1905" s="109" t="s">
        <v>749</v>
      </c>
      <c r="D1905" s="109" t="s">
        <v>47</v>
      </c>
      <c r="E1905" s="114" t="s">
        <v>22</v>
      </c>
      <c r="F1905" s="109" t="s">
        <v>3585</v>
      </c>
      <c r="G1905" s="111" t="s">
        <v>2977</v>
      </c>
    </row>
    <row r="1906" customFormat="false" ht="15" hidden="false" customHeight="false" outlineLevel="0" collapsed="false">
      <c r="A1906" s="109" t="s">
        <v>116</v>
      </c>
      <c r="B1906" s="109" t="s">
        <v>118</v>
      </c>
      <c r="C1906" s="109" t="s">
        <v>749</v>
      </c>
      <c r="D1906" s="109" t="s">
        <v>51</v>
      </c>
      <c r="E1906" s="112" t="s">
        <v>16</v>
      </c>
      <c r="F1906" s="109" t="s">
        <v>3586</v>
      </c>
      <c r="G1906" s="111" t="s">
        <v>3587</v>
      </c>
    </row>
    <row r="1907" customFormat="false" ht="15" hidden="false" customHeight="false" outlineLevel="0" collapsed="false">
      <c r="A1907" s="109" t="s">
        <v>116</v>
      </c>
      <c r="B1907" s="109" t="s">
        <v>118</v>
      </c>
      <c r="C1907" s="109" t="s">
        <v>749</v>
      </c>
      <c r="D1907" s="109" t="s">
        <v>55</v>
      </c>
      <c r="E1907" s="112" t="s">
        <v>16</v>
      </c>
      <c r="F1907" s="109" t="s">
        <v>3588</v>
      </c>
      <c r="G1907" s="111" t="s">
        <v>3589</v>
      </c>
    </row>
    <row r="1908" customFormat="false" ht="23.85" hidden="false" customHeight="false" outlineLevel="0" collapsed="false">
      <c r="A1908" s="109" t="s">
        <v>116</v>
      </c>
      <c r="B1908" s="109" t="s">
        <v>118</v>
      </c>
      <c r="C1908" s="109" t="s">
        <v>749</v>
      </c>
      <c r="D1908" s="109" t="s">
        <v>59</v>
      </c>
      <c r="E1908" s="110" t="s">
        <v>18</v>
      </c>
      <c r="F1908" s="109" t="s">
        <v>3590</v>
      </c>
      <c r="G1908" s="111" t="s">
        <v>1155</v>
      </c>
    </row>
    <row r="1909" customFormat="false" ht="15" hidden="false" customHeight="false" outlineLevel="0" collapsed="false">
      <c r="A1909" s="109" t="s">
        <v>116</v>
      </c>
      <c r="B1909" s="109" t="s">
        <v>118</v>
      </c>
      <c r="C1909" s="109" t="s">
        <v>749</v>
      </c>
      <c r="D1909" s="109" t="s">
        <v>63</v>
      </c>
      <c r="E1909" s="112" t="s">
        <v>16</v>
      </c>
      <c r="F1909" s="109" t="s">
        <v>3591</v>
      </c>
      <c r="G1909" s="111" t="s">
        <v>2984</v>
      </c>
    </row>
    <row r="1910" customFormat="false" ht="15" hidden="false" customHeight="false" outlineLevel="0" collapsed="false">
      <c r="A1910" s="109" t="s">
        <v>116</v>
      </c>
      <c r="B1910" s="109" t="s">
        <v>118</v>
      </c>
      <c r="C1910" s="109" t="s">
        <v>749</v>
      </c>
      <c r="D1910" s="109" t="s">
        <v>67</v>
      </c>
      <c r="E1910" s="112" t="s">
        <v>16</v>
      </c>
      <c r="F1910" s="109" t="s">
        <v>3592</v>
      </c>
      <c r="G1910" s="111" t="s">
        <v>2986</v>
      </c>
    </row>
    <row r="1911" customFormat="false" ht="15" hidden="false" customHeight="false" outlineLevel="0" collapsed="false">
      <c r="A1911" s="109" t="s">
        <v>116</v>
      </c>
      <c r="B1911" s="109" t="s">
        <v>118</v>
      </c>
      <c r="C1911" s="109" t="s">
        <v>749</v>
      </c>
      <c r="D1911" s="109" t="s">
        <v>71</v>
      </c>
      <c r="E1911" s="112" t="s">
        <v>16</v>
      </c>
      <c r="F1911" s="109" t="s">
        <v>3593</v>
      </c>
      <c r="G1911" s="111" t="s">
        <v>949</v>
      </c>
    </row>
    <row r="1912" customFormat="false" ht="15" hidden="false" customHeight="false" outlineLevel="0" collapsed="false">
      <c r="A1912" s="109" t="s">
        <v>116</v>
      </c>
      <c r="B1912" s="109" t="s">
        <v>118</v>
      </c>
      <c r="C1912" s="109" t="s">
        <v>751</v>
      </c>
      <c r="D1912" s="109" t="s">
        <v>35</v>
      </c>
      <c r="E1912" s="110" t="s">
        <v>18</v>
      </c>
      <c r="F1912" s="109" t="s">
        <v>3594</v>
      </c>
      <c r="G1912" s="111" t="s">
        <v>3595</v>
      </c>
    </row>
    <row r="1913" customFormat="false" ht="15" hidden="false" customHeight="false" outlineLevel="0" collapsed="false">
      <c r="A1913" s="109" t="s">
        <v>116</v>
      </c>
      <c r="B1913" s="109" t="s">
        <v>118</v>
      </c>
      <c r="C1913" s="109" t="s">
        <v>751</v>
      </c>
      <c r="D1913" s="109" t="s">
        <v>39</v>
      </c>
      <c r="E1913" s="115" t="s">
        <v>20</v>
      </c>
      <c r="F1913" s="109" t="s">
        <v>3596</v>
      </c>
      <c r="G1913" s="111" t="s">
        <v>3597</v>
      </c>
    </row>
    <row r="1914" customFormat="false" ht="15" hidden="false" customHeight="false" outlineLevel="0" collapsed="false">
      <c r="A1914" s="109" t="s">
        <v>116</v>
      </c>
      <c r="B1914" s="109" t="s">
        <v>118</v>
      </c>
      <c r="C1914" s="109" t="s">
        <v>751</v>
      </c>
      <c r="D1914" s="109" t="s">
        <v>43</v>
      </c>
      <c r="E1914" s="115" t="s">
        <v>20</v>
      </c>
      <c r="F1914" s="109" t="s">
        <v>3598</v>
      </c>
      <c r="G1914" s="111" t="s">
        <v>3599</v>
      </c>
    </row>
    <row r="1915" customFormat="false" ht="15" hidden="false" customHeight="false" outlineLevel="0" collapsed="false">
      <c r="A1915" s="109" t="s">
        <v>116</v>
      </c>
      <c r="B1915" s="109" t="s">
        <v>118</v>
      </c>
      <c r="C1915" s="109" t="s">
        <v>751</v>
      </c>
      <c r="D1915" s="109" t="s">
        <v>47</v>
      </c>
      <c r="E1915" s="115" t="s">
        <v>20</v>
      </c>
      <c r="F1915" s="109" t="s">
        <v>3600</v>
      </c>
      <c r="G1915" s="111" t="s">
        <v>3331</v>
      </c>
    </row>
    <row r="1916" customFormat="false" ht="15" hidden="false" customHeight="false" outlineLevel="0" collapsed="false">
      <c r="A1916" s="109" t="s">
        <v>116</v>
      </c>
      <c r="B1916" s="109" t="s">
        <v>118</v>
      </c>
      <c r="C1916" s="109" t="s">
        <v>751</v>
      </c>
      <c r="D1916" s="109" t="s">
        <v>51</v>
      </c>
      <c r="E1916" s="115" t="s">
        <v>20</v>
      </c>
      <c r="F1916" s="109" t="s">
        <v>3601</v>
      </c>
      <c r="G1916" s="111" t="s">
        <v>1947</v>
      </c>
    </row>
    <row r="1917" customFormat="false" ht="15" hidden="false" customHeight="false" outlineLevel="0" collapsed="false">
      <c r="A1917" s="109" t="s">
        <v>116</v>
      </c>
      <c r="B1917" s="109" t="s">
        <v>118</v>
      </c>
      <c r="C1917" s="109" t="s">
        <v>751</v>
      </c>
      <c r="D1917" s="109" t="s">
        <v>55</v>
      </c>
      <c r="E1917" s="112" t="s">
        <v>16</v>
      </c>
      <c r="F1917" s="109" t="s">
        <v>3602</v>
      </c>
      <c r="G1917" s="111" t="s">
        <v>3603</v>
      </c>
    </row>
    <row r="1918" customFormat="false" ht="15" hidden="false" customHeight="false" outlineLevel="0" collapsed="false">
      <c r="A1918" s="109" t="s">
        <v>116</v>
      </c>
      <c r="B1918" s="109" t="s">
        <v>118</v>
      </c>
      <c r="C1918" s="109" t="s">
        <v>751</v>
      </c>
      <c r="D1918" s="109" t="s">
        <v>59</v>
      </c>
      <c r="E1918" s="116" t="s">
        <v>26</v>
      </c>
      <c r="F1918" s="109" t="s">
        <v>3604</v>
      </c>
      <c r="G1918" s="109"/>
    </row>
    <row r="1919" customFormat="false" ht="15" hidden="false" customHeight="false" outlineLevel="0" collapsed="false">
      <c r="A1919" s="109" t="s">
        <v>116</v>
      </c>
      <c r="B1919" s="109" t="s">
        <v>118</v>
      </c>
      <c r="C1919" s="109" t="s">
        <v>751</v>
      </c>
      <c r="D1919" s="109" t="s">
        <v>63</v>
      </c>
      <c r="E1919" s="113" t="s">
        <v>24</v>
      </c>
      <c r="F1919" s="109" t="s">
        <v>3605</v>
      </c>
      <c r="G1919" s="109"/>
    </row>
    <row r="1920" customFormat="false" ht="15" hidden="false" customHeight="false" outlineLevel="0" collapsed="false">
      <c r="A1920" s="109" t="s">
        <v>116</v>
      </c>
      <c r="B1920" s="109" t="s">
        <v>118</v>
      </c>
      <c r="C1920" s="109" t="s">
        <v>751</v>
      </c>
      <c r="D1920" s="109" t="s">
        <v>67</v>
      </c>
      <c r="E1920" s="110" t="s">
        <v>18</v>
      </c>
      <c r="F1920" s="109" t="s">
        <v>3606</v>
      </c>
      <c r="G1920" s="111" t="s">
        <v>3607</v>
      </c>
    </row>
    <row r="1921" customFormat="false" ht="15" hidden="false" customHeight="false" outlineLevel="0" collapsed="false">
      <c r="A1921" s="109" t="s">
        <v>116</v>
      </c>
      <c r="B1921" s="109" t="s">
        <v>118</v>
      </c>
      <c r="C1921" s="109" t="s">
        <v>751</v>
      </c>
      <c r="D1921" s="109" t="s">
        <v>71</v>
      </c>
      <c r="E1921" s="113" t="s">
        <v>24</v>
      </c>
      <c r="F1921" s="109" t="s">
        <v>3605</v>
      </c>
      <c r="G1921" s="109"/>
    </row>
    <row r="1922" customFormat="false" ht="15" hidden="false" customHeight="false" outlineLevel="0" collapsed="false">
      <c r="A1922" s="109" t="s">
        <v>116</v>
      </c>
      <c r="B1922" s="109" t="s">
        <v>118</v>
      </c>
      <c r="C1922" s="109" t="s">
        <v>753</v>
      </c>
      <c r="D1922" s="109" t="s">
        <v>35</v>
      </c>
      <c r="E1922" s="115" t="s">
        <v>20</v>
      </c>
      <c r="F1922" s="109" t="s">
        <v>3608</v>
      </c>
      <c r="G1922" s="111" t="s">
        <v>3609</v>
      </c>
    </row>
    <row r="1923" customFormat="false" ht="15" hidden="false" customHeight="false" outlineLevel="0" collapsed="false">
      <c r="A1923" s="109" t="s">
        <v>116</v>
      </c>
      <c r="B1923" s="109" t="s">
        <v>118</v>
      </c>
      <c r="C1923" s="109" t="s">
        <v>753</v>
      </c>
      <c r="D1923" s="109" t="s">
        <v>39</v>
      </c>
      <c r="E1923" s="115" t="s">
        <v>20</v>
      </c>
      <c r="F1923" s="109" t="s">
        <v>3610</v>
      </c>
      <c r="G1923" s="111" t="s">
        <v>3611</v>
      </c>
    </row>
    <row r="1924" customFormat="false" ht="15" hidden="false" customHeight="false" outlineLevel="0" collapsed="false">
      <c r="A1924" s="109" t="s">
        <v>116</v>
      </c>
      <c r="B1924" s="109" t="s">
        <v>118</v>
      </c>
      <c r="C1924" s="109" t="s">
        <v>753</v>
      </c>
      <c r="D1924" s="109" t="s">
        <v>43</v>
      </c>
      <c r="E1924" s="115" t="s">
        <v>20</v>
      </c>
      <c r="F1924" s="109" t="s">
        <v>3612</v>
      </c>
      <c r="G1924" s="111" t="s">
        <v>2183</v>
      </c>
    </row>
    <row r="1925" customFormat="false" ht="15" hidden="false" customHeight="false" outlineLevel="0" collapsed="false">
      <c r="A1925" s="109" t="s">
        <v>116</v>
      </c>
      <c r="B1925" s="109" t="s">
        <v>118</v>
      </c>
      <c r="C1925" s="109" t="s">
        <v>753</v>
      </c>
      <c r="D1925" s="109" t="s">
        <v>47</v>
      </c>
      <c r="E1925" s="115" t="s">
        <v>20</v>
      </c>
      <c r="F1925" s="109" t="s">
        <v>3613</v>
      </c>
      <c r="G1925" s="111" t="s">
        <v>3331</v>
      </c>
    </row>
    <row r="1926" customFormat="false" ht="15" hidden="false" customHeight="false" outlineLevel="0" collapsed="false">
      <c r="A1926" s="109" t="s">
        <v>116</v>
      </c>
      <c r="B1926" s="109" t="s">
        <v>118</v>
      </c>
      <c r="C1926" s="109" t="s">
        <v>753</v>
      </c>
      <c r="D1926" s="109" t="s">
        <v>51</v>
      </c>
      <c r="E1926" s="115" t="s">
        <v>20</v>
      </c>
      <c r="F1926" s="109" t="s">
        <v>3614</v>
      </c>
      <c r="G1926" s="111" t="s">
        <v>2695</v>
      </c>
    </row>
    <row r="1927" customFormat="false" ht="15" hidden="false" customHeight="false" outlineLevel="0" collapsed="false">
      <c r="A1927" s="109" t="s">
        <v>116</v>
      </c>
      <c r="B1927" s="109" t="s">
        <v>118</v>
      </c>
      <c r="C1927" s="109" t="s">
        <v>753</v>
      </c>
      <c r="D1927" s="109" t="s">
        <v>55</v>
      </c>
      <c r="E1927" s="110" t="s">
        <v>18</v>
      </c>
      <c r="F1927" s="109" t="s">
        <v>3615</v>
      </c>
      <c r="G1927" s="111" t="s">
        <v>1897</v>
      </c>
    </row>
    <row r="1928" customFormat="false" ht="15" hidden="false" customHeight="false" outlineLevel="0" collapsed="false">
      <c r="A1928" s="109" t="s">
        <v>116</v>
      </c>
      <c r="B1928" s="109" t="s">
        <v>118</v>
      </c>
      <c r="C1928" s="109" t="s">
        <v>753</v>
      </c>
      <c r="D1928" s="109" t="s">
        <v>59</v>
      </c>
      <c r="E1928" s="115" t="s">
        <v>20</v>
      </c>
      <c r="F1928" s="109" t="s">
        <v>3616</v>
      </c>
      <c r="G1928" s="111" t="s">
        <v>3617</v>
      </c>
    </row>
    <row r="1929" customFormat="false" ht="15" hidden="false" customHeight="false" outlineLevel="0" collapsed="false">
      <c r="A1929" s="109" t="s">
        <v>116</v>
      </c>
      <c r="B1929" s="109" t="s">
        <v>118</v>
      </c>
      <c r="C1929" s="109" t="s">
        <v>753</v>
      </c>
      <c r="D1929" s="109" t="s">
        <v>63</v>
      </c>
      <c r="E1929" s="113" t="s">
        <v>24</v>
      </c>
      <c r="F1929" s="109" t="s">
        <v>3618</v>
      </c>
      <c r="G1929" s="109"/>
    </row>
    <row r="1930" customFormat="false" ht="23.85" hidden="false" customHeight="false" outlineLevel="0" collapsed="false">
      <c r="A1930" s="109" t="s">
        <v>116</v>
      </c>
      <c r="B1930" s="109" t="s">
        <v>118</v>
      </c>
      <c r="C1930" s="109" t="s">
        <v>753</v>
      </c>
      <c r="D1930" s="109" t="s">
        <v>67</v>
      </c>
      <c r="E1930" s="112" t="s">
        <v>16</v>
      </c>
      <c r="F1930" s="109" t="s">
        <v>3619</v>
      </c>
      <c r="G1930" s="111" t="s">
        <v>3549</v>
      </c>
    </row>
    <row r="1931" customFormat="false" ht="15" hidden="false" customHeight="false" outlineLevel="0" collapsed="false">
      <c r="A1931" s="109" t="s">
        <v>116</v>
      </c>
      <c r="B1931" s="109" t="s">
        <v>118</v>
      </c>
      <c r="C1931" s="109" t="s">
        <v>753</v>
      </c>
      <c r="D1931" s="109" t="s">
        <v>71</v>
      </c>
      <c r="E1931" s="113" t="s">
        <v>24</v>
      </c>
      <c r="F1931" s="109" t="s">
        <v>3620</v>
      </c>
      <c r="G1931" s="109"/>
    </row>
    <row r="1932" customFormat="false" ht="23.85" hidden="false" customHeight="false" outlineLevel="0" collapsed="false">
      <c r="A1932" s="109" t="s">
        <v>116</v>
      </c>
      <c r="B1932" s="109" t="s">
        <v>118</v>
      </c>
      <c r="C1932" s="109" t="s">
        <v>755</v>
      </c>
      <c r="D1932" s="109" t="s">
        <v>35</v>
      </c>
      <c r="E1932" s="115" t="s">
        <v>20</v>
      </c>
      <c r="F1932" s="109" t="s">
        <v>3621</v>
      </c>
      <c r="G1932" s="111" t="s">
        <v>3622</v>
      </c>
    </row>
    <row r="1933" customFormat="false" ht="15" hidden="false" customHeight="false" outlineLevel="0" collapsed="false">
      <c r="A1933" s="109" t="s">
        <v>116</v>
      </c>
      <c r="B1933" s="109" t="s">
        <v>118</v>
      </c>
      <c r="C1933" s="109" t="s">
        <v>755</v>
      </c>
      <c r="D1933" s="109" t="s">
        <v>39</v>
      </c>
      <c r="E1933" s="114" t="s">
        <v>22</v>
      </c>
      <c r="F1933" s="109" t="s">
        <v>3623</v>
      </c>
      <c r="G1933" s="111" t="s">
        <v>3624</v>
      </c>
    </row>
    <row r="1934" customFormat="false" ht="15" hidden="false" customHeight="false" outlineLevel="0" collapsed="false">
      <c r="A1934" s="109" t="s">
        <v>116</v>
      </c>
      <c r="B1934" s="109" t="s">
        <v>118</v>
      </c>
      <c r="C1934" s="109" t="s">
        <v>755</v>
      </c>
      <c r="D1934" s="109" t="s">
        <v>43</v>
      </c>
      <c r="E1934" s="115" t="s">
        <v>20</v>
      </c>
      <c r="F1934" s="109" t="s">
        <v>3625</v>
      </c>
      <c r="G1934" s="111" t="s">
        <v>3626</v>
      </c>
    </row>
    <row r="1935" customFormat="false" ht="15" hidden="false" customHeight="false" outlineLevel="0" collapsed="false">
      <c r="A1935" s="109" t="s">
        <v>116</v>
      </c>
      <c r="B1935" s="109" t="s">
        <v>118</v>
      </c>
      <c r="C1935" s="109" t="s">
        <v>755</v>
      </c>
      <c r="D1935" s="109" t="s">
        <v>47</v>
      </c>
      <c r="E1935" s="115" t="s">
        <v>20</v>
      </c>
      <c r="F1935" s="109" t="s">
        <v>3627</v>
      </c>
      <c r="G1935" s="111" t="s">
        <v>1247</v>
      </c>
    </row>
    <row r="1936" customFormat="false" ht="23.85" hidden="false" customHeight="false" outlineLevel="0" collapsed="false">
      <c r="A1936" s="109" t="s">
        <v>116</v>
      </c>
      <c r="B1936" s="109" t="s">
        <v>118</v>
      </c>
      <c r="C1936" s="109" t="s">
        <v>755</v>
      </c>
      <c r="D1936" s="109" t="s">
        <v>51</v>
      </c>
      <c r="E1936" s="110" t="s">
        <v>18</v>
      </c>
      <c r="F1936" s="109" t="s">
        <v>3628</v>
      </c>
      <c r="G1936" s="111" t="s">
        <v>2132</v>
      </c>
    </row>
    <row r="1937" customFormat="false" ht="15" hidden="false" customHeight="false" outlineLevel="0" collapsed="false">
      <c r="A1937" s="109" t="s">
        <v>116</v>
      </c>
      <c r="B1937" s="109" t="s">
        <v>118</v>
      </c>
      <c r="C1937" s="109" t="s">
        <v>755</v>
      </c>
      <c r="D1937" s="109" t="s">
        <v>55</v>
      </c>
      <c r="E1937" s="113" t="s">
        <v>24</v>
      </c>
      <c r="F1937" s="109" t="s">
        <v>3629</v>
      </c>
      <c r="G1937" s="109"/>
    </row>
    <row r="1938" customFormat="false" ht="15" hidden="false" customHeight="false" outlineLevel="0" collapsed="false">
      <c r="A1938" s="109" t="s">
        <v>116</v>
      </c>
      <c r="B1938" s="109" t="s">
        <v>118</v>
      </c>
      <c r="C1938" s="109" t="s">
        <v>755</v>
      </c>
      <c r="D1938" s="109" t="s">
        <v>59</v>
      </c>
      <c r="E1938" s="110" t="s">
        <v>18</v>
      </c>
      <c r="F1938" s="109" t="s">
        <v>3630</v>
      </c>
      <c r="G1938" s="111" t="s">
        <v>2483</v>
      </c>
    </row>
    <row r="1939" customFormat="false" ht="15" hidden="false" customHeight="false" outlineLevel="0" collapsed="false">
      <c r="A1939" s="109" t="s">
        <v>116</v>
      </c>
      <c r="B1939" s="109" t="s">
        <v>118</v>
      </c>
      <c r="C1939" s="109" t="s">
        <v>755</v>
      </c>
      <c r="D1939" s="109" t="s">
        <v>63</v>
      </c>
      <c r="E1939" s="113" t="s">
        <v>24</v>
      </c>
      <c r="F1939" s="109" t="s">
        <v>3629</v>
      </c>
      <c r="G1939" s="109"/>
    </row>
    <row r="1940" customFormat="false" ht="23.85" hidden="false" customHeight="false" outlineLevel="0" collapsed="false">
      <c r="A1940" s="109" t="s">
        <v>116</v>
      </c>
      <c r="B1940" s="109" t="s">
        <v>118</v>
      </c>
      <c r="C1940" s="109" t="s">
        <v>755</v>
      </c>
      <c r="D1940" s="109" t="s">
        <v>67</v>
      </c>
      <c r="E1940" s="114" t="s">
        <v>22</v>
      </c>
      <c r="F1940" s="109" t="s">
        <v>3631</v>
      </c>
      <c r="G1940" s="111" t="s">
        <v>2486</v>
      </c>
    </row>
    <row r="1941" customFormat="false" ht="15" hidden="false" customHeight="false" outlineLevel="0" collapsed="false">
      <c r="A1941" s="109" t="s">
        <v>116</v>
      </c>
      <c r="B1941" s="109" t="s">
        <v>118</v>
      </c>
      <c r="C1941" s="109" t="s">
        <v>755</v>
      </c>
      <c r="D1941" s="109" t="s">
        <v>71</v>
      </c>
      <c r="E1941" s="113" t="s">
        <v>24</v>
      </c>
      <c r="F1941" s="109" t="s">
        <v>3632</v>
      </c>
      <c r="G1941" s="109"/>
    </row>
    <row r="1942" customFormat="false" ht="15" hidden="false" customHeight="false" outlineLevel="0" collapsed="false">
      <c r="A1942" s="109" t="s">
        <v>116</v>
      </c>
      <c r="B1942" s="109" t="s">
        <v>119</v>
      </c>
      <c r="C1942" s="109" t="s">
        <v>756</v>
      </c>
      <c r="D1942" s="109" t="s">
        <v>35</v>
      </c>
      <c r="E1942" s="112" t="s">
        <v>16</v>
      </c>
      <c r="F1942" s="109" t="s">
        <v>3633</v>
      </c>
      <c r="G1942" s="111" t="s">
        <v>3634</v>
      </c>
    </row>
    <row r="1943" customFormat="false" ht="15" hidden="false" customHeight="false" outlineLevel="0" collapsed="false">
      <c r="A1943" s="109" t="s">
        <v>116</v>
      </c>
      <c r="B1943" s="109" t="s">
        <v>119</v>
      </c>
      <c r="C1943" s="109" t="s">
        <v>756</v>
      </c>
      <c r="D1943" s="109" t="s">
        <v>39</v>
      </c>
      <c r="E1943" s="112" t="s">
        <v>16</v>
      </c>
      <c r="F1943" s="109" t="s">
        <v>3635</v>
      </c>
      <c r="G1943" s="111" t="s">
        <v>3636</v>
      </c>
    </row>
    <row r="1944" customFormat="false" ht="23.85" hidden="false" customHeight="false" outlineLevel="0" collapsed="false">
      <c r="A1944" s="109" t="s">
        <v>116</v>
      </c>
      <c r="B1944" s="109" t="s">
        <v>119</v>
      </c>
      <c r="C1944" s="109" t="s">
        <v>756</v>
      </c>
      <c r="D1944" s="109" t="s">
        <v>43</v>
      </c>
      <c r="E1944" s="112" t="s">
        <v>16</v>
      </c>
      <c r="F1944" s="109" t="s">
        <v>3637</v>
      </c>
      <c r="G1944" s="111" t="s">
        <v>1035</v>
      </c>
    </row>
    <row r="1945" customFormat="false" ht="15" hidden="false" customHeight="false" outlineLevel="0" collapsed="false">
      <c r="A1945" s="109" t="s">
        <v>116</v>
      </c>
      <c r="B1945" s="109" t="s">
        <v>119</v>
      </c>
      <c r="C1945" s="109" t="s">
        <v>756</v>
      </c>
      <c r="D1945" s="109" t="s">
        <v>47</v>
      </c>
      <c r="E1945" s="112" t="s">
        <v>16</v>
      </c>
      <c r="F1945" s="109" t="s">
        <v>3638</v>
      </c>
      <c r="G1945" s="111" t="s">
        <v>2349</v>
      </c>
    </row>
    <row r="1946" customFormat="false" ht="15" hidden="false" customHeight="false" outlineLevel="0" collapsed="false">
      <c r="A1946" s="109" t="s">
        <v>116</v>
      </c>
      <c r="B1946" s="109" t="s">
        <v>119</v>
      </c>
      <c r="C1946" s="109" t="s">
        <v>756</v>
      </c>
      <c r="D1946" s="109" t="s">
        <v>51</v>
      </c>
      <c r="E1946" s="112" t="s">
        <v>16</v>
      </c>
      <c r="F1946" s="109" t="s">
        <v>3639</v>
      </c>
      <c r="G1946" s="111" t="s">
        <v>3587</v>
      </c>
    </row>
    <row r="1947" customFormat="false" ht="15" hidden="false" customHeight="false" outlineLevel="0" collapsed="false">
      <c r="A1947" s="109" t="s">
        <v>116</v>
      </c>
      <c r="B1947" s="109" t="s">
        <v>119</v>
      </c>
      <c r="C1947" s="109" t="s">
        <v>756</v>
      </c>
      <c r="D1947" s="109" t="s">
        <v>55</v>
      </c>
      <c r="E1947" s="112" t="s">
        <v>16</v>
      </c>
      <c r="F1947" s="109" t="s">
        <v>3640</v>
      </c>
      <c r="G1947" s="111" t="s">
        <v>3641</v>
      </c>
    </row>
    <row r="1948" customFormat="false" ht="15" hidden="false" customHeight="false" outlineLevel="0" collapsed="false">
      <c r="A1948" s="109" t="s">
        <v>116</v>
      </c>
      <c r="B1948" s="109" t="s">
        <v>119</v>
      </c>
      <c r="C1948" s="109" t="s">
        <v>756</v>
      </c>
      <c r="D1948" s="109" t="s">
        <v>59</v>
      </c>
      <c r="E1948" s="110" t="s">
        <v>18</v>
      </c>
      <c r="F1948" s="109" t="s">
        <v>3642</v>
      </c>
      <c r="G1948" s="111" t="s">
        <v>1172</v>
      </c>
    </row>
    <row r="1949" customFormat="false" ht="15" hidden="false" customHeight="false" outlineLevel="0" collapsed="false">
      <c r="A1949" s="109" t="s">
        <v>116</v>
      </c>
      <c r="B1949" s="109" t="s">
        <v>119</v>
      </c>
      <c r="C1949" s="109" t="s">
        <v>756</v>
      </c>
      <c r="D1949" s="109" t="s">
        <v>63</v>
      </c>
      <c r="E1949" s="112" t="s">
        <v>16</v>
      </c>
      <c r="F1949" s="109" t="s">
        <v>3643</v>
      </c>
      <c r="G1949" s="111" t="s">
        <v>3644</v>
      </c>
    </row>
    <row r="1950" customFormat="false" ht="15" hidden="false" customHeight="false" outlineLevel="0" collapsed="false">
      <c r="A1950" s="109" t="s">
        <v>116</v>
      </c>
      <c r="B1950" s="109" t="s">
        <v>119</v>
      </c>
      <c r="C1950" s="109" t="s">
        <v>756</v>
      </c>
      <c r="D1950" s="109" t="s">
        <v>67</v>
      </c>
      <c r="E1950" s="112" t="s">
        <v>16</v>
      </c>
      <c r="F1950" s="109" t="s">
        <v>3645</v>
      </c>
      <c r="G1950" s="109"/>
    </row>
    <row r="1951" customFormat="false" ht="15" hidden="false" customHeight="false" outlineLevel="0" collapsed="false">
      <c r="A1951" s="109" t="s">
        <v>116</v>
      </c>
      <c r="B1951" s="109" t="s">
        <v>119</v>
      </c>
      <c r="C1951" s="109" t="s">
        <v>756</v>
      </c>
      <c r="D1951" s="109" t="s">
        <v>71</v>
      </c>
      <c r="E1951" s="112" t="s">
        <v>16</v>
      </c>
      <c r="F1951" s="109" t="s">
        <v>3646</v>
      </c>
      <c r="G1951" s="111" t="s">
        <v>3647</v>
      </c>
    </row>
    <row r="1952" customFormat="false" ht="23.85" hidden="false" customHeight="false" outlineLevel="0" collapsed="false">
      <c r="A1952" s="109" t="s">
        <v>116</v>
      </c>
      <c r="B1952" s="109" t="s">
        <v>119</v>
      </c>
      <c r="C1952" s="109" t="s">
        <v>758</v>
      </c>
      <c r="D1952" s="109" t="s">
        <v>35</v>
      </c>
      <c r="E1952" s="114" t="s">
        <v>22</v>
      </c>
      <c r="F1952" s="109" t="s">
        <v>3648</v>
      </c>
      <c r="G1952" s="111" t="s">
        <v>1179</v>
      </c>
    </row>
    <row r="1953" customFormat="false" ht="23.85" hidden="false" customHeight="false" outlineLevel="0" collapsed="false">
      <c r="A1953" s="109" t="s">
        <v>116</v>
      </c>
      <c r="B1953" s="109" t="s">
        <v>119</v>
      </c>
      <c r="C1953" s="109" t="s">
        <v>758</v>
      </c>
      <c r="D1953" s="109" t="s">
        <v>39</v>
      </c>
      <c r="E1953" s="114" t="s">
        <v>22</v>
      </c>
      <c r="F1953" s="109" t="s">
        <v>3649</v>
      </c>
      <c r="G1953" s="111" t="s">
        <v>2111</v>
      </c>
    </row>
    <row r="1954" customFormat="false" ht="15" hidden="false" customHeight="false" outlineLevel="0" collapsed="false">
      <c r="A1954" s="109" t="s">
        <v>116</v>
      </c>
      <c r="B1954" s="109" t="s">
        <v>119</v>
      </c>
      <c r="C1954" s="109" t="s">
        <v>758</v>
      </c>
      <c r="D1954" s="109" t="s">
        <v>43</v>
      </c>
      <c r="E1954" s="115" t="s">
        <v>20</v>
      </c>
      <c r="F1954" s="109" t="s">
        <v>3650</v>
      </c>
      <c r="G1954" s="111" t="s">
        <v>3651</v>
      </c>
    </row>
    <row r="1955" customFormat="false" ht="15" hidden="false" customHeight="false" outlineLevel="0" collapsed="false">
      <c r="A1955" s="109" t="s">
        <v>116</v>
      </c>
      <c r="B1955" s="109" t="s">
        <v>119</v>
      </c>
      <c r="C1955" s="109" t="s">
        <v>758</v>
      </c>
      <c r="D1955" s="109" t="s">
        <v>47</v>
      </c>
      <c r="E1955" s="112" t="s">
        <v>16</v>
      </c>
      <c r="F1955" s="109" t="s">
        <v>3652</v>
      </c>
      <c r="G1955" s="111" t="s">
        <v>1213</v>
      </c>
    </row>
    <row r="1956" customFormat="false" ht="15" hidden="false" customHeight="false" outlineLevel="0" collapsed="false">
      <c r="A1956" s="109" t="s">
        <v>116</v>
      </c>
      <c r="B1956" s="109" t="s">
        <v>119</v>
      </c>
      <c r="C1956" s="109" t="s">
        <v>758</v>
      </c>
      <c r="D1956" s="109" t="s">
        <v>51</v>
      </c>
      <c r="E1956" s="112" t="s">
        <v>16</v>
      </c>
      <c r="F1956" s="109" t="s">
        <v>3653</v>
      </c>
      <c r="G1956" s="111" t="s">
        <v>3654</v>
      </c>
    </row>
    <row r="1957" customFormat="false" ht="15" hidden="false" customHeight="false" outlineLevel="0" collapsed="false">
      <c r="A1957" s="109" t="s">
        <v>116</v>
      </c>
      <c r="B1957" s="109" t="s">
        <v>119</v>
      </c>
      <c r="C1957" s="109" t="s">
        <v>758</v>
      </c>
      <c r="D1957" s="109" t="s">
        <v>55</v>
      </c>
      <c r="E1957" s="112" t="s">
        <v>16</v>
      </c>
      <c r="F1957" s="109" t="s">
        <v>3655</v>
      </c>
      <c r="G1957" s="111" t="s">
        <v>3656</v>
      </c>
    </row>
    <row r="1958" customFormat="false" ht="15" hidden="false" customHeight="false" outlineLevel="0" collapsed="false">
      <c r="A1958" s="109" t="s">
        <v>116</v>
      </c>
      <c r="B1958" s="109" t="s">
        <v>119</v>
      </c>
      <c r="C1958" s="109" t="s">
        <v>758</v>
      </c>
      <c r="D1958" s="109" t="s">
        <v>59</v>
      </c>
      <c r="E1958" s="110" t="s">
        <v>18</v>
      </c>
      <c r="F1958" s="109" t="s">
        <v>3657</v>
      </c>
      <c r="G1958" s="111" t="s">
        <v>1155</v>
      </c>
    </row>
    <row r="1959" customFormat="false" ht="15" hidden="false" customHeight="false" outlineLevel="0" collapsed="false">
      <c r="A1959" s="109" t="s">
        <v>116</v>
      </c>
      <c r="B1959" s="109" t="s">
        <v>119</v>
      </c>
      <c r="C1959" s="109" t="s">
        <v>758</v>
      </c>
      <c r="D1959" s="109" t="s">
        <v>63</v>
      </c>
      <c r="E1959" s="112" t="s">
        <v>16</v>
      </c>
      <c r="F1959" s="109" t="s">
        <v>3658</v>
      </c>
      <c r="G1959" s="111" t="s">
        <v>3644</v>
      </c>
    </row>
    <row r="1960" customFormat="false" ht="15" hidden="false" customHeight="false" outlineLevel="0" collapsed="false">
      <c r="A1960" s="109" t="s">
        <v>116</v>
      </c>
      <c r="B1960" s="109" t="s">
        <v>119</v>
      </c>
      <c r="C1960" s="109" t="s">
        <v>758</v>
      </c>
      <c r="D1960" s="109" t="s">
        <v>67</v>
      </c>
      <c r="E1960" s="112" t="s">
        <v>16</v>
      </c>
      <c r="F1960" s="109" t="s">
        <v>3659</v>
      </c>
      <c r="G1960" s="111" t="s">
        <v>1064</v>
      </c>
    </row>
    <row r="1961" customFormat="false" ht="15" hidden="false" customHeight="false" outlineLevel="0" collapsed="false">
      <c r="A1961" s="109" t="s">
        <v>116</v>
      </c>
      <c r="B1961" s="109" t="s">
        <v>119</v>
      </c>
      <c r="C1961" s="109" t="s">
        <v>758</v>
      </c>
      <c r="D1961" s="109" t="s">
        <v>71</v>
      </c>
      <c r="E1961" s="112" t="s">
        <v>16</v>
      </c>
      <c r="F1961" s="109" t="s">
        <v>3660</v>
      </c>
      <c r="G1961" s="111" t="s">
        <v>3661</v>
      </c>
    </row>
    <row r="1962" customFormat="false" ht="15" hidden="false" customHeight="false" outlineLevel="0" collapsed="false">
      <c r="A1962" s="109" t="s">
        <v>116</v>
      </c>
      <c r="B1962" s="109" t="s">
        <v>119</v>
      </c>
      <c r="C1962" s="109" t="s">
        <v>759</v>
      </c>
      <c r="D1962" s="109" t="s">
        <v>35</v>
      </c>
      <c r="E1962" s="114" t="s">
        <v>22</v>
      </c>
      <c r="F1962" s="109" t="s">
        <v>3662</v>
      </c>
      <c r="G1962" s="109"/>
    </row>
    <row r="1963" customFormat="false" ht="15" hidden="false" customHeight="false" outlineLevel="0" collapsed="false">
      <c r="A1963" s="109" t="s">
        <v>116</v>
      </c>
      <c r="B1963" s="109" t="s">
        <v>119</v>
      </c>
      <c r="C1963" s="109" t="s">
        <v>759</v>
      </c>
      <c r="D1963" s="109" t="s">
        <v>39</v>
      </c>
      <c r="E1963" s="114" t="s">
        <v>22</v>
      </c>
      <c r="F1963" s="109" t="s">
        <v>3663</v>
      </c>
      <c r="G1963" s="111" t="s">
        <v>3664</v>
      </c>
    </row>
    <row r="1964" customFormat="false" ht="15" hidden="false" customHeight="false" outlineLevel="0" collapsed="false">
      <c r="A1964" s="109" t="s">
        <v>116</v>
      </c>
      <c r="B1964" s="109" t="s">
        <v>119</v>
      </c>
      <c r="C1964" s="109" t="s">
        <v>759</v>
      </c>
      <c r="D1964" s="109" t="s">
        <v>43</v>
      </c>
      <c r="E1964" s="110" t="s">
        <v>18</v>
      </c>
      <c r="F1964" s="109" t="s">
        <v>3665</v>
      </c>
      <c r="G1964" s="111" t="s">
        <v>1673</v>
      </c>
    </row>
    <row r="1965" customFormat="false" ht="15" hidden="false" customHeight="false" outlineLevel="0" collapsed="false">
      <c r="A1965" s="109" t="s">
        <v>116</v>
      </c>
      <c r="B1965" s="109" t="s">
        <v>119</v>
      </c>
      <c r="C1965" s="109" t="s">
        <v>759</v>
      </c>
      <c r="D1965" s="109" t="s">
        <v>47</v>
      </c>
      <c r="E1965" s="112" t="s">
        <v>16</v>
      </c>
      <c r="F1965" s="109" t="s">
        <v>3666</v>
      </c>
      <c r="G1965" s="111" t="s">
        <v>2962</v>
      </c>
    </row>
    <row r="1966" customFormat="false" ht="15" hidden="false" customHeight="false" outlineLevel="0" collapsed="false">
      <c r="A1966" s="109" t="s">
        <v>116</v>
      </c>
      <c r="B1966" s="109" t="s">
        <v>119</v>
      </c>
      <c r="C1966" s="109" t="s">
        <v>759</v>
      </c>
      <c r="D1966" s="109" t="s">
        <v>51</v>
      </c>
      <c r="E1966" s="110" t="s">
        <v>18</v>
      </c>
      <c r="F1966" s="109" t="s">
        <v>3667</v>
      </c>
      <c r="G1966" s="111" t="s">
        <v>3668</v>
      </c>
    </row>
    <row r="1967" customFormat="false" ht="15" hidden="false" customHeight="false" outlineLevel="0" collapsed="false">
      <c r="A1967" s="109" t="s">
        <v>116</v>
      </c>
      <c r="B1967" s="109" t="s">
        <v>119</v>
      </c>
      <c r="C1967" s="109" t="s">
        <v>759</v>
      </c>
      <c r="D1967" s="109" t="s">
        <v>55</v>
      </c>
      <c r="E1967" s="112" t="s">
        <v>16</v>
      </c>
      <c r="F1967" s="109" t="s">
        <v>3669</v>
      </c>
      <c r="G1967" s="111" t="s">
        <v>3218</v>
      </c>
    </row>
    <row r="1968" customFormat="false" ht="15" hidden="false" customHeight="false" outlineLevel="0" collapsed="false">
      <c r="A1968" s="109" t="s">
        <v>116</v>
      </c>
      <c r="B1968" s="109" t="s">
        <v>119</v>
      </c>
      <c r="C1968" s="109" t="s">
        <v>759</v>
      </c>
      <c r="D1968" s="109" t="s">
        <v>59</v>
      </c>
      <c r="E1968" s="110" t="s">
        <v>18</v>
      </c>
      <c r="F1968" s="109" t="s">
        <v>3670</v>
      </c>
      <c r="G1968" s="111" t="s">
        <v>1172</v>
      </c>
    </row>
    <row r="1969" customFormat="false" ht="23.85" hidden="false" customHeight="false" outlineLevel="0" collapsed="false">
      <c r="A1969" s="109" t="s">
        <v>116</v>
      </c>
      <c r="B1969" s="109" t="s">
        <v>119</v>
      </c>
      <c r="C1969" s="109" t="s">
        <v>759</v>
      </c>
      <c r="D1969" s="109" t="s">
        <v>63</v>
      </c>
      <c r="E1969" s="112" t="s">
        <v>16</v>
      </c>
      <c r="F1969" s="109" t="s">
        <v>3671</v>
      </c>
      <c r="G1969" s="111" t="s">
        <v>3672</v>
      </c>
    </row>
    <row r="1970" customFormat="false" ht="23.85" hidden="false" customHeight="false" outlineLevel="0" collapsed="false">
      <c r="A1970" s="109" t="s">
        <v>116</v>
      </c>
      <c r="B1970" s="109" t="s">
        <v>119</v>
      </c>
      <c r="C1970" s="109" t="s">
        <v>759</v>
      </c>
      <c r="D1970" s="109" t="s">
        <v>67</v>
      </c>
      <c r="E1970" s="114" t="s">
        <v>22</v>
      </c>
      <c r="F1970" s="109" t="s">
        <v>3673</v>
      </c>
      <c r="G1970" s="111" t="s">
        <v>1988</v>
      </c>
    </row>
    <row r="1971" customFormat="false" ht="15" hidden="false" customHeight="false" outlineLevel="0" collapsed="false">
      <c r="A1971" s="109" t="s">
        <v>116</v>
      </c>
      <c r="B1971" s="109" t="s">
        <v>119</v>
      </c>
      <c r="C1971" s="109" t="s">
        <v>759</v>
      </c>
      <c r="D1971" s="109" t="s">
        <v>71</v>
      </c>
      <c r="E1971" s="112" t="s">
        <v>16</v>
      </c>
      <c r="F1971" s="109" t="s">
        <v>3674</v>
      </c>
      <c r="G1971" s="111" t="s">
        <v>3675</v>
      </c>
    </row>
    <row r="1972" customFormat="false" ht="15" hidden="false" customHeight="false" outlineLevel="0" collapsed="false">
      <c r="A1972" s="109" t="s">
        <v>116</v>
      </c>
      <c r="B1972" s="109" t="s">
        <v>119</v>
      </c>
      <c r="C1972" s="109" t="s">
        <v>761</v>
      </c>
      <c r="D1972" s="109" t="s">
        <v>35</v>
      </c>
      <c r="E1972" s="112" t="s">
        <v>16</v>
      </c>
      <c r="F1972" s="109" t="s">
        <v>3676</v>
      </c>
      <c r="G1972" s="111" t="s">
        <v>3677</v>
      </c>
    </row>
    <row r="1973" customFormat="false" ht="23.85" hidden="false" customHeight="false" outlineLevel="0" collapsed="false">
      <c r="A1973" s="109" t="s">
        <v>116</v>
      </c>
      <c r="B1973" s="109" t="s">
        <v>119</v>
      </c>
      <c r="C1973" s="109" t="s">
        <v>761</v>
      </c>
      <c r="D1973" s="109" t="s">
        <v>39</v>
      </c>
      <c r="E1973" s="112" t="s">
        <v>16</v>
      </c>
      <c r="F1973" s="109" t="s">
        <v>3678</v>
      </c>
      <c r="G1973" s="111" t="s">
        <v>3679</v>
      </c>
    </row>
    <row r="1974" customFormat="false" ht="23.85" hidden="false" customHeight="false" outlineLevel="0" collapsed="false">
      <c r="A1974" s="109" t="s">
        <v>116</v>
      </c>
      <c r="B1974" s="109" t="s">
        <v>119</v>
      </c>
      <c r="C1974" s="109" t="s">
        <v>761</v>
      </c>
      <c r="D1974" s="109" t="s">
        <v>43</v>
      </c>
      <c r="E1974" s="112" t="s">
        <v>16</v>
      </c>
      <c r="F1974" s="109" t="s">
        <v>3680</v>
      </c>
      <c r="G1974" s="111" t="s">
        <v>2366</v>
      </c>
    </row>
    <row r="1975" customFormat="false" ht="15" hidden="false" customHeight="false" outlineLevel="0" collapsed="false">
      <c r="A1975" s="109" t="s">
        <v>116</v>
      </c>
      <c r="B1975" s="109" t="s">
        <v>119</v>
      </c>
      <c r="C1975" s="109" t="s">
        <v>761</v>
      </c>
      <c r="D1975" s="109" t="s">
        <v>47</v>
      </c>
      <c r="E1975" s="112" t="s">
        <v>16</v>
      </c>
      <c r="F1975" s="109" t="s">
        <v>3681</v>
      </c>
      <c r="G1975" s="111" t="s">
        <v>2962</v>
      </c>
    </row>
    <row r="1976" customFormat="false" ht="15" hidden="false" customHeight="false" outlineLevel="0" collapsed="false">
      <c r="A1976" s="109" t="s">
        <v>116</v>
      </c>
      <c r="B1976" s="109" t="s">
        <v>119</v>
      </c>
      <c r="C1976" s="109" t="s">
        <v>761</v>
      </c>
      <c r="D1976" s="109" t="s">
        <v>51</v>
      </c>
      <c r="E1976" s="112" t="s">
        <v>16</v>
      </c>
      <c r="F1976" s="109" t="s">
        <v>3682</v>
      </c>
      <c r="G1976" s="111" t="s">
        <v>3683</v>
      </c>
    </row>
    <row r="1977" customFormat="false" ht="15" hidden="false" customHeight="false" outlineLevel="0" collapsed="false">
      <c r="A1977" s="109" t="s">
        <v>116</v>
      </c>
      <c r="B1977" s="109" t="s">
        <v>119</v>
      </c>
      <c r="C1977" s="109" t="s">
        <v>761</v>
      </c>
      <c r="D1977" s="109" t="s">
        <v>55</v>
      </c>
      <c r="E1977" s="112" t="s">
        <v>16</v>
      </c>
      <c r="F1977" s="109" t="s">
        <v>3684</v>
      </c>
      <c r="G1977" s="111" t="s">
        <v>3685</v>
      </c>
    </row>
    <row r="1978" customFormat="false" ht="15" hidden="false" customHeight="false" outlineLevel="0" collapsed="false">
      <c r="A1978" s="109" t="s">
        <v>116</v>
      </c>
      <c r="B1978" s="109" t="s">
        <v>119</v>
      </c>
      <c r="C1978" s="109" t="s">
        <v>761</v>
      </c>
      <c r="D1978" s="109" t="s">
        <v>59</v>
      </c>
      <c r="E1978" s="110" t="s">
        <v>18</v>
      </c>
      <c r="F1978" s="109" t="s">
        <v>3686</v>
      </c>
      <c r="G1978" s="111" t="s">
        <v>3687</v>
      </c>
    </row>
    <row r="1979" customFormat="false" ht="15" hidden="false" customHeight="false" outlineLevel="0" collapsed="false">
      <c r="A1979" s="109" t="s">
        <v>116</v>
      </c>
      <c r="B1979" s="109" t="s">
        <v>119</v>
      </c>
      <c r="C1979" s="109" t="s">
        <v>761</v>
      </c>
      <c r="D1979" s="109" t="s">
        <v>63</v>
      </c>
      <c r="E1979" s="112" t="s">
        <v>16</v>
      </c>
      <c r="F1979" s="109" t="s">
        <v>3688</v>
      </c>
      <c r="G1979" s="111" t="s">
        <v>3689</v>
      </c>
    </row>
    <row r="1980" customFormat="false" ht="23.85" hidden="false" customHeight="false" outlineLevel="0" collapsed="false">
      <c r="A1980" s="109" t="s">
        <v>116</v>
      </c>
      <c r="B1980" s="109" t="s">
        <v>119</v>
      </c>
      <c r="C1980" s="109" t="s">
        <v>761</v>
      </c>
      <c r="D1980" s="109" t="s">
        <v>67</v>
      </c>
      <c r="E1980" s="114" t="s">
        <v>22</v>
      </c>
      <c r="F1980" s="109" t="s">
        <v>3690</v>
      </c>
      <c r="G1980" s="111" t="s">
        <v>1988</v>
      </c>
    </row>
    <row r="1981" customFormat="false" ht="23.85" hidden="false" customHeight="false" outlineLevel="0" collapsed="false">
      <c r="A1981" s="109" t="s">
        <v>116</v>
      </c>
      <c r="B1981" s="109" t="s">
        <v>119</v>
      </c>
      <c r="C1981" s="109" t="s">
        <v>761</v>
      </c>
      <c r="D1981" s="109" t="s">
        <v>71</v>
      </c>
      <c r="E1981" s="114" t="s">
        <v>22</v>
      </c>
      <c r="F1981" s="109" t="s">
        <v>3691</v>
      </c>
      <c r="G1981" s="111" t="s">
        <v>3692</v>
      </c>
    </row>
    <row r="1982" customFormat="false" ht="15" hidden="false" customHeight="false" outlineLevel="0" collapsed="false">
      <c r="A1982" s="109" t="s">
        <v>116</v>
      </c>
      <c r="B1982" s="109" t="s">
        <v>119</v>
      </c>
      <c r="C1982" s="109" t="s">
        <v>763</v>
      </c>
      <c r="D1982" s="109" t="s">
        <v>35</v>
      </c>
      <c r="E1982" s="114" t="s">
        <v>22</v>
      </c>
      <c r="F1982" s="109" t="s">
        <v>3693</v>
      </c>
      <c r="G1982" s="111" t="s">
        <v>3694</v>
      </c>
    </row>
    <row r="1983" customFormat="false" ht="15" hidden="false" customHeight="false" outlineLevel="0" collapsed="false">
      <c r="A1983" s="109" t="s">
        <v>116</v>
      </c>
      <c r="B1983" s="109" t="s">
        <v>119</v>
      </c>
      <c r="C1983" s="109" t="s">
        <v>763</v>
      </c>
      <c r="D1983" s="109" t="s">
        <v>39</v>
      </c>
      <c r="E1983" s="112" t="s">
        <v>16</v>
      </c>
      <c r="F1983" s="109" t="s">
        <v>3695</v>
      </c>
      <c r="G1983" s="111" t="s">
        <v>2777</v>
      </c>
    </row>
    <row r="1984" customFormat="false" ht="23.85" hidden="false" customHeight="false" outlineLevel="0" collapsed="false">
      <c r="A1984" s="109" t="s">
        <v>116</v>
      </c>
      <c r="B1984" s="109" t="s">
        <v>119</v>
      </c>
      <c r="C1984" s="109" t="s">
        <v>763</v>
      </c>
      <c r="D1984" s="109" t="s">
        <v>43</v>
      </c>
      <c r="E1984" s="114" t="s">
        <v>22</v>
      </c>
      <c r="F1984" s="109" t="s">
        <v>3696</v>
      </c>
      <c r="G1984" s="111" t="s">
        <v>1035</v>
      </c>
    </row>
    <row r="1985" customFormat="false" ht="15" hidden="false" customHeight="false" outlineLevel="0" collapsed="false">
      <c r="A1985" s="109" t="s">
        <v>116</v>
      </c>
      <c r="B1985" s="109" t="s">
        <v>119</v>
      </c>
      <c r="C1985" s="109" t="s">
        <v>763</v>
      </c>
      <c r="D1985" s="109" t="s">
        <v>47</v>
      </c>
      <c r="E1985" s="112" t="s">
        <v>16</v>
      </c>
      <c r="F1985" s="109" t="s">
        <v>3697</v>
      </c>
      <c r="G1985" s="111" t="s">
        <v>2962</v>
      </c>
    </row>
    <row r="1986" customFormat="false" ht="23.85" hidden="false" customHeight="false" outlineLevel="0" collapsed="false">
      <c r="A1986" s="109" t="s">
        <v>116</v>
      </c>
      <c r="B1986" s="109" t="s">
        <v>119</v>
      </c>
      <c r="C1986" s="109" t="s">
        <v>763</v>
      </c>
      <c r="D1986" s="109" t="s">
        <v>51</v>
      </c>
      <c r="E1986" s="112" t="s">
        <v>16</v>
      </c>
      <c r="F1986" s="109" t="s">
        <v>3698</v>
      </c>
      <c r="G1986" s="111" t="s">
        <v>2964</v>
      </c>
    </row>
    <row r="1987" customFormat="false" ht="15" hidden="false" customHeight="false" outlineLevel="0" collapsed="false">
      <c r="A1987" s="109" t="s">
        <v>116</v>
      </c>
      <c r="B1987" s="109" t="s">
        <v>119</v>
      </c>
      <c r="C1987" s="109" t="s">
        <v>763</v>
      </c>
      <c r="D1987" s="109" t="s">
        <v>55</v>
      </c>
      <c r="E1987" s="112" t="s">
        <v>16</v>
      </c>
      <c r="F1987" s="109" t="s">
        <v>3699</v>
      </c>
      <c r="G1987" s="111" t="s">
        <v>3700</v>
      </c>
    </row>
    <row r="1988" customFormat="false" ht="15" hidden="false" customHeight="false" outlineLevel="0" collapsed="false">
      <c r="A1988" s="109" t="s">
        <v>116</v>
      </c>
      <c r="B1988" s="109" t="s">
        <v>119</v>
      </c>
      <c r="C1988" s="109" t="s">
        <v>763</v>
      </c>
      <c r="D1988" s="109" t="s">
        <v>59</v>
      </c>
      <c r="E1988" s="110" t="s">
        <v>18</v>
      </c>
      <c r="F1988" s="109" t="s">
        <v>3701</v>
      </c>
      <c r="G1988" s="111" t="s">
        <v>1172</v>
      </c>
    </row>
    <row r="1989" customFormat="false" ht="15" hidden="false" customHeight="false" outlineLevel="0" collapsed="false">
      <c r="A1989" s="109" t="s">
        <v>116</v>
      </c>
      <c r="B1989" s="109" t="s">
        <v>119</v>
      </c>
      <c r="C1989" s="109" t="s">
        <v>763</v>
      </c>
      <c r="D1989" s="109" t="s">
        <v>63</v>
      </c>
      <c r="E1989" s="112" t="s">
        <v>16</v>
      </c>
      <c r="F1989" s="109" t="s">
        <v>3702</v>
      </c>
      <c r="G1989" s="111" t="s">
        <v>3703</v>
      </c>
    </row>
    <row r="1990" customFormat="false" ht="15" hidden="false" customHeight="false" outlineLevel="0" collapsed="false">
      <c r="A1990" s="109" t="s">
        <v>116</v>
      </c>
      <c r="B1990" s="109" t="s">
        <v>119</v>
      </c>
      <c r="C1990" s="109" t="s">
        <v>763</v>
      </c>
      <c r="D1990" s="109" t="s">
        <v>67</v>
      </c>
      <c r="E1990" s="114" t="s">
        <v>22</v>
      </c>
      <c r="F1990" s="109" t="s">
        <v>3704</v>
      </c>
      <c r="G1990" s="111" t="s">
        <v>1988</v>
      </c>
    </row>
    <row r="1991" customFormat="false" ht="15" hidden="false" customHeight="false" outlineLevel="0" collapsed="false">
      <c r="A1991" s="109" t="s">
        <v>116</v>
      </c>
      <c r="B1991" s="109" t="s">
        <v>119</v>
      </c>
      <c r="C1991" s="109" t="s">
        <v>763</v>
      </c>
      <c r="D1991" s="109" t="s">
        <v>71</v>
      </c>
      <c r="E1991" s="112" t="s">
        <v>16</v>
      </c>
      <c r="F1991" s="109" t="s">
        <v>3705</v>
      </c>
      <c r="G1991" s="111" t="s">
        <v>949</v>
      </c>
    </row>
    <row r="1992" customFormat="false" ht="15" hidden="false" customHeight="false" outlineLevel="0" collapsed="false">
      <c r="A1992" s="109" t="s">
        <v>116</v>
      </c>
      <c r="B1992" s="109" t="s">
        <v>119</v>
      </c>
      <c r="C1992" s="109" t="s">
        <v>765</v>
      </c>
      <c r="D1992" s="109" t="s">
        <v>35</v>
      </c>
      <c r="E1992" s="112" t="s">
        <v>16</v>
      </c>
      <c r="F1992" s="109" t="s">
        <v>3706</v>
      </c>
      <c r="G1992" s="111" t="s">
        <v>1082</v>
      </c>
    </row>
    <row r="1993" customFormat="false" ht="15" hidden="false" customHeight="false" outlineLevel="0" collapsed="false">
      <c r="A1993" s="109" t="s">
        <v>116</v>
      </c>
      <c r="B1993" s="109" t="s">
        <v>119</v>
      </c>
      <c r="C1993" s="109" t="s">
        <v>765</v>
      </c>
      <c r="D1993" s="109" t="s">
        <v>39</v>
      </c>
      <c r="E1993" s="115" t="s">
        <v>20</v>
      </c>
      <c r="F1993" s="109" t="s">
        <v>3707</v>
      </c>
      <c r="G1993" s="111" t="s">
        <v>1194</v>
      </c>
    </row>
    <row r="1994" customFormat="false" ht="15" hidden="false" customHeight="false" outlineLevel="0" collapsed="false">
      <c r="A1994" s="109" t="s">
        <v>116</v>
      </c>
      <c r="B1994" s="109" t="s">
        <v>119</v>
      </c>
      <c r="C1994" s="109" t="s">
        <v>765</v>
      </c>
      <c r="D1994" s="109" t="s">
        <v>43</v>
      </c>
      <c r="E1994" s="113" t="s">
        <v>24</v>
      </c>
      <c r="F1994" s="109" t="s">
        <v>3708</v>
      </c>
      <c r="G1994" s="109"/>
    </row>
    <row r="1995" customFormat="false" ht="23.85" hidden="false" customHeight="false" outlineLevel="0" collapsed="false">
      <c r="A1995" s="109" t="s">
        <v>116</v>
      </c>
      <c r="B1995" s="109" t="s">
        <v>119</v>
      </c>
      <c r="C1995" s="109" t="s">
        <v>765</v>
      </c>
      <c r="D1995" s="109" t="s">
        <v>47</v>
      </c>
      <c r="E1995" s="114" t="s">
        <v>22</v>
      </c>
      <c r="F1995" s="109" t="s">
        <v>3709</v>
      </c>
      <c r="G1995" s="111" t="s">
        <v>956</v>
      </c>
    </row>
    <row r="1996" customFormat="false" ht="23.85" hidden="false" customHeight="false" outlineLevel="0" collapsed="false">
      <c r="A1996" s="109" t="s">
        <v>116</v>
      </c>
      <c r="B1996" s="109" t="s">
        <v>119</v>
      </c>
      <c r="C1996" s="109" t="s">
        <v>765</v>
      </c>
      <c r="D1996" s="109" t="s">
        <v>51</v>
      </c>
      <c r="E1996" s="112" t="s">
        <v>16</v>
      </c>
      <c r="F1996" s="109" t="s">
        <v>3710</v>
      </c>
      <c r="G1996" s="111" t="s">
        <v>3654</v>
      </c>
    </row>
    <row r="1997" customFormat="false" ht="15" hidden="false" customHeight="false" outlineLevel="0" collapsed="false">
      <c r="A1997" s="109" t="s">
        <v>116</v>
      </c>
      <c r="B1997" s="109" t="s">
        <v>119</v>
      </c>
      <c r="C1997" s="109" t="s">
        <v>765</v>
      </c>
      <c r="D1997" s="109" t="s">
        <v>55</v>
      </c>
      <c r="E1997" s="113" t="s">
        <v>24</v>
      </c>
      <c r="F1997" s="109" t="s">
        <v>3711</v>
      </c>
      <c r="G1997" s="109"/>
    </row>
    <row r="1998" customFormat="false" ht="15" hidden="false" customHeight="false" outlineLevel="0" collapsed="false">
      <c r="A1998" s="109" t="s">
        <v>116</v>
      </c>
      <c r="B1998" s="109" t="s">
        <v>119</v>
      </c>
      <c r="C1998" s="109" t="s">
        <v>765</v>
      </c>
      <c r="D1998" s="109" t="s">
        <v>59</v>
      </c>
      <c r="E1998" s="116" t="s">
        <v>26</v>
      </c>
      <c r="F1998" s="109" t="s">
        <v>3712</v>
      </c>
      <c r="G1998" s="109"/>
    </row>
    <row r="1999" customFormat="false" ht="15" hidden="false" customHeight="false" outlineLevel="0" collapsed="false">
      <c r="A1999" s="109" t="s">
        <v>116</v>
      </c>
      <c r="B1999" s="109" t="s">
        <v>119</v>
      </c>
      <c r="C1999" s="109" t="s">
        <v>765</v>
      </c>
      <c r="D1999" s="109" t="s">
        <v>63</v>
      </c>
      <c r="E1999" s="113" t="s">
        <v>24</v>
      </c>
      <c r="F1999" s="109" t="s">
        <v>3713</v>
      </c>
      <c r="G1999" s="109"/>
    </row>
    <row r="2000" customFormat="false" ht="15" hidden="false" customHeight="false" outlineLevel="0" collapsed="false">
      <c r="A2000" s="109" t="s">
        <v>116</v>
      </c>
      <c r="B2000" s="109" t="s">
        <v>119</v>
      </c>
      <c r="C2000" s="109" t="s">
        <v>765</v>
      </c>
      <c r="D2000" s="109" t="s">
        <v>67</v>
      </c>
      <c r="E2000" s="112" t="s">
        <v>16</v>
      </c>
      <c r="F2000" s="109" t="s">
        <v>3714</v>
      </c>
      <c r="G2000" s="111" t="s">
        <v>1498</v>
      </c>
    </row>
    <row r="2001" customFormat="false" ht="15" hidden="false" customHeight="false" outlineLevel="0" collapsed="false">
      <c r="A2001" s="109" t="s">
        <v>116</v>
      </c>
      <c r="B2001" s="109" t="s">
        <v>119</v>
      </c>
      <c r="C2001" s="109" t="s">
        <v>765</v>
      </c>
      <c r="D2001" s="109" t="s">
        <v>71</v>
      </c>
      <c r="E2001" s="114" t="s">
        <v>22</v>
      </c>
      <c r="F2001" s="109" t="s">
        <v>3715</v>
      </c>
      <c r="G2001" s="111" t="s">
        <v>3716</v>
      </c>
    </row>
    <row r="2002" customFormat="false" ht="15" hidden="false" customHeight="false" outlineLevel="0" collapsed="false">
      <c r="A2002" s="109" t="s">
        <v>116</v>
      </c>
      <c r="B2002" s="109" t="s">
        <v>119</v>
      </c>
      <c r="C2002" s="109" t="s">
        <v>767</v>
      </c>
      <c r="D2002" s="109" t="s">
        <v>35</v>
      </c>
      <c r="E2002" s="112" t="s">
        <v>16</v>
      </c>
      <c r="F2002" s="109" t="s">
        <v>3717</v>
      </c>
      <c r="G2002" s="111" t="s">
        <v>1484</v>
      </c>
    </row>
    <row r="2003" customFormat="false" ht="23.85" hidden="false" customHeight="false" outlineLevel="0" collapsed="false">
      <c r="A2003" s="109" t="s">
        <v>116</v>
      </c>
      <c r="B2003" s="109" t="s">
        <v>119</v>
      </c>
      <c r="C2003" s="109" t="s">
        <v>767</v>
      </c>
      <c r="D2003" s="109" t="s">
        <v>39</v>
      </c>
      <c r="E2003" s="112" t="s">
        <v>16</v>
      </c>
      <c r="F2003" s="109" t="s">
        <v>3718</v>
      </c>
      <c r="G2003" s="111" t="s">
        <v>3719</v>
      </c>
    </row>
    <row r="2004" customFormat="false" ht="23.85" hidden="false" customHeight="false" outlineLevel="0" collapsed="false">
      <c r="A2004" s="109" t="s">
        <v>116</v>
      </c>
      <c r="B2004" s="109" t="s">
        <v>119</v>
      </c>
      <c r="C2004" s="109" t="s">
        <v>767</v>
      </c>
      <c r="D2004" s="109" t="s">
        <v>43</v>
      </c>
      <c r="E2004" s="112" t="s">
        <v>16</v>
      </c>
      <c r="F2004" s="109" t="s">
        <v>3720</v>
      </c>
      <c r="G2004" s="111" t="s">
        <v>1564</v>
      </c>
    </row>
    <row r="2005" customFormat="false" ht="23.85" hidden="false" customHeight="false" outlineLevel="0" collapsed="false">
      <c r="A2005" s="109" t="s">
        <v>116</v>
      </c>
      <c r="B2005" s="109" t="s">
        <v>119</v>
      </c>
      <c r="C2005" s="109" t="s">
        <v>767</v>
      </c>
      <c r="D2005" s="109" t="s">
        <v>47</v>
      </c>
      <c r="E2005" s="114" t="s">
        <v>22</v>
      </c>
      <c r="F2005" s="109" t="s">
        <v>3721</v>
      </c>
      <c r="G2005" s="111" t="s">
        <v>1213</v>
      </c>
    </row>
    <row r="2006" customFormat="false" ht="15" hidden="false" customHeight="false" outlineLevel="0" collapsed="false">
      <c r="A2006" s="109" t="s">
        <v>116</v>
      </c>
      <c r="B2006" s="109" t="s">
        <v>119</v>
      </c>
      <c r="C2006" s="109" t="s">
        <v>767</v>
      </c>
      <c r="D2006" s="109" t="s">
        <v>51</v>
      </c>
      <c r="E2006" s="112" t="s">
        <v>16</v>
      </c>
      <c r="F2006" s="109" t="s">
        <v>3722</v>
      </c>
      <c r="G2006" s="111" t="s">
        <v>3723</v>
      </c>
    </row>
    <row r="2007" customFormat="false" ht="15" hidden="false" customHeight="false" outlineLevel="0" collapsed="false">
      <c r="A2007" s="109" t="s">
        <v>116</v>
      </c>
      <c r="B2007" s="109" t="s">
        <v>119</v>
      </c>
      <c r="C2007" s="109" t="s">
        <v>767</v>
      </c>
      <c r="D2007" s="109" t="s">
        <v>55</v>
      </c>
      <c r="E2007" s="112" t="s">
        <v>16</v>
      </c>
      <c r="F2007" s="109" t="s">
        <v>3724</v>
      </c>
      <c r="G2007" s="111" t="s">
        <v>1477</v>
      </c>
    </row>
    <row r="2008" customFormat="false" ht="15" hidden="false" customHeight="false" outlineLevel="0" collapsed="false">
      <c r="A2008" s="109" t="s">
        <v>116</v>
      </c>
      <c r="B2008" s="109" t="s">
        <v>119</v>
      </c>
      <c r="C2008" s="109" t="s">
        <v>767</v>
      </c>
      <c r="D2008" s="109" t="s">
        <v>59</v>
      </c>
      <c r="E2008" s="110" t="s">
        <v>18</v>
      </c>
      <c r="F2008" s="109" t="s">
        <v>3725</v>
      </c>
      <c r="G2008" s="111" t="s">
        <v>1479</v>
      </c>
    </row>
    <row r="2009" customFormat="false" ht="15" hidden="false" customHeight="false" outlineLevel="0" collapsed="false">
      <c r="A2009" s="109" t="s">
        <v>116</v>
      </c>
      <c r="B2009" s="109" t="s">
        <v>119</v>
      </c>
      <c r="C2009" s="109" t="s">
        <v>767</v>
      </c>
      <c r="D2009" s="109" t="s">
        <v>63</v>
      </c>
      <c r="E2009" s="112" t="s">
        <v>16</v>
      </c>
      <c r="F2009" s="109" t="s">
        <v>3726</v>
      </c>
      <c r="G2009" s="111" t="s">
        <v>844</v>
      </c>
    </row>
    <row r="2010" customFormat="false" ht="23.85" hidden="false" customHeight="false" outlineLevel="0" collapsed="false">
      <c r="A2010" s="109" t="s">
        <v>116</v>
      </c>
      <c r="B2010" s="109" t="s">
        <v>119</v>
      </c>
      <c r="C2010" s="109" t="s">
        <v>767</v>
      </c>
      <c r="D2010" s="109" t="s">
        <v>67</v>
      </c>
      <c r="E2010" s="112" t="s">
        <v>16</v>
      </c>
      <c r="F2010" s="109" t="s">
        <v>3727</v>
      </c>
      <c r="G2010" s="111" t="s">
        <v>846</v>
      </c>
    </row>
    <row r="2011" customFormat="false" ht="15" hidden="false" customHeight="false" outlineLevel="0" collapsed="false">
      <c r="A2011" s="109" t="s">
        <v>116</v>
      </c>
      <c r="B2011" s="109" t="s">
        <v>119</v>
      </c>
      <c r="C2011" s="109" t="s">
        <v>767</v>
      </c>
      <c r="D2011" s="109" t="s">
        <v>71</v>
      </c>
      <c r="E2011" s="112" t="s">
        <v>16</v>
      </c>
      <c r="F2011" s="109" t="s">
        <v>3728</v>
      </c>
      <c r="G2011" s="111" t="s">
        <v>884</v>
      </c>
    </row>
    <row r="2012" customFormat="false" ht="15" hidden="false" customHeight="false" outlineLevel="0" collapsed="false">
      <c r="A2012" s="109" t="s">
        <v>116</v>
      </c>
      <c r="B2012" s="109" t="s">
        <v>119</v>
      </c>
      <c r="C2012" s="109" t="s">
        <v>769</v>
      </c>
      <c r="D2012" s="109" t="s">
        <v>35</v>
      </c>
      <c r="E2012" s="114" t="s">
        <v>22</v>
      </c>
      <c r="F2012" s="109" t="s">
        <v>3729</v>
      </c>
      <c r="G2012" s="111" t="s">
        <v>2855</v>
      </c>
    </row>
    <row r="2013" customFormat="false" ht="23.85" hidden="false" customHeight="false" outlineLevel="0" collapsed="false">
      <c r="A2013" s="109" t="s">
        <v>116</v>
      </c>
      <c r="B2013" s="109" t="s">
        <v>119</v>
      </c>
      <c r="C2013" s="109" t="s">
        <v>769</v>
      </c>
      <c r="D2013" s="109" t="s">
        <v>39</v>
      </c>
      <c r="E2013" s="114" t="s">
        <v>22</v>
      </c>
      <c r="F2013" s="109" t="s">
        <v>3730</v>
      </c>
      <c r="G2013" s="111" t="s">
        <v>2857</v>
      </c>
    </row>
    <row r="2014" customFormat="false" ht="15" hidden="false" customHeight="false" outlineLevel="0" collapsed="false">
      <c r="A2014" s="109" t="s">
        <v>116</v>
      </c>
      <c r="B2014" s="109" t="s">
        <v>119</v>
      </c>
      <c r="C2014" s="109" t="s">
        <v>769</v>
      </c>
      <c r="D2014" s="109" t="s">
        <v>43</v>
      </c>
      <c r="E2014" s="110" t="s">
        <v>18</v>
      </c>
      <c r="F2014" s="109" t="s">
        <v>3731</v>
      </c>
      <c r="G2014" s="111" t="s">
        <v>3732</v>
      </c>
    </row>
    <row r="2015" customFormat="false" ht="23.85" hidden="false" customHeight="false" outlineLevel="0" collapsed="false">
      <c r="A2015" s="109" t="s">
        <v>116</v>
      </c>
      <c r="B2015" s="109" t="s">
        <v>119</v>
      </c>
      <c r="C2015" s="109" t="s">
        <v>769</v>
      </c>
      <c r="D2015" s="109" t="s">
        <v>47</v>
      </c>
      <c r="E2015" s="114" t="s">
        <v>22</v>
      </c>
      <c r="F2015" s="109" t="s">
        <v>3733</v>
      </c>
      <c r="G2015" s="111" t="s">
        <v>3441</v>
      </c>
    </row>
    <row r="2016" customFormat="false" ht="23.85" hidden="false" customHeight="false" outlineLevel="0" collapsed="false">
      <c r="A2016" s="109" t="s">
        <v>116</v>
      </c>
      <c r="B2016" s="109" t="s">
        <v>119</v>
      </c>
      <c r="C2016" s="109" t="s">
        <v>769</v>
      </c>
      <c r="D2016" s="109" t="s">
        <v>51</v>
      </c>
      <c r="E2016" s="110" t="s">
        <v>18</v>
      </c>
      <c r="F2016" s="109" t="s">
        <v>3734</v>
      </c>
      <c r="G2016" s="111" t="s">
        <v>3735</v>
      </c>
    </row>
    <row r="2017" customFormat="false" ht="15" hidden="false" customHeight="false" outlineLevel="0" collapsed="false">
      <c r="A2017" s="109" t="s">
        <v>116</v>
      </c>
      <c r="B2017" s="109" t="s">
        <v>119</v>
      </c>
      <c r="C2017" s="109" t="s">
        <v>769</v>
      </c>
      <c r="D2017" s="109" t="s">
        <v>55</v>
      </c>
      <c r="E2017" s="112" t="s">
        <v>16</v>
      </c>
      <c r="F2017" s="109" t="s">
        <v>3736</v>
      </c>
      <c r="G2017" s="111" t="s">
        <v>3737</v>
      </c>
    </row>
    <row r="2018" customFormat="false" ht="15" hidden="false" customHeight="false" outlineLevel="0" collapsed="false">
      <c r="A2018" s="109" t="s">
        <v>116</v>
      </c>
      <c r="B2018" s="109" t="s">
        <v>119</v>
      </c>
      <c r="C2018" s="109" t="s">
        <v>769</v>
      </c>
      <c r="D2018" s="109" t="s">
        <v>59</v>
      </c>
      <c r="E2018" s="114" t="s">
        <v>22</v>
      </c>
      <c r="F2018" s="109" t="s">
        <v>3738</v>
      </c>
      <c r="G2018" s="109"/>
    </row>
    <row r="2019" customFormat="false" ht="15" hidden="false" customHeight="false" outlineLevel="0" collapsed="false">
      <c r="A2019" s="109" t="s">
        <v>116</v>
      </c>
      <c r="B2019" s="109" t="s">
        <v>119</v>
      </c>
      <c r="C2019" s="109" t="s">
        <v>769</v>
      </c>
      <c r="D2019" s="109" t="s">
        <v>63</v>
      </c>
      <c r="E2019" s="110" t="s">
        <v>18</v>
      </c>
      <c r="F2019" s="109" t="s">
        <v>3739</v>
      </c>
      <c r="G2019" s="111" t="s">
        <v>1664</v>
      </c>
    </row>
    <row r="2020" customFormat="false" ht="15" hidden="false" customHeight="false" outlineLevel="0" collapsed="false">
      <c r="A2020" s="109" t="s">
        <v>116</v>
      </c>
      <c r="B2020" s="109" t="s">
        <v>119</v>
      </c>
      <c r="C2020" s="109" t="s">
        <v>769</v>
      </c>
      <c r="D2020" s="109" t="s">
        <v>67</v>
      </c>
      <c r="E2020" s="113" t="s">
        <v>24</v>
      </c>
      <c r="F2020" s="109" t="s">
        <v>3740</v>
      </c>
      <c r="G2020" s="111" t="s">
        <v>1777</v>
      </c>
    </row>
    <row r="2021" customFormat="false" ht="15" hidden="false" customHeight="false" outlineLevel="0" collapsed="false">
      <c r="A2021" s="109" t="s">
        <v>116</v>
      </c>
      <c r="B2021" s="109" t="s">
        <v>119</v>
      </c>
      <c r="C2021" s="109" t="s">
        <v>769</v>
      </c>
      <c r="D2021" s="109" t="s">
        <v>71</v>
      </c>
      <c r="E2021" s="113" t="s">
        <v>24</v>
      </c>
      <c r="F2021" s="109" t="s">
        <v>3741</v>
      </c>
      <c r="G2021" s="109"/>
    </row>
    <row r="2022" customFormat="false" ht="23.85" hidden="false" customHeight="false" outlineLevel="0" collapsed="false">
      <c r="A2022" s="109" t="s">
        <v>116</v>
      </c>
      <c r="B2022" s="109" t="s">
        <v>119</v>
      </c>
      <c r="C2022" s="109" t="s">
        <v>771</v>
      </c>
      <c r="D2022" s="109" t="s">
        <v>35</v>
      </c>
      <c r="E2022" s="110" t="s">
        <v>18</v>
      </c>
      <c r="F2022" s="109" t="s">
        <v>3742</v>
      </c>
      <c r="G2022" s="111" t="s">
        <v>3743</v>
      </c>
    </row>
    <row r="2023" customFormat="false" ht="15" hidden="false" customHeight="false" outlineLevel="0" collapsed="false">
      <c r="A2023" s="109" t="s">
        <v>116</v>
      </c>
      <c r="B2023" s="109" t="s">
        <v>119</v>
      </c>
      <c r="C2023" s="109" t="s">
        <v>771</v>
      </c>
      <c r="D2023" s="109" t="s">
        <v>39</v>
      </c>
      <c r="E2023" s="115" t="s">
        <v>20</v>
      </c>
      <c r="F2023" s="109" t="s">
        <v>3744</v>
      </c>
      <c r="G2023" s="111" t="s">
        <v>3745</v>
      </c>
    </row>
    <row r="2024" customFormat="false" ht="23.85" hidden="false" customHeight="false" outlineLevel="0" collapsed="false">
      <c r="A2024" s="109" t="s">
        <v>116</v>
      </c>
      <c r="B2024" s="109" t="s">
        <v>119</v>
      </c>
      <c r="C2024" s="109" t="s">
        <v>771</v>
      </c>
      <c r="D2024" s="109" t="s">
        <v>43</v>
      </c>
      <c r="E2024" s="110" t="s">
        <v>18</v>
      </c>
      <c r="F2024" s="109" t="s">
        <v>3746</v>
      </c>
      <c r="G2024" s="111" t="s">
        <v>3747</v>
      </c>
    </row>
    <row r="2025" customFormat="false" ht="15" hidden="false" customHeight="false" outlineLevel="0" collapsed="false">
      <c r="A2025" s="109" t="s">
        <v>116</v>
      </c>
      <c r="B2025" s="109" t="s">
        <v>119</v>
      </c>
      <c r="C2025" s="109" t="s">
        <v>771</v>
      </c>
      <c r="D2025" s="109" t="s">
        <v>47</v>
      </c>
      <c r="E2025" s="115" t="s">
        <v>20</v>
      </c>
      <c r="F2025" s="109" t="s">
        <v>3748</v>
      </c>
      <c r="G2025" s="111" t="s">
        <v>3441</v>
      </c>
    </row>
    <row r="2026" customFormat="false" ht="15" hidden="false" customHeight="false" outlineLevel="0" collapsed="false">
      <c r="A2026" s="109" t="s">
        <v>116</v>
      </c>
      <c r="B2026" s="109" t="s">
        <v>119</v>
      </c>
      <c r="C2026" s="109" t="s">
        <v>771</v>
      </c>
      <c r="D2026" s="109" t="s">
        <v>51</v>
      </c>
      <c r="E2026" s="110" t="s">
        <v>18</v>
      </c>
      <c r="F2026" s="109" t="s">
        <v>3749</v>
      </c>
      <c r="G2026" s="111" t="s">
        <v>3735</v>
      </c>
    </row>
    <row r="2027" customFormat="false" ht="15" hidden="false" customHeight="false" outlineLevel="0" collapsed="false">
      <c r="A2027" s="109" t="s">
        <v>116</v>
      </c>
      <c r="B2027" s="109" t="s">
        <v>119</v>
      </c>
      <c r="C2027" s="109" t="s">
        <v>771</v>
      </c>
      <c r="D2027" s="109" t="s">
        <v>55</v>
      </c>
      <c r="E2027" s="113" t="s">
        <v>24</v>
      </c>
      <c r="F2027" s="109" t="s">
        <v>3750</v>
      </c>
      <c r="G2027" s="111" t="s">
        <v>3751</v>
      </c>
    </row>
    <row r="2028" customFormat="false" ht="15" hidden="false" customHeight="false" outlineLevel="0" collapsed="false">
      <c r="A2028" s="109" t="s">
        <v>116</v>
      </c>
      <c r="B2028" s="109" t="s">
        <v>119</v>
      </c>
      <c r="C2028" s="109" t="s">
        <v>771</v>
      </c>
      <c r="D2028" s="109" t="s">
        <v>59</v>
      </c>
      <c r="E2028" s="113" t="s">
        <v>24</v>
      </c>
      <c r="F2028" s="109" t="s">
        <v>3752</v>
      </c>
      <c r="G2028" s="111" t="s">
        <v>2734</v>
      </c>
    </row>
    <row r="2029" customFormat="false" ht="15" hidden="false" customHeight="false" outlineLevel="0" collapsed="false">
      <c r="A2029" s="109" t="s">
        <v>116</v>
      </c>
      <c r="B2029" s="109" t="s">
        <v>119</v>
      </c>
      <c r="C2029" s="109" t="s">
        <v>771</v>
      </c>
      <c r="D2029" s="109" t="s">
        <v>63</v>
      </c>
      <c r="E2029" s="113" t="s">
        <v>24</v>
      </c>
      <c r="F2029" s="109" t="s">
        <v>3753</v>
      </c>
      <c r="G2029" s="109"/>
    </row>
    <row r="2030" customFormat="false" ht="15" hidden="false" customHeight="false" outlineLevel="0" collapsed="false">
      <c r="A2030" s="109" t="s">
        <v>116</v>
      </c>
      <c r="B2030" s="109" t="s">
        <v>119</v>
      </c>
      <c r="C2030" s="109" t="s">
        <v>771</v>
      </c>
      <c r="D2030" s="109" t="s">
        <v>67</v>
      </c>
      <c r="E2030" s="113" t="s">
        <v>24</v>
      </c>
      <c r="F2030" s="109" t="s">
        <v>3754</v>
      </c>
      <c r="G2030" s="109"/>
    </row>
    <row r="2031" customFormat="false" ht="23.85" hidden="false" customHeight="false" outlineLevel="0" collapsed="false">
      <c r="A2031" s="109" t="s">
        <v>116</v>
      </c>
      <c r="B2031" s="109" t="s">
        <v>119</v>
      </c>
      <c r="C2031" s="109" t="s">
        <v>771</v>
      </c>
      <c r="D2031" s="109" t="s">
        <v>71</v>
      </c>
      <c r="E2031" s="110" t="s">
        <v>18</v>
      </c>
      <c r="F2031" s="109" t="s">
        <v>3755</v>
      </c>
      <c r="G2031" s="111" t="s">
        <v>3756</v>
      </c>
    </row>
    <row r="2032" customFormat="false" ht="15" hidden="false" customHeight="false" outlineLevel="0" collapsed="false">
      <c r="A2032" s="109" t="s">
        <v>116</v>
      </c>
      <c r="B2032" s="109" t="s">
        <v>120</v>
      </c>
      <c r="C2032" s="109" t="s">
        <v>33</v>
      </c>
      <c r="D2032" s="109" t="s">
        <v>35</v>
      </c>
      <c r="E2032" s="109" t="s">
        <v>28</v>
      </c>
      <c r="F2032" s="109" t="s">
        <v>3757</v>
      </c>
      <c r="G2032" s="111" t="s">
        <v>3758</v>
      </c>
    </row>
    <row r="2033" customFormat="false" ht="15" hidden="false" customHeight="false" outlineLevel="0" collapsed="false">
      <c r="A2033" s="109" t="s">
        <v>116</v>
      </c>
      <c r="B2033" s="109" t="s">
        <v>120</v>
      </c>
      <c r="C2033" s="109" t="s">
        <v>33</v>
      </c>
      <c r="D2033" s="109" t="s">
        <v>39</v>
      </c>
      <c r="E2033" s="109" t="s">
        <v>28</v>
      </c>
      <c r="F2033" s="109" t="s">
        <v>3759</v>
      </c>
      <c r="G2033" s="111" t="s">
        <v>3760</v>
      </c>
    </row>
    <row r="2034" customFormat="false" ht="23.85" hidden="false" customHeight="false" outlineLevel="0" collapsed="false">
      <c r="A2034" s="109" t="s">
        <v>116</v>
      </c>
      <c r="B2034" s="109" t="s">
        <v>120</v>
      </c>
      <c r="C2034" s="109" t="s">
        <v>33</v>
      </c>
      <c r="D2034" s="109" t="s">
        <v>43</v>
      </c>
      <c r="E2034" s="109" t="s">
        <v>28</v>
      </c>
      <c r="F2034" s="109" t="s">
        <v>3761</v>
      </c>
      <c r="G2034" s="111" t="s">
        <v>3762</v>
      </c>
    </row>
    <row r="2035" customFormat="false" ht="15" hidden="false" customHeight="false" outlineLevel="0" collapsed="false">
      <c r="A2035" s="109" t="s">
        <v>116</v>
      </c>
      <c r="B2035" s="109" t="s">
        <v>120</v>
      </c>
      <c r="C2035" s="109" t="s">
        <v>33</v>
      </c>
      <c r="D2035" s="109" t="s">
        <v>47</v>
      </c>
      <c r="E2035" s="109" t="s">
        <v>28</v>
      </c>
      <c r="F2035" s="109" t="s">
        <v>3763</v>
      </c>
      <c r="G2035" s="111" t="s">
        <v>3764</v>
      </c>
    </row>
    <row r="2036" customFormat="false" ht="23.85" hidden="false" customHeight="false" outlineLevel="0" collapsed="false">
      <c r="A2036" s="109" t="s">
        <v>116</v>
      </c>
      <c r="B2036" s="109" t="s">
        <v>120</v>
      </c>
      <c r="C2036" s="109" t="s">
        <v>33</v>
      </c>
      <c r="D2036" s="109" t="s">
        <v>51</v>
      </c>
      <c r="E2036" s="109" t="s">
        <v>28</v>
      </c>
      <c r="F2036" s="109" t="s">
        <v>3765</v>
      </c>
      <c r="G2036" s="111" t="s">
        <v>3766</v>
      </c>
    </row>
    <row r="2037" customFormat="false" ht="15" hidden="false" customHeight="false" outlineLevel="0" collapsed="false">
      <c r="A2037" s="109" t="s">
        <v>116</v>
      </c>
      <c r="B2037" s="109" t="s">
        <v>120</v>
      </c>
      <c r="C2037" s="109" t="s">
        <v>33</v>
      </c>
      <c r="D2037" s="109" t="s">
        <v>55</v>
      </c>
      <c r="E2037" s="109" t="s">
        <v>28</v>
      </c>
      <c r="F2037" s="109" t="s">
        <v>3767</v>
      </c>
      <c r="G2037" s="111" t="s">
        <v>3768</v>
      </c>
    </row>
    <row r="2038" customFormat="false" ht="15" hidden="false" customHeight="false" outlineLevel="0" collapsed="false">
      <c r="A2038" s="109" t="s">
        <v>116</v>
      </c>
      <c r="B2038" s="109" t="s">
        <v>120</v>
      </c>
      <c r="C2038" s="109" t="s">
        <v>33</v>
      </c>
      <c r="D2038" s="109" t="s">
        <v>59</v>
      </c>
      <c r="E2038" s="109" t="s">
        <v>28</v>
      </c>
      <c r="F2038" s="109" t="s">
        <v>3769</v>
      </c>
      <c r="G2038" s="111" t="s">
        <v>2206</v>
      </c>
    </row>
    <row r="2039" customFormat="false" ht="23.85" hidden="false" customHeight="false" outlineLevel="0" collapsed="false">
      <c r="A2039" s="109" t="s">
        <v>116</v>
      </c>
      <c r="B2039" s="109" t="s">
        <v>120</v>
      </c>
      <c r="C2039" s="109" t="s">
        <v>33</v>
      </c>
      <c r="D2039" s="109" t="s">
        <v>63</v>
      </c>
      <c r="E2039" s="109" t="s">
        <v>28</v>
      </c>
      <c r="F2039" s="109" t="s">
        <v>3770</v>
      </c>
      <c r="G2039" s="111" t="s">
        <v>3771</v>
      </c>
    </row>
    <row r="2040" customFormat="false" ht="23.85" hidden="false" customHeight="false" outlineLevel="0" collapsed="false">
      <c r="A2040" s="109" t="s">
        <v>116</v>
      </c>
      <c r="B2040" s="109" t="s">
        <v>120</v>
      </c>
      <c r="C2040" s="109" t="s">
        <v>33</v>
      </c>
      <c r="D2040" s="109" t="s">
        <v>67</v>
      </c>
      <c r="E2040" s="109" t="s">
        <v>28</v>
      </c>
      <c r="F2040" s="109" t="s">
        <v>3772</v>
      </c>
      <c r="G2040" s="111" t="s">
        <v>3773</v>
      </c>
    </row>
    <row r="2041" customFormat="false" ht="15" hidden="false" customHeight="false" outlineLevel="0" collapsed="false">
      <c r="A2041" s="109" t="s">
        <v>116</v>
      </c>
      <c r="B2041" s="109" t="s">
        <v>120</v>
      </c>
      <c r="C2041" s="109" t="s">
        <v>33</v>
      </c>
      <c r="D2041" s="109" t="s">
        <v>71</v>
      </c>
      <c r="E2041" s="109" t="s">
        <v>28</v>
      </c>
      <c r="F2041" s="109" t="s">
        <v>3774</v>
      </c>
      <c r="G2041" s="111" t="s">
        <v>3775</v>
      </c>
    </row>
    <row r="2042" customFormat="false" ht="23.85" hidden="false" customHeight="false" outlineLevel="0" collapsed="false">
      <c r="A2042" s="109" t="s">
        <v>116</v>
      </c>
      <c r="B2042" s="109" t="s">
        <v>120</v>
      </c>
      <c r="C2042" s="109" t="s">
        <v>819</v>
      </c>
      <c r="D2042" s="109" t="s">
        <v>35</v>
      </c>
      <c r="E2042" s="109" t="s">
        <v>28</v>
      </c>
      <c r="F2042" s="109" t="s">
        <v>3776</v>
      </c>
      <c r="G2042" s="111" t="s">
        <v>3777</v>
      </c>
    </row>
    <row r="2043" customFormat="false" ht="15" hidden="false" customHeight="false" outlineLevel="0" collapsed="false">
      <c r="A2043" s="109" t="s">
        <v>116</v>
      </c>
      <c r="B2043" s="109" t="s">
        <v>120</v>
      </c>
      <c r="C2043" s="109" t="s">
        <v>819</v>
      </c>
      <c r="D2043" s="109" t="s">
        <v>39</v>
      </c>
      <c r="E2043" s="109" t="s">
        <v>28</v>
      </c>
      <c r="F2043" s="109" t="s">
        <v>3778</v>
      </c>
      <c r="G2043" s="111" t="s">
        <v>3760</v>
      </c>
    </row>
    <row r="2044" customFormat="false" ht="23.85" hidden="false" customHeight="false" outlineLevel="0" collapsed="false">
      <c r="A2044" s="109" t="s">
        <v>116</v>
      </c>
      <c r="B2044" s="109" t="s">
        <v>120</v>
      </c>
      <c r="C2044" s="109" t="s">
        <v>819</v>
      </c>
      <c r="D2044" s="109" t="s">
        <v>43</v>
      </c>
      <c r="E2044" s="109" t="s">
        <v>28</v>
      </c>
      <c r="F2044" s="109" t="s">
        <v>3779</v>
      </c>
      <c r="G2044" s="111" t="s">
        <v>1673</v>
      </c>
    </row>
    <row r="2045" customFormat="false" ht="23.85" hidden="false" customHeight="false" outlineLevel="0" collapsed="false">
      <c r="A2045" s="109" t="s">
        <v>116</v>
      </c>
      <c r="B2045" s="109" t="s">
        <v>120</v>
      </c>
      <c r="C2045" s="109" t="s">
        <v>819</v>
      </c>
      <c r="D2045" s="109" t="s">
        <v>47</v>
      </c>
      <c r="E2045" s="109" t="s">
        <v>28</v>
      </c>
      <c r="F2045" s="109" t="s">
        <v>3780</v>
      </c>
      <c r="G2045" s="111" t="s">
        <v>3781</v>
      </c>
    </row>
    <row r="2046" customFormat="false" ht="23.85" hidden="false" customHeight="false" outlineLevel="0" collapsed="false">
      <c r="A2046" s="109" t="s">
        <v>116</v>
      </c>
      <c r="B2046" s="109" t="s">
        <v>120</v>
      </c>
      <c r="C2046" s="109" t="s">
        <v>819</v>
      </c>
      <c r="D2046" s="109" t="s">
        <v>51</v>
      </c>
      <c r="E2046" s="109" t="s">
        <v>28</v>
      </c>
      <c r="F2046" s="109" t="s">
        <v>3782</v>
      </c>
      <c r="G2046" s="111" t="s">
        <v>3783</v>
      </c>
    </row>
    <row r="2047" customFormat="false" ht="15" hidden="false" customHeight="false" outlineLevel="0" collapsed="false">
      <c r="A2047" s="109" t="s">
        <v>116</v>
      </c>
      <c r="B2047" s="109" t="s">
        <v>120</v>
      </c>
      <c r="C2047" s="109" t="s">
        <v>819</v>
      </c>
      <c r="D2047" s="109" t="s">
        <v>55</v>
      </c>
      <c r="E2047" s="109" t="s">
        <v>28</v>
      </c>
      <c r="F2047" s="109" t="s">
        <v>3784</v>
      </c>
      <c r="G2047" s="111" t="s">
        <v>3785</v>
      </c>
    </row>
    <row r="2048" customFormat="false" ht="15" hidden="false" customHeight="false" outlineLevel="0" collapsed="false">
      <c r="A2048" s="109" t="s">
        <v>116</v>
      </c>
      <c r="B2048" s="109" t="s">
        <v>120</v>
      </c>
      <c r="C2048" s="109" t="s">
        <v>819</v>
      </c>
      <c r="D2048" s="109" t="s">
        <v>59</v>
      </c>
      <c r="E2048" s="109" t="s">
        <v>28</v>
      </c>
      <c r="F2048" s="109" t="s">
        <v>3786</v>
      </c>
      <c r="G2048" s="111" t="s">
        <v>3080</v>
      </c>
    </row>
    <row r="2049" customFormat="false" ht="23.85" hidden="false" customHeight="false" outlineLevel="0" collapsed="false">
      <c r="A2049" s="109" t="s">
        <v>116</v>
      </c>
      <c r="B2049" s="109" t="s">
        <v>120</v>
      </c>
      <c r="C2049" s="109" t="s">
        <v>819</v>
      </c>
      <c r="D2049" s="109" t="s">
        <v>63</v>
      </c>
      <c r="E2049" s="109" t="s">
        <v>28</v>
      </c>
      <c r="F2049" s="109" t="s">
        <v>3787</v>
      </c>
      <c r="G2049" s="111" t="s">
        <v>3788</v>
      </c>
    </row>
    <row r="2050" customFormat="false" ht="23.85" hidden="false" customHeight="false" outlineLevel="0" collapsed="false">
      <c r="A2050" s="109" t="s">
        <v>116</v>
      </c>
      <c r="B2050" s="109" t="s">
        <v>120</v>
      </c>
      <c r="C2050" s="109" t="s">
        <v>819</v>
      </c>
      <c r="D2050" s="109" t="s">
        <v>67</v>
      </c>
      <c r="E2050" s="109" t="s">
        <v>28</v>
      </c>
      <c r="F2050" s="109" t="s">
        <v>3789</v>
      </c>
      <c r="G2050" s="111" t="s">
        <v>3773</v>
      </c>
    </row>
    <row r="2051" customFormat="false" ht="15" hidden="false" customHeight="false" outlineLevel="0" collapsed="false">
      <c r="A2051" s="109" t="s">
        <v>116</v>
      </c>
      <c r="B2051" s="109" t="s">
        <v>120</v>
      </c>
      <c r="C2051" s="109" t="s">
        <v>819</v>
      </c>
      <c r="D2051" s="109" t="s">
        <v>71</v>
      </c>
      <c r="E2051" s="109" t="s">
        <v>28</v>
      </c>
      <c r="F2051" s="109" t="s">
        <v>3790</v>
      </c>
      <c r="G2051" s="111" t="s">
        <v>2629</v>
      </c>
    </row>
    <row r="2052" customFormat="false" ht="23.85" hidden="false" customHeight="false" outlineLevel="0" collapsed="false">
      <c r="A2052" s="109" t="s">
        <v>116</v>
      </c>
      <c r="B2052" s="109" t="s">
        <v>120</v>
      </c>
      <c r="C2052" s="109" t="s">
        <v>820</v>
      </c>
      <c r="D2052" s="109" t="s">
        <v>35</v>
      </c>
      <c r="E2052" s="109" t="s">
        <v>28</v>
      </c>
      <c r="F2052" s="109" t="s">
        <v>3791</v>
      </c>
      <c r="G2052" s="111" t="s">
        <v>2909</v>
      </c>
    </row>
    <row r="2053" customFormat="false" ht="15" hidden="false" customHeight="false" outlineLevel="0" collapsed="false">
      <c r="A2053" s="109" t="s">
        <v>116</v>
      </c>
      <c r="B2053" s="109" t="s">
        <v>120</v>
      </c>
      <c r="C2053" s="109" t="s">
        <v>820</v>
      </c>
      <c r="D2053" s="109" t="s">
        <v>39</v>
      </c>
      <c r="E2053" s="109" t="s">
        <v>28</v>
      </c>
      <c r="F2053" s="109" t="s">
        <v>3792</v>
      </c>
      <c r="G2053" s="111" t="s">
        <v>3793</v>
      </c>
    </row>
    <row r="2054" customFormat="false" ht="23.85" hidden="false" customHeight="false" outlineLevel="0" collapsed="false">
      <c r="A2054" s="109" t="s">
        <v>116</v>
      </c>
      <c r="B2054" s="109" t="s">
        <v>120</v>
      </c>
      <c r="C2054" s="109" t="s">
        <v>820</v>
      </c>
      <c r="D2054" s="109" t="s">
        <v>43</v>
      </c>
      <c r="E2054" s="109" t="s">
        <v>28</v>
      </c>
      <c r="F2054" s="109" t="s">
        <v>3794</v>
      </c>
      <c r="G2054" s="111" t="s">
        <v>2329</v>
      </c>
    </row>
    <row r="2055" customFormat="false" ht="23.85" hidden="false" customHeight="false" outlineLevel="0" collapsed="false">
      <c r="A2055" s="109" t="s">
        <v>116</v>
      </c>
      <c r="B2055" s="109" t="s">
        <v>120</v>
      </c>
      <c r="C2055" s="109" t="s">
        <v>820</v>
      </c>
      <c r="D2055" s="109" t="s">
        <v>47</v>
      </c>
      <c r="E2055" s="109" t="s">
        <v>28</v>
      </c>
      <c r="F2055" s="109" t="s">
        <v>3795</v>
      </c>
      <c r="G2055" s="111" t="s">
        <v>2914</v>
      </c>
    </row>
    <row r="2056" customFormat="false" ht="15" hidden="false" customHeight="false" outlineLevel="0" collapsed="false">
      <c r="A2056" s="109" t="s">
        <v>116</v>
      </c>
      <c r="B2056" s="109" t="s">
        <v>120</v>
      </c>
      <c r="C2056" s="109" t="s">
        <v>820</v>
      </c>
      <c r="D2056" s="109" t="s">
        <v>51</v>
      </c>
      <c r="E2056" s="109" t="s">
        <v>28</v>
      </c>
      <c r="F2056" s="109" t="s">
        <v>3796</v>
      </c>
      <c r="G2056" s="111" t="s">
        <v>2695</v>
      </c>
    </row>
    <row r="2057" customFormat="false" ht="15" hidden="false" customHeight="false" outlineLevel="0" collapsed="false">
      <c r="A2057" s="109" t="s">
        <v>116</v>
      </c>
      <c r="B2057" s="109" t="s">
        <v>120</v>
      </c>
      <c r="C2057" s="109" t="s">
        <v>820</v>
      </c>
      <c r="D2057" s="109" t="s">
        <v>55</v>
      </c>
      <c r="E2057" s="109" t="s">
        <v>28</v>
      </c>
      <c r="F2057" s="109" t="s">
        <v>3797</v>
      </c>
      <c r="G2057" s="111" t="s">
        <v>3798</v>
      </c>
    </row>
    <row r="2058" customFormat="false" ht="23.85" hidden="false" customHeight="false" outlineLevel="0" collapsed="false">
      <c r="A2058" s="109" t="s">
        <v>116</v>
      </c>
      <c r="B2058" s="109" t="s">
        <v>120</v>
      </c>
      <c r="C2058" s="109" t="s">
        <v>820</v>
      </c>
      <c r="D2058" s="109" t="s">
        <v>59</v>
      </c>
      <c r="E2058" s="109" t="s">
        <v>28</v>
      </c>
      <c r="F2058" s="109" t="s">
        <v>3799</v>
      </c>
      <c r="G2058" s="111" t="s">
        <v>2336</v>
      </c>
    </row>
    <row r="2059" customFormat="false" ht="15" hidden="false" customHeight="false" outlineLevel="0" collapsed="false">
      <c r="A2059" s="109" t="s">
        <v>116</v>
      </c>
      <c r="B2059" s="109" t="s">
        <v>120</v>
      </c>
      <c r="C2059" s="109" t="s">
        <v>820</v>
      </c>
      <c r="D2059" s="109" t="s">
        <v>63</v>
      </c>
      <c r="E2059" s="109" t="s">
        <v>28</v>
      </c>
      <c r="F2059" s="109" t="s">
        <v>3800</v>
      </c>
      <c r="G2059" s="111" t="s">
        <v>3801</v>
      </c>
    </row>
    <row r="2060" customFormat="false" ht="23.85" hidden="false" customHeight="false" outlineLevel="0" collapsed="false">
      <c r="A2060" s="109" t="s">
        <v>116</v>
      </c>
      <c r="B2060" s="109" t="s">
        <v>120</v>
      </c>
      <c r="C2060" s="109" t="s">
        <v>820</v>
      </c>
      <c r="D2060" s="109" t="s">
        <v>67</v>
      </c>
      <c r="E2060" s="109" t="s">
        <v>28</v>
      </c>
      <c r="F2060" s="109" t="s">
        <v>3802</v>
      </c>
      <c r="G2060" s="111" t="s">
        <v>1777</v>
      </c>
    </row>
    <row r="2061" customFormat="false" ht="23.85" hidden="false" customHeight="false" outlineLevel="0" collapsed="false">
      <c r="A2061" s="109" t="s">
        <v>116</v>
      </c>
      <c r="B2061" s="109" t="s">
        <v>120</v>
      </c>
      <c r="C2061" s="109" t="s">
        <v>820</v>
      </c>
      <c r="D2061" s="109" t="s">
        <v>71</v>
      </c>
      <c r="E2061" s="109" t="s">
        <v>28</v>
      </c>
      <c r="F2061" s="109" t="s">
        <v>3803</v>
      </c>
      <c r="G2061" s="111" t="s">
        <v>2629</v>
      </c>
    </row>
    <row r="2062" customFormat="false" ht="23.85" hidden="false" customHeight="false" outlineLevel="0" collapsed="false">
      <c r="A2062" s="109" t="s">
        <v>116</v>
      </c>
      <c r="B2062" s="109" t="s">
        <v>120</v>
      </c>
      <c r="C2062" s="109" t="s">
        <v>821</v>
      </c>
      <c r="D2062" s="109" t="s">
        <v>35</v>
      </c>
      <c r="E2062" s="109" t="s">
        <v>28</v>
      </c>
      <c r="F2062" s="109" t="s">
        <v>3804</v>
      </c>
      <c r="G2062" s="111" t="s">
        <v>3805</v>
      </c>
    </row>
    <row r="2063" customFormat="false" ht="23.85" hidden="false" customHeight="false" outlineLevel="0" collapsed="false">
      <c r="A2063" s="109" t="s">
        <v>116</v>
      </c>
      <c r="B2063" s="109" t="s">
        <v>120</v>
      </c>
      <c r="C2063" s="109" t="s">
        <v>821</v>
      </c>
      <c r="D2063" s="109" t="s">
        <v>39</v>
      </c>
      <c r="E2063" s="109" t="s">
        <v>28</v>
      </c>
      <c r="F2063" s="109" t="s">
        <v>3806</v>
      </c>
      <c r="G2063" s="111" t="s">
        <v>3807</v>
      </c>
    </row>
    <row r="2064" customFormat="false" ht="15" hidden="false" customHeight="false" outlineLevel="0" collapsed="false">
      <c r="A2064" s="109" t="s">
        <v>116</v>
      </c>
      <c r="B2064" s="109" t="s">
        <v>120</v>
      </c>
      <c r="C2064" s="109" t="s">
        <v>821</v>
      </c>
      <c r="D2064" s="109" t="s">
        <v>43</v>
      </c>
      <c r="E2064" s="109" t="s">
        <v>28</v>
      </c>
      <c r="F2064" s="109" t="s">
        <v>3808</v>
      </c>
      <c r="G2064" s="111" t="s">
        <v>3809</v>
      </c>
    </row>
    <row r="2065" customFormat="false" ht="23.85" hidden="false" customHeight="false" outlineLevel="0" collapsed="false">
      <c r="A2065" s="109" t="s">
        <v>116</v>
      </c>
      <c r="B2065" s="109" t="s">
        <v>120</v>
      </c>
      <c r="C2065" s="109" t="s">
        <v>821</v>
      </c>
      <c r="D2065" s="109" t="s">
        <v>47</v>
      </c>
      <c r="E2065" s="109" t="s">
        <v>28</v>
      </c>
      <c r="F2065" s="109" t="s">
        <v>3810</v>
      </c>
      <c r="G2065" s="111" t="s">
        <v>3811</v>
      </c>
    </row>
    <row r="2066" customFormat="false" ht="15" hidden="false" customHeight="false" outlineLevel="0" collapsed="false">
      <c r="A2066" s="109" t="s">
        <v>116</v>
      </c>
      <c r="B2066" s="109" t="s">
        <v>120</v>
      </c>
      <c r="C2066" s="109" t="s">
        <v>821</v>
      </c>
      <c r="D2066" s="109" t="s">
        <v>51</v>
      </c>
      <c r="E2066" s="109" t="s">
        <v>28</v>
      </c>
      <c r="F2066" s="109" t="s">
        <v>3812</v>
      </c>
      <c r="G2066" s="111" t="s">
        <v>3813</v>
      </c>
    </row>
    <row r="2067" customFormat="false" ht="15" hidden="false" customHeight="false" outlineLevel="0" collapsed="false">
      <c r="A2067" s="109" t="s">
        <v>116</v>
      </c>
      <c r="B2067" s="109" t="s">
        <v>120</v>
      </c>
      <c r="C2067" s="109" t="s">
        <v>821</v>
      </c>
      <c r="D2067" s="109" t="s">
        <v>55</v>
      </c>
      <c r="E2067" s="109" t="s">
        <v>28</v>
      </c>
      <c r="F2067" s="109" t="s">
        <v>3814</v>
      </c>
      <c r="G2067" s="111" t="s">
        <v>3815</v>
      </c>
    </row>
    <row r="2068" customFormat="false" ht="15" hidden="false" customHeight="false" outlineLevel="0" collapsed="false">
      <c r="A2068" s="109" t="s">
        <v>116</v>
      </c>
      <c r="B2068" s="109" t="s">
        <v>120</v>
      </c>
      <c r="C2068" s="109" t="s">
        <v>821</v>
      </c>
      <c r="D2068" s="109" t="s">
        <v>59</v>
      </c>
      <c r="E2068" s="109" t="s">
        <v>28</v>
      </c>
      <c r="F2068" s="109" t="s">
        <v>3816</v>
      </c>
      <c r="G2068" s="111" t="s">
        <v>3817</v>
      </c>
    </row>
    <row r="2069" customFormat="false" ht="15" hidden="false" customHeight="false" outlineLevel="0" collapsed="false">
      <c r="A2069" s="109" t="s">
        <v>116</v>
      </c>
      <c r="B2069" s="109" t="s">
        <v>120</v>
      </c>
      <c r="C2069" s="109" t="s">
        <v>821</v>
      </c>
      <c r="D2069" s="109" t="s">
        <v>63</v>
      </c>
      <c r="E2069" s="109" t="s">
        <v>28</v>
      </c>
      <c r="F2069" s="109" t="s">
        <v>3818</v>
      </c>
      <c r="G2069" s="111" t="s">
        <v>3819</v>
      </c>
    </row>
    <row r="2070" customFormat="false" ht="15" hidden="false" customHeight="false" outlineLevel="0" collapsed="false">
      <c r="A2070" s="109" t="s">
        <v>116</v>
      </c>
      <c r="B2070" s="109" t="s">
        <v>120</v>
      </c>
      <c r="C2070" s="109" t="s">
        <v>821</v>
      </c>
      <c r="D2070" s="109" t="s">
        <v>67</v>
      </c>
      <c r="E2070" s="109" t="s">
        <v>28</v>
      </c>
      <c r="F2070" s="109" t="s">
        <v>3820</v>
      </c>
      <c r="G2070" s="111" t="s">
        <v>3821</v>
      </c>
    </row>
    <row r="2071" customFormat="false" ht="15" hidden="false" customHeight="false" outlineLevel="0" collapsed="false">
      <c r="A2071" s="109" t="s">
        <v>116</v>
      </c>
      <c r="B2071" s="109" t="s">
        <v>120</v>
      </c>
      <c r="C2071" s="109" t="s">
        <v>821</v>
      </c>
      <c r="D2071" s="109" t="s">
        <v>71</v>
      </c>
      <c r="E2071" s="109" t="s">
        <v>28</v>
      </c>
      <c r="F2071" s="109" t="s">
        <v>3822</v>
      </c>
      <c r="G2071" s="111" t="s">
        <v>3823</v>
      </c>
    </row>
    <row r="2072" customFormat="false" ht="23.85" hidden="false" customHeight="false" outlineLevel="0" collapsed="false">
      <c r="A2072" s="109" t="s">
        <v>116</v>
      </c>
      <c r="B2072" s="109" t="s">
        <v>120</v>
      </c>
      <c r="C2072" s="109" t="s">
        <v>822</v>
      </c>
      <c r="D2072" s="109" t="s">
        <v>35</v>
      </c>
      <c r="E2072" s="109" t="s">
        <v>28</v>
      </c>
      <c r="F2072" s="109" t="s">
        <v>3824</v>
      </c>
      <c r="G2072" s="111" t="s">
        <v>3825</v>
      </c>
    </row>
    <row r="2073" customFormat="false" ht="23.85" hidden="false" customHeight="false" outlineLevel="0" collapsed="false">
      <c r="A2073" s="109" t="s">
        <v>116</v>
      </c>
      <c r="B2073" s="109" t="s">
        <v>120</v>
      </c>
      <c r="C2073" s="109" t="s">
        <v>822</v>
      </c>
      <c r="D2073" s="109" t="s">
        <v>39</v>
      </c>
      <c r="E2073" s="109" t="s">
        <v>28</v>
      </c>
      <c r="F2073" s="109" t="s">
        <v>3826</v>
      </c>
      <c r="G2073" s="111" t="s">
        <v>3827</v>
      </c>
    </row>
    <row r="2074" customFormat="false" ht="23.85" hidden="false" customHeight="false" outlineLevel="0" collapsed="false">
      <c r="A2074" s="109" t="s">
        <v>116</v>
      </c>
      <c r="B2074" s="109" t="s">
        <v>120</v>
      </c>
      <c r="C2074" s="109" t="s">
        <v>822</v>
      </c>
      <c r="D2074" s="109" t="s">
        <v>43</v>
      </c>
      <c r="E2074" s="109" t="s">
        <v>28</v>
      </c>
      <c r="F2074" s="109" t="s">
        <v>3828</v>
      </c>
      <c r="G2074" s="111" t="s">
        <v>1035</v>
      </c>
    </row>
    <row r="2075" customFormat="false" ht="23.85" hidden="false" customHeight="false" outlineLevel="0" collapsed="false">
      <c r="A2075" s="109" t="s">
        <v>116</v>
      </c>
      <c r="B2075" s="109" t="s">
        <v>120</v>
      </c>
      <c r="C2075" s="109" t="s">
        <v>822</v>
      </c>
      <c r="D2075" s="109" t="s">
        <v>47</v>
      </c>
      <c r="E2075" s="109" t="s">
        <v>28</v>
      </c>
      <c r="F2075" s="109" t="s">
        <v>3829</v>
      </c>
      <c r="G2075" s="111" t="s">
        <v>3830</v>
      </c>
    </row>
    <row r="2076" customFormat="false" ht="23.85" hidden="false" customHeight="false" outlineLevel="0" collapsed="false">
      <c r="A2076" s="109" t="s">
        <v>116</v>
      </c>
      <c r="B2076" s="109" t="s">
        <v>120</v>
      </c>
      <c r="C2076" s="109" t="s">
        <v>822</v>
      </c>
      <c r="D2076" s="109" t="s">
        <v>51</v>
      </c>
      <c r="E2076" s="109" t="s">
        <v>28</v>
      </c>
      <c r="F2076" s="109" t="s">
        <v>3831</v>
      </c>
      <c r="G2076" s="111" t="s">
        <v>3832</v>
      </c>
    </row>
    <row r="2077" customFormat="false" ht="23.85" hidden="false" customHeight="false" outlineLevel="0" collapsed="false">
      <c r="A2077" s="109" t="s">
        <v>116</v>
      </c>
      <c r="B2077" s="109" t="s">
        <v>120</v>
      </c>
      <c r="C2077" s="109" t="s">
        <v>822</v>
      </c>
      <c r="D2077" s="109" t="s">
        <v>55</v>
      </c>
      <c r="E2077" s="109" t="s">
        <v>28</v>
      </c>
      <c r="F2077" s="109" t="s">
        <v>3833</v>
      </c>
      <c r="G2077" s="111" t="s">
        <v>3155</v>
      </c>
    </row>
    <row r="2078" customFormat="false" ht="23.85" hidden="false" customHeight="false" outlineLevel="0" collapsed="false">
      <c r="A2078" s="109" t="s">
        <v>116</v>
      </c>
      <c r="B2078" s="109" t="s">
        <v>120</v>
      </c>
      <c r="C2078" s="109" t="s">
        <v>822</v>
      </c>
      <c r="D2078" s="109" t="s">
        <v>59</v>
      </c>
      <c r="E2078" s="109" t="s">
        <v>28</v>
      </c>
      <c r="F2078" s="109" t="s">
        <v>3834</v>
      </c>
      <c r="G2078" s="111" t="s">
        <v>1138</v>
      </c>
    </row>
    <row r="2079" customFormat="false" ht="15" hidden="false" customHeight="false" outlineLevel="0" collapsed="false">
      <c r="A2079" s="109" t="s">
        <v>116</v>
      </c>
      <c r="B2079" s="109" t="s">
        <v>120</v>
      </c>
      <c r="C2079" s="109" t="s">
        <v>822</v>
      </c>
      <c r="D2079" s="109" t="s">
        <v>63</v>
      </c>
      <c r="E2079" s="109" t="s">
        <v>28</v>
      </c>
      <c r="F2079" s="109" t="s">
        <v>3835</v>
      </c>
      <c r="G2079" s="111" t="s">
        <v>3836</v>
      </c>
    </row>
    <row r="2080" customFormat="false" ht="23.85" hidden="false" customHeight="false" outlineLevel="0" collapsed="false">
      <c r="A2080" s="109" t="s">
        <v>116</v>
      </c>
      <c r="B2080" s="109" t="s">
        <v>120</v>
      </c>
      <c r="C2080" s="109" t="s">
        <v>822</v>
      </c>
      <c r="D2080" s="109" t="s">
        <v>67</v>
      </c>
      <c r="E2080" s="109" t="s">
        <v>28</v>
      </c>
      <c r="F2080" s="109" t="s">
        <v>3837</v>
      </c>
      <c r="G2080" s="111" t="s">
        <v>3838</v>
      </c>
    </row>
    <row r="2081" customFormat="false" ht="23.85" hidden="false" customHeight="false" outlineLevel="0" collapsed="false">
      <c r="A2081" s="109" t="s">
        <v>116</v>
      </c>
      <c r="B2081" s="109" t="s">
        <v>120</v>
      </c>
      <c r="C2081" s="109" t="s">
        <v>822</v>
      </c>
      <c r="D2081" s="109" t="s">
        <v>71</v>
      </c>
      <c r="E2081" s="109" t="s">
        <v>28</v>
      </c>
      <c r="F2081" s="109" t="s">
        <v>3839</v>
      </c>
      <c r="G2081" s="111" t="s">
        <v>3840</v>
      </c>
    </row>
    <row r="2082" customFormat="false" ht="23.85" hidden="false" customHeight="false" outlineLevel="0" collapsed="false">
      <c r="A2082" s="109" t="s">
        <v>116</v>
      </c>
      <c r="B2082" s="109" t="s">
        <v>120</v>
      </c>
      <c r="C2082" s="109" t="s">
        <v>823</v>
      </c>
      <c r="D2082" s="109" t="s">
        <v>35</v>
      </c>
      <c r="E2082" s="109" t="s">
        <v>28</v>
      </c>
      <c r="F2082" s="109" t="s">
        <v>3841</v>
      </c>
      <c r="G2082" s="111" t="s">
        <v>3356</v>
      </c>
    </row>
    <row r="2083" customFormat="false" ht="23.85" hidden="false" customHeight="false" outlineLevel="0" collapsed="false">
      <c r="A2083" s="109" t="s">
        <v>116</v>
      </c>
      <c r="B2083" s="109" t="s">
        <v>120</v>
      </c>
      <c r="C2083" s="109" t="s">
        <v>823</v>
      </c>
      <c r="D2083" s="109" t="s">
        <v>39</v>
      </c>
      <c r="E2083" s="109" t="s">
        <v>28</v>
      </c>
      <c r="F2083" s="109" t="s">
        <v>3842</v>
      </c>
      <c r="G2083" s="111" t="s">
        <v>3843</v>
      </c>
    </row>
    <row r="2084" customFormat="false" ht="23.85" hidden="false" customHeight="false" outlineLevel="0" collapsed="false">
      <c r="A2084" s="109" t="s">
        <v>116</v>
      </c>
      <c r="B2084" s="109" t="s">
        <v>120</v>
      </c>
      <c r="C2084" s="109" t="s">
        <v>823</v>
      </c>
      <c r="D2084" s="109" t="s">
        <v>43</v>
      </c>
      <c r="E2084" s="109" t="s">
        <v>28</v>
      </c>
      <c r="F2084" s="109" t="s">
        <v>3844</v>
      </c>
      <c r="G2084" s="111" t="s">
        <v>3360</v>
      </c>
    </row>
    <row r="2085" customFormat="false" ht="23.85" hidden="false" customHeight="false" outlineLevel="0" collapsed="false">
      <c r="A2085" s="109" t="s">
        <v>116</v>
      </c>
      <c r="B2085" s="109" t="s">
        <v>120</v>
      </c>
      <c r="C2085" s="109" t="s">
        <v>823</v>
      </c>
      <c r="D2085" s="109" t="s">
        <v>47</v>
      </c>
      <c r="E2085" s="109" t="s">
        <v>28</v>
      </c>
      <c r="F2085" s="109" t="s">
        <v>3845</v>
      </c>
      <c r="G2085" s="111" t="s">
        <v>3362</v>
      </c>
    </row>
    <row r="2086" customFormat="false" ht="15" hidden="false" customHeight="false" outlineLevel="0" collapsed="false">
      <c r="A2086" s="109" t="s">
        <v>116</v>
      </c>
      <c r="B2086" s="109" t="s">
        <v>120</v>
      </c>
      <c r="C2086" s="109" t="s">
        <v>823</v>
      </c>
      <c r="D2086" s="109" t="s">
        <v>51</v>
      </c>
      <c r="E2086" s="109" t="s">
        <v>28</v>
      </c>
      <c r="F2086" s="109" t="s">
        <v>3846</v>
      </c>
      <c r="G2086" s="111" t="s">
        <v>3364</v>
      </c>
    </row>
    <row r="2087" customFormat="false" ht="15" hidden="false" customHeight="false" outlineLevel="0" collapsed="false">
      <c r="A2087" s="109" t="s">
        <v>116</v>
      </c>
      <c r="B2087" s="109" t="s">
        <v>120</v>
      </c>
      <c r="C2087" s="109" t="s">
        <v>823</v>
      </c>
      <c r="D2087" s="109" t="s">
        <v>55</v>
      </c>
      <c r="E2087" s="109" t="s">
        <v>28</v>
      </c>
      <c r="F2087" s="109" t="s">
        <v>3847</v>
      </c>
      <c r="G2087" s="111" t="s">
        <v>3366</v>
      </c>
    </row>
    <row r="2088" customFormat="false" ht="23.85" hidden="false" customHeight="false" outlineLevel="0" collapsed="false">
      <c r="A2088" s="109" t="s">
        <v>116</v>
      </c>
      <c r="B2088" s="109" t="s">
        <v>120</v>
      </c>
      <c r="C2088" s="109" t="s">
        <v>823</v>
      </c>
      <c r="D2088" s="109" t="s">
        <v>59</v>
      </c>
      <c r="E2088" s="109" t="s">
        <v>28</v>
      </c>
      <c r="F2088" s="109" t="s">
        <v>3848</v>
      </c>
      <c r="G2088" s="111" t="s">
        <v>1856</v>
      </c>
    </row>
    <row r="2089" customFormat="false" ht="23.85" hidden="false" customHeight="false" outlineLevel="0" collapsed="false">
      <c r="A2089" s="109" t="s">
        <v>116</v>
      </c>
      <c r="B2089" s="109" t="s">
        <v>120</v>
      </c>
      <c r="C2089" s="109" t="s">
        <v>823</v>
      </c>
      <c r="D2089" s="109" t="s">
        <v>63</v>
      </c>
      <c r="E2089" s="109" t="s">
        <v>28</v>
      </c>
      <c r="F2089" s="109" t="s">
        <v>3849</v>
      </c>
      <c r="G2089" s="111" t="s">
        <v>3369</v>
      </c>
    </row>
    <row r="2090" customFormat="false" ht="23.85" hidden="false" customHeight="false" outlineLevel="0" collapsed="false">
      <c r="A2090" s="109" t="s">
        <v>116</v>
      </c>
      <c r="B2090" s="109" t="s">
        <v>120</v>
      </c>
      <c r="C2090" s="109" t="s">
        <v>823</v>
      </c>
      <c r="D2090" s="109" t="s">
        <v>67</v>
      </c>
      <c r="E2090" s="109" t="s">
        <v>28</v>
      </c>
      <c r="F2090" s="109" t="s">
        <v>3850</v>
      </c>
      <c r="G2090" s="111" t="s">
        <v>3371</v>
      </c>
    </row>
    <row r="2091" customFormat="false" ht="15" hidden="false" customHeight="false" outlineLevel="0" collapsed="false">
      <c r="A2091" s="109" t="s">
        <v>116</v>
      </c>
      <c r="B2091" s="109" t="s">
        <v>120</v>
      </c>
      <c r="C2091" s="109" t="s">
        <v>823</v>
      </c>
      <c r="D2091" s="109" t="s">
        <v>71</v>
      </c>
      <c r="E2091" s="109" t="s">
        <v>28</v>
      </c>
      <c r="F2091" s="109" t="s">
        <v>3851</v>
      </c>
      <c r="G2091" s="111" t="s">
        <v>848</v>
      </c>
    </row>
    <row r="2092" customFormat="false" ht="23.85" hidden="false" customHeight="false" outlineLevel="0" collapsed="false">
      <c r="A2092" s="109" t="s">
        <v>116</v>
      </c>
      <c r="B2092" s="109" t="s">
        <v>120</v>
      </c>
      <c r="C2092" s="109" t="s">
        <v>824</v>
      </c>
      <c r="D2092" s="109" t="s">
        <v>35</v>
      </c>
      <c r="E2092" s="109" t="s">
        <v>28</v>
      </c>
      <c r="F2092" s="109" t="s">
        <v>3852</v>
      </c>
      <c r="G2092" s="111" t="s">
        <v>3853</v>
      </c>
    </row>
    <row r="2093" customFormat="false" ht="23.85" hidden="false" customHeight="false" outlineLevel="0" collapsed="false">
      <c r="A2093" s="109" t="s">
        <v>116</v>
      </c>
      <c r="B2093" s="109" t="s">
        <v>120</v>
      </c>
      <c r="C2093" s="109" t="s">
        <v>824</v>
      </c>
      <c r="D2093" s="109" t="s">
        <v>39</v>
      </c>
      <c r="E2093" s="109" t="s">
        <v>28</v>
      </c>
      <c r="F2093" s="109" t="s">
        <v>3854</v>
      </c>
      <c r="G2093" s="111" t="s">
        <v>3855</v>
      </c>
    </row>
    <row r="2094" customFormat="false" ht="23.85" hidden="false" customHeight="false" outlineLevel="0" collapsed="false">
      <c r="A2094" s="109" t="s">
        <v>116</v>
      </c>
      <c r="B2094" s="109" t="s">
        <v>120</v>
      </c>
      <c r="C2094" s="109" t="s">
        <v>824</v>
      </c>
      <c r="D2094" s="109" t="s">
        <v>43</v>
      </c>
      <c r="E2094" s="109" t="s">
        <v>28</v>
      </c>
      <c r="F2094" s="109" t="s">
        <v>3856</v>
      </c>
      <c r="G2094" s="111" t="s">
        <v>1673</v>
      </c>
    </row>
    <row r="2095" customFormat="false" ht="23.85" hidden="false" customHeight="false" outlineLevel="0" collapsed="false">
      <c r="A2095" s="109" t="s">
        <v>116</v>
      </c>
      <c r="B2095" s="109" t="s">
        <v>120</v>
      </c>
      <c r="C2095" s="109" t="s">
        <v>824</v>
      </c>
      <c r="D2095" s="109" t="s">
        <v>47</v>
      </c>
      <c r="E2095" s="109" t="s">
        <v>28</v>
      </c>
      <c r="F2095" s="109" t="s">
        <v>3857</v>
      </c>
      <c r="G2095" s="111" t="s">
        <v>3858</v>
      </c>
    </row>
    <row r="2096" customFormat="false" ht="15" hidden="false" customHeight="false" outlineLevel="0" collapsed="false">
      <c r="A2096" s="109" t="s">
        <v>116</v>
      </c>
      <c r="B2096" s="109" t="s">
        <v>120</v>
      </c>
      <c r="C2096" s="109" t="s">
        <v>824</v>
      </c>
      <c r="D2096" s="109" t="s">
        <v>51</v>
      </c>
      <c r="E2096" s="109" t="s">
        <v>28</v>
      </c>
      <c r="F2096" s="109" t="s">
        <v>3859</v>
      </c>
      <c r="G2096" s="111" t="s">
        <v>3860</v>
      </c>
    </row>
    <row r="2097" customFormat="false" ht="15" hidden="false" customHeight="false" outlineLevel="0" collapsed="false">
      <c r="A2097" s="109" t="s">
        <v>116</v>
      </c>
      <c r="B2097" s="109" t="s">
        <v>120</v>
      </c>
      <c r="C2097" s="109" t="s">
        <v>824</v>
      </c>
      <c r="D2097" s="109" t="s">
        <v>55</v>
      </c>
      <c r="E2097" s="109" t="s">
        <v>28</v>
      </c>
      <c r="F2097" s="109" t="s">
        <v>3861</v>
      </c>
      <c r="G2097" s="111" t="s">
        <v>3785</v>
      </c>
    </row>
    <row r="2098" customFormat="false" ht="23.85" hidden="false" customHeight="false" outlineLevel="0" collapsed="false">
      <c r="A2098" s="109" t="s">
        <v>116</v>
      </c>
      <c r="B2098" s="109" t="s">
        <v>120</v>
      </c>
      <c r="C2098" s="109" t="s">
        <v>824</v>
      </c>
      <c r="D2098" s="109" t="s">
        <v>59</v>
      </c>
      <c r="E2098" s="109" t="s">
        <v>28</v>
      </c>
      <c r="F2098" s="109" t="s">
        <v>3862</v>
      </c>
      <c r="G2098" s="111" t="s">
        <v>1856</v>
      </c>
    </row>
    <row r="2099" customFormat="false" ht="15" hidden="false" customHeight="false" outlineLevel="0" collapsed="false">
      <c r="A2099" s="109" t="s">
        <v>116</v>
      </c>
      <c r="B2099" s="109" t="s">
        <v>120</v>
      </c>
      <c r="C2099" s="109" t="s">
        <v>824</v>
      </c>
      <c r="D2099" s="109" t="s">
        <v>63</v>
      </c>
      <c r="E2099" s="109" t="s">
        <v>28</v>
      </c>
      <c r="F2099" s="109" t="s">
        <v>3863</v>
      </c>
      <c r="G2099" s="111" t="s">
        <v>1157</v>
      </c>
    </row>
    <row r="2100" customFormat="false" ht="15" hidden="false" customHeight="false" outlineLevel="0" collapsed="false">
      <c r="A2100" s="109" t="s">
        <v>116</v>
      </c>
      <c r="B2100" s="109" t="s">
        <v>120</v>
      </c>
      <c r="C2100" s="109" t="s">
        <v>824</v>
      </c>
      <c r="D2100" s="109" t="s">
        <v>67</v>
      </c>
      <c r="E2100" s="109" t="s">
        <v>28</v>
      </c>
      <c r="F2100" s="109" t="s">
        <v>3864</v>
      </c>
      <c r="G2100" s="111" t="s">
        <v>1759</v>
      </c>
    </row>
    <row r="2101" customFormat="false" ht="23.85" hidden="false" customHeight="false" outlineLevel="0" collapsed="false">
      <c r="A2101" s="109" t="s">
        <v>116</v>
      </c>
      <c r="B2101" s="109" t="s">
        <v>120</v>
      </c>
      <c r="C2101" s="109" t="s">
        <v>824</v>
      </c>
      <c r="D2101" s="109" t="s">
        <v>71</v>
      </c>
      <c r="E2101" s="109" t="s">
        <v>28</v>
      </c>
      <c r="F2101" s="109" t="s">
        <v>3865</v>
      </c>
      <c r="G2101" s="111" t="s">
        <v>3866</v>
      </c>
    </row>
    <row r="2102" customFormat="false" ht="23.85" hidden="false" customHeight="false" outlineLevel="0" collapsed="false">
      <c r="A2102" s="109" t="s">
        <v>116</v>
      </c>
      <c r="B2102" s="109" t="s">
        <v>120</v>
      </c>
      <c r="C2102" s="109" t="s">
        <v>825</v>
      </c>
      <c r="D2102" s="109" t="s">
        <v>35</v>
      </c>
      <c r="E2102" s="109" t="s">
        <v>28</v>
      </c>
      <c r="F2102" s="109" t="s">
        <v>3867</v>
      </c>
      <c r="G2102" s="111" t="s">
        <v>3868</v>
      </c>
    </row>
    <row r="2103" customFormat="false" ht="23.85" hidden="false" customHeight="false" outlineLevel="0" collapsed="false">
      <c r="A2103" s="109" t="s">
        <v>116</v>
      </c>
      <c r="B2103" s="109" t="s">
        <v>120</v>
      </c>
      <c r="C2103" s="109" t="s">
        <v>825</v>
      </c>
      <c r="D2103" s="109" t="s">
        <v>39</v>
      </c>
      <c r="E2103" s="109" t="s">
        <v>28</v>
      </c>
      <c r="F2103" s="109" t="s">
        <v>3869</v>
      </c>
      <c r="G2103" s="111" t="s">
        <v>3870</v>
      </c>
    </row>
    <row r="2104" customFormat="false" ht="23.85" hidden="false" customHeight="false" outlineLevel="0" collapsed="false">
      <c r="A2104" s="109" t="s">
        <v>116</v>
      </c>
      <c r="B2104" s="109" t="s">
        <v>120</v>
      </c>
      <c r="C2104" s="109" t="s">
        <v>825</v>
      </c>
      <c r="D2104" s="109" t="s">
        <v>43</v>
      </c>
      <c r="E2104" s="109" t="s">
        <v>28</v>
      </c>
      <c r="F2104" s="109" t="s">
        <v>3871</v>
      </c>
      <c r="G2104" s="111" t="s">
        <v>3872</v>
      </c>
    </row>
    <row r="2105" customFormat="false" ht="15" hidden="false" customHeight="false" outlineLevel="0" collapsed="false">
      <c r="A2105" s="109" t="s">
        <v>116</v>
      </c>
      <c r="B2105" s="109" t="s">
        <v>120</v>
      </c>
      <c r="C2105" s="109" t="s">
        <v>825</v>
      </c>
      <c r="D2105" s="109" t="s">
        <v>47</v>
      </c>
      <c r="E2105" s="109" t="s">
        <v>28</v>
      </c>
      <c r="F2105" s="109" t="s">
        <v>3873</v>
      </c>
      <c r="G2105" s="111" t="s">
        <v>3874</v>
      </c>
    </row>
    <row r="2106" customFormat="false" ht="15" hidden="false" customHeight="false" outlineLevel="0" collapsed="false">
      <c r="A2106" s="109" t="s">
        <v>116</v>
      </c>
      <c r="B2106" s="109" t="s">
        <v>120</v>
      </c>
      <c r="C2106" s="109" t="s">
        <v>825</v>
      </c>
      <c r="D2106" s="109" t="s">
        <v>51</v>
      </c>
      <c r="E2106" s="109" t="s">
        <v>28</v>
      </c>
      <c r="F2106" s="109" t="s">
        <v>3875</v>
      </c>
      <c r="G2106" s="111" t="s">
        <v>3876</v>
      </c>
    </row>
    <row r="2107" customFormat="false" ht="15" hidden="false" customHeight="false" outlineLevel="0" collapsed="false">
      <c r="A2107" s="109" t="s">
        <v>116</v>
      </c>
      <c r="B2107" s="109" t="s">
        <v>120</v>
      </c>
      <c r="C2107" s="109" t="s">
        <v>825</v>
      </c>
      <c r="D2107" s="109" t="s">
        <v>55</v>
      </c>
      <c r="E2107" s="109" t="s">
        <v>28</v>
      </c>
      <c r="F2107" s="109" t="s">
        <v>3877</v>
      </c>
      <c r="G2107" s="111" t="s">
        <v>3878</v>
      </c>
    </row>
    <row r="2108" customFormat="false" ht="23.85" hidden="false" customHeight="false" outlineLevel="0" collapsed="false">
      <c r="A2108" s="109" t="s">
        <v>116</v>
      </c>
      <c r="B2108" s="109" t="s">
        <v>120</v>
      </c>
      <c r="C2108" s="109" t="s">
        <v>825</v>
      </c>
      <c r="D2108" s="109" t="s">
        <v>59</v>
      </c>
      <c r="E2108" s="109" t="s">
        <v>28</v>
      </c>
      <c r="F2108" s="109" t="s">
        <v>3879</v>
      </c>
      <c r="G2108" s="111" t="s">
        <v>3880</v>
      </c>
    </row>
    <row r="2109" customFormat="false" ht="23.85" hidden="false" customHeight="false" outlineLevel="0" collapsed="false">
      <c r="A2109" s="109" t="s">
        <v>116</v>
      </c>
      <c r="B2109" s="109" t="s">
        <v>120</v>
      </c>
      <c r="C2109" s="109" t="s">
        <v>825</v>
      </c>
      <c r="D2109" s="109" t="s">
        <v>63</v>
      </c>
      <c r="E2109" s="109" t="s">
        <v>28</v>
      </c>
      <c r="F2109" s="109" t="s">
        <v>3881</v>
      </c>
      <c r="G2109" s="111" t="s">
        <v>3882</v>
      </c>
    </row>
    <row r="2110" customFormat="false" ht="23.85" hidden="false" customHeight="false" outlineLevel="0" collapsed="false">
      <c r="A2110" s="109" t="s">
        <v>116</v>
      </c>
      <c r="B2110" s="109" t="s">
        <v>120</v>
      </c>
      <c r="C2110" s="109" t="s">
        <v>825</v>
      </c>
      <c r="D2110" s="109" t="s">
        <v>67</v>
      </c>
      <c r="E2110" s="109" t="s">
        <v>28</v>
      </c>
      <c r="F2110" s="109" t="s">
        <v>3883</v>
      </c>
      <c r="G2110" s="111" t="s">
        <v>1759</v>
      </c>
    </row>
    <row r="2111" customFormat="false" ht="15" hidden="false" customHeight="false" outlineLevel="0" collapsed="false">
      <c r="A2111" s="109" t="s">
        <v>116</v>
      </c>
      <c r="B2111" s="109" t="s">
        <v>120</v>
      </c>
      <c r="C2111" s="109" t="s">
        <v>825</v>
      </c>
      <c r="D2111" s="109" t="s">
        <v>71</v>
      </c>
      <c r="E2111" s="109" t="s">
        <v>28</v>
      </c>
      <c r="F2111" s="109" t="s">
        <v>3884</v>
      </c>
      <c r="G2111" s="111" t="s">
        <v>3162</v>
      </c>
    </row>
  </sheetData>
  <conditionalFormatting sqref="E2:E2111">
    <cfRule type="cellIs" priority="2" operator="equal" aboveAverage="0" equalAverage="0" bottom="0" percent="0" rank="0" text="" dxfId="19">
      <formula>"Natif"</formula>
    </cfRule>
    <cfRule type="cellIs" priority="3" operator="equal" aboveAverage="0" equalAverage="0" bottom="0" percent="0" rank="0" text="" dxfId="20">
      <formula>"Officiel"</formula>
    </cfRule>
    <cfRule type="cellIs" priority="4" operator="equal" aboveAverage="0" equalAverage="0" bottom="0" percent="0" rank="0" text="" dxfId="21">
      <formula>"Tiers"</formula>
    </cfRule>
    <cfRule type="cellIs" priority="5" operator="equal" aboveAverage="0" equalAverage="0" bottom="0" percent="0" rank="0" text="" dxfId="26">
      <formula>"Partiel"</formula>
    </cfRule>
    <cfRule type="cellIs" priority="6" operator="equal" aboveAverage="0" equalAverage="0" bottom="0" percent="0" rank="0" text="" dxfId="27">
      <formula>"Absent"</formula>
    </cfRule>
    <cfRule type="cellIs" priority="7" operator="equal" aboveAverage="0" equalAverage="0" bottom="0" percent="0" rank="0" text="" dxfId="22">
      <formula>"?"</formula>
    </cfRule>
  </conditionalFormatting>
  <hyperlinks>
    <hyperlink ref="G2" r:id="rId1" display="https://wordpress.org/plugins/secure-custom-fields/"/>
    <hyperlink ref="G3" r:id="rId2" display="https://www.drupal.org/docs/user_guide/en/structure-content-type.html"/>
    <hyperlink ref="G4" r:id="rId3" display="https://craftcms.com/docs/5.x/reference/element-types/entries.html"/>
    <hyperlink ref="G5" r:id="rId4" display="https://getkirby.com/docs/guide/blueprints/introduction"/>
    <hyperlink ref="G6" r:id="rId5" display="https://statamic.dev/content-modeling/collections"/>
    <hyperlink ref="G7" r:id="rId6" display="https://docs.octobercms.com/4.x/cms/tailor/introduction.html"/>
    <hyperlink ref="G8" r:id="rId7" display="https://github.com/trilbymedia/grav-plugin-flex-objects"/>
    <hyperlink ref="G9" r:id="rId8" display="https://payloadcms.com/docs/configuration/collections"/>
    <hyperlink ref="G10" r:id="rId9" display="https://github.com/tallcms/tallcms/blob/main/docs/site-pages-posts.md"/>
    <hyperlink ref="G11" r:id="rId10" display="https://larazeus.com/docs/sky/v5/introduction"/>
    <hyperlink ref="G12" r:id="rId11" display="https://developer.wordpress.org/plugins/post-types/registering-custom-post-types/"/>
    <hyperlink ref="G13" r:id="rId12" display="https://www.drupal.org/docs/configuration-management"/>
    <hyperlink ref="G14" r:id="rId13" display="https://craftcms.com/docs/5.x/system/project-config.html"/>
    <hyperlink ref="G15" r:id="rId14" display="https://getkirby.com/docs/guide/blueprints/introduction"/>
    <hyperlink ref="G16" r:id="rId15" display="https://statamic.dev/content-modeling/blueprints"/>
    <hyperlink ref="G17" r:id="rId16" display="https://docs.octobercms.com/4.x/cms/tailor/blueprints.html"/>
    <hyperlink ref="G18" r:id="rId17" display="https://learn.getgrav.org/20/forms/blueprints/fields-available"/>
    <hyperlink ref="G19" r:id="rId18" display="https://payloadcms.com/docs/configuration/collections"/>
    <hyperlink ref="G20" r:id="rId19" display="https://github.com/tallcms/tallcms/blob/main/docs/ref-architecture.md"/>
    <hyperlink ref="G21" r:id="rId20" display="https://larazeus.com/docs/sky/v5/advanced/models"/>
    <hyperlink ref="G22" r:id="rId21" display="https://wordpress.org/plugins/secure-custom-fields/"/>
    <hyperlink ref="G23" r:id="rId22" display="https://www.drupal.org/docs/user_guide/en/structure-fields.html"/>
    <hyperlink ref="G24" r:id="rId23" display="https://craftcms.com/docs/5.x/reference/field-types/"/>
    <hyperlink ref="G25" r:id="rId24" display="https://getkirby.com/docs/reference/panel/fields"/>
    <hyperlink ref="G26" r:id="rId25" display="https://statamic.dev/fieldtypes/all-fieldtypes"/>
    <hyperlink ref="G27" r:id="rId26" display="https://docs.octobercms.com/4.x/element/form-fields.html"/>
    <hyperlink ref="G28" r:id="rId27" display="https://learn.getgrav.org/20/forms/blueprints/fields-available"/>
    <hyperlink ref="G29" r:id="rId28" display="https://payloadcms.com/docs/fields/overview"/>
    <hyperlink ref="G30" r:id="rId29" display="https://github.com/tallcms/tallcms/blob/main/docs/dev-blocks.md"/>
    <hyperlink ref="G31" r:id="rId30" display="https://github.com/lara-zeus/sky/blob/main/src/Filament/Resources/PostResource.php"/>
    <hyperlink ref="G32" r:id="rId31" display="https://wordpress.org/plugins/secure-custom-fields/"/>
    <hyperlink ref="G33" r:id="rId32" display="https://www.drupal.org/project/paragraphs"/>
    <hyperlink ref="G34" r:id="rId33" display="https://craftcms.com/docs/5.x/reference/field-types/matrix.html"/>
    <hyperlink ref="G35" r:id="rId34" display="https://getkirby.com/docs/reference/panel/fields"/>
    <hyperlink ref="G36" r:id="rId35" display="https://statamic.dev/fieldtypes/replicator"/>
    <hyperlink ref="G37" r:id="rId36" display="https://docs.octobercms.com/4.x/element/form/widget-repeater.html"/>
    <hyperlink ref="G38" r:id="rId37" display="https://learn.getgrav.org/20/forms/blueprints/fields-available"/>
    <hyperlink ref="G39" r:id="rId38" display="https://payloadcms.com/docs/fields/array"/>
    <hyperlink ref="G40" r:id="rId39" display="https://github.com/tallcms/tallcms/blob/main/docs/dev-blocks.md"/>
    <hyperlink ref="G41" r:id="rId40" display="https://github.com/lara-zeus/sky/blob/main/src/Filament/Resources/PostResource.php"/>
    <hyperlink ref="G42" r:id="rId41" display="https://wordpress.org/plugins/secure-custom-fields/"/>
    <hyperlink ref="G43" r:id="rId42" display="https://www.drupal.org/docs/user_guide/en/structure-reference-fields.html"/>
    <hyperlink ref="G44" r:id="rId43" display="https://craftcms.com/docs/5.x/system/relations.html"/>
    <hyperlink ref="G45" r:id="rId44" display="https://getkirby.com/docs/reference/panel/fields/pages"/>
    <hyperlink ref="G46" r:id="rId45" display="https://statamic.dev/content-modeling/relationships"/>
    <hyperlink ref="G47" r:id="rId46" display="https://docs.octobercms.com/4.x/element/content/field-entries.html"/>
    <hyperlink ref="G48" r:id="rId47" display="https://github.com/trilbymedia/grav-plugin-flex-objects"/>
    <hyperlink ref="G49" r:id="rId48" display="https://payloadcms.com/docs/fields/relationship"/>
    <hyperlink ref="G50" r:id="rId49" display="https://github.com/tallcms/tallcms/blob/main/docs/site-pages-posts.md"/>
    <hyperlink ref="G51" r:id="rId50" display="https://github.com/lara-zeus/sky/blob/main/src/Models/Post.php"/>
    <hyperlink ref="G52" r:id="rId51" display="https://wordpress.org/plugins/secure-custom-fields/"/>
    <hyperlink ref="G53" r:id="rId52" display="https://www.drupal.org/project/cer"/>
    <hyperlink ref="G54" r:id="rId53" display="https://craftcms.com/docs/5.x/system/relations.html"/>
    <hyperlink ref="G55" r:id="rId54" display="https://getkirby.com/docs/guide/uuids"/>
    <hyperlink ref="G56" r:id="rId55" display="https://statamic.com/addons/cboxdk/reverse-relationships"/>
    <hyperlink ref="G57" r:id="rId56" display="https://docs.octobercms.com/4.x/element/content/field-entries.html"/>
    <hyperlink ref="G58" r:id="rId57" display="https://github.com/trilbymedia/grav-plugin-flex-objects"/>
    <hyperlink ref="G59" r:id="rId58" display="https://payloadcms.com/docs/fields/join"/>
    <hyperlink ref="G60" r:id="rId59" display="https://github.com/tallcms/tallcms/blob/main/docs/dev-api.md"/>
    <hyperlink ref="G61" r:id="rId60" display="https://github.com/lara-zeus/sky/blob/main/src/Models/Tag.php"/>
    <hyperlink ref="G62" r:id="rId61" display="https://developer.wordpress.org/plugins/taxonomies/"/>
    <hyperlink ref="G63" r:id="rId62" display="https://www.drupal.org/docs/user_guide/en/structure-taxonomy.html"/>
    <hyperlink ref="G64" r:id="rId63" display="https://craftcms.com/docs/5.x/reference/element-types/categories.html"/>
    <hyperlink ref="G65" r:id="rId64" display="https://getkirby.com/docs/reference/panel/fields/tags"/>
    <hyperlink ref="G66" r:id="rId65" display="https://statamic.dev/content-modeling/taxonomies"/>
    <hyperlink ref="G67" r:id="rId66" display="https://docs.octobercms.com/4.x/cms/tailor/introduction.html"/>
    <hyperlink ref="G68" r:id="rId67" display="https://learn.getgrav.org/20/content/headers"/>
    <hyperlink ref="G69" r:id="rId68" display="https://payloadcms.com/docs/fields/relationship"/>
    <hyperlink ref="G70" r:id="rId69" display="https://github.com/tallcms/tallcms/blob/main/docs/site-pages-posts.md"/>
    <hyperlink ref="G71" r:id="rId70" display="https://larazeus.com/docs/sky/v5/getting-started/configuration"/>
    <hyperlink ref="G72" r:id="rId71" display="https://developer.wordpress.org/reference/functions/register_post_type/"/>
    <hyperlink ref="G73" r:id="rId72" display="https://www.drupal.org/project/entity_hierarchy"/>
    <hyperlink ref="G74" r:id="rId73" display="https://craftcms.com/docs/5.x/reference/element-types/entries.html"/>
    <hyperlink ref="G75" r:id="rId74" display="https://getkirby.com/releases/4"/>
    <hyperlink ref="G76" r:id="rId75" display="https://statamic.dev/content-modeling/structures"/>
    <hyperlink ref="G77" r:id="rId76" display="https://docs.octobercms.com/4.x/cms/tailor/blueprints.html"/>
    <hyperlink ref="G78" r:id="rId77" display="https://learn.getgrav.org/20/content/headers"/>
    <hyperlink ref="G79" r:id="rId78" display="https://payloadcms.com/docs/plugins/nested-docs"/>
    <hyperlink ref="G80" r:id="rId79" display="https://github.com/tallcms/tallcms/blob/main/docs/site-pages-posts.md"/>
    <hyperlink ref="G81" r:id="rId80" display="https://github.com/lara-zeus/sky/blob/main/src/Filament/Resources/PageResource.php"/>
    <hyperlink ref="G82" r:id="rId81" display="https://wordpress.org/plugins/secure-custom-fields/"/>
    <hyperlink ref="G83" r:id="rId82" display="https://www.drupal.org/docs/user_guide/en/structure-field-reuse.html"/>
    <hyperlink ref="G84" r:id="rId83" display="https://craftcms.com/docs/5.x/reference/element-types/entries.html"/>
    <hyperlink ref="G85" r:id="rId84" display="https://getkirby.com/docs/guide/blueprints/extending-blueprints"/>
    <hyperlink ref="G86" r:id="rId85" display="https://statamic.dev/content-modeling/fieldsets"/>
    <hyperlink ref="G87" r:id="rId86" display="https://docs.octobercms.com/4.x/element/content/field-mixin.html"/>
    <hyperlink ref="G88" r:id="rId87" display="https://learn.getgrav.org/20/forms/blueprints/fields-available"/>
    <hyperlink ref="G89" r:id="rId88" display="https://payloadcms.com/docs/fields/blocks"/>
    <hyperlink ref="G92" r:id="rId89" display="https://wordpress.org/plugins/secure-custom-fields/"/>
    <hyperlink ref="G93" r:id="rId90" display="https://www.drupal.org/project/config_pages"/>
    <hyperlink ref="G94" r:id="rId91" display="https://craftcms.com/docs/5.x/reference/element-types/globals.html"/>
    <hyperlink ref="G95" r:id="rId92" display="https://getkirby.com/docs/reference/panel/blueprints/site"/>
    <hyperlink ref="G96" r:id="rId93" display="https://statamic.dev/content-modeling/globals"/>
    <hyperlink ref="G97" r:id="rId94" display="https://docs.octobercms.com/4.x/cms/tailor/blueprints.html"/>
    <hyperlink ref="G98" r:id="rId95" display="https://learn.getgrav.org/17/basics/grav-configuration"/>
    <hyperlink ref="G99" r:id="rId96" display="https://payloadcms.com/docs/configuration/globals"/>
    <hyperlink ref="G100" r:id="rId97" display="https://github.com/tallcms/tallcms/blob/main/docs/site-settings.md"/>
    <hyperlink ref="G101" r:id="rId98" display="https://github.com/lara-zeus/sky/blob/main/config/zeus-sky.php"/>
    <hyperlink ref="G102" r:id="rId99" display="https://wordpress.org/plugins/secure-custom-fields/"/>
    <hyperlink ref="G103" r:id="rId100" display="https://www.drupal.org/docs/drupal-apis/entity-api/entity-validation-api"/>
    <hyperlink ref="G104" r:id="rId101" display="https://craftcms.com/docs/5.x/system/drafts-revisions.html"/>
    <hyperlink ref="G105" r:id="rId102" display="https://getkirby.com/docs/guide/blueprints/fields"/>
    <hyperlink ref="G106" r:id="rId103" display="https://statamic.dev/content-modeling/validation"/>
    <hyperlink ref="G107" r:id="rId104" display="https://docs.octobercms.com/4.x/cms/tailor/content-fields.html"/>
    <hyperlink ref="G108" r:id="rId105" display="https://learn.getgrav.org/20/forms/blueprints/fields-available"/>
    <hyperlink ref="G109" r:id="rId106" location="validation" display="https://payloadcms.com/docs/fields/overview#validation"/>
    <hyperlink ref="G110" r:id="rId107" display="https://github.com/tallcms/tallcms/blob/main/docs/dev-blocks.md"/>
    <hyperlink ref="G111" r:id="rId108" display="https://github.com/lara-zeus/sky/blob/main/src/Filament/Resources/PostResource.php"/>
    <hyperlink ref="G112" r:id="rId109" display="https://wordpress.org/plugins/secure-custom-fields/"/>
    <hyperlink ref="G113" r:id="rId110" display="https://www.drupal.org/project/conditional_fields"/>
    <hyperlink ref="G114" r:id="rId111" display="https://craftcms.com/docs/5.x/system/fields.html"/>
    <hyperlink ref="G115" r:id="rId112" display="https://getkirby.com/docs/guide/blueprints/fields"/>
    <hyperlink ref="G116" r:id="rId113" display="https://statamic.dev/control-panel/conditional-fields"/>
    <hyperlink ref="G117" r:id="rId114" display="https://docs.octobercms.com/4.x/element/form-fields.html"/>
    <hyperlink ref="G118" r:id="rId115" display="https://learn.getgrav.org/20/forms/blueprints/fields-available"/>
    <hyperlink ref="G119" r:id="rId116" location="conditional-logic" display="https://payloadcms.com/docs/fields/overview#conditional-logic"/>
    <hyperlink ref="G120" r:id="rId117" display="https://github.com/tallcms/tallcms/tree/main/packages/tallcms/cms/src/Filament/Blocks/ContactFormBlock.php"/>
    <hyperlink ref="G121" r:id="rId118" display="https://github.com/lara-zeus/sky/blob/main/src/Filament/Resources/PostResource.php"/>
    <hyperlink ref="G122" r:id="rId119" display="https://developer.wordpress.org/reference/hooks/save_post/"/>
    <hyperlink ref="G123" r:id="rId120" display="https://www.drupal.org/project/computed_field"/>
    <hyperlink ref="G124" r:id="rId121" display="https://github.com/craftcms/cms/blob/5.x/CHANGELOG.md"/>
    <hyperlink ref="G125" r:id="rId122" display="https://getkirby.com/docs/guide/blueprints/query-language"/>
    <hyperlink ref="G126" r:id="rId123" display="https://statamic.dev/content-modeling/computed-values"/>
    <hyperlink ref="G127" r:id="rId124" display="https://docs.octobercms.com/4.x/element/form-fields.html"/>
    <hyperlink ref="G128" r:id="rId125" display="https://learn.getgrav.org/20/forms/blueprints/fields-available"/>
    <hyperlink ref="G129" r:id="rId126" location="virtual-fields" display="https://payloadcms.com/docs/fields/overview#virtual-fields"/>
    <hyperlink ref="G130" r:id="rId127" display="https://github.com/tallcms/tallcms/tree/main/packages/tallcms/cms/src/Filament/Resources/CmsPages/Schemas/CmsPageForm.php"/>
    <hyperlink ref="G131" r:id="rId128" display="https://github.com/lara-zeus/sky/blob/main/src/Models/Post.php"/>
    <hyperlink ref="G132" r:id="rId129" display="https://wordpress.org/documentation/article/wordpress-block-editor/"/>
    <hyperlink ref="G133" r:id="rId130" display="https://www.drupal.org/docs/core-modules-and-themes/core-modules/ckeditor5-module"/>
    <hyperlink ref="G134" r:id="rId131" display="https://plugins.craftcms.com/ckeditor"/>
    <hyperlink ref="G135" r:id="rId132" display="https://getkirby.com/docs/reference/panel/fields/writer"/>
    <hyperlink ref="G136" r:id="rId133" display="https://statamic.dev/fieldtypes/bard"/>
    <hyperlink ref="G137" r:id="rId134" display="https://docs.octobercms.com/4.x/element/form/widget-richeditor.html"/>
    <hyperlink ref="G138" r:id="rId135" display="https://premium.getgrav.org/l/grav-premium-editor-pro"/>
    <hyperlink ref="G139" r:id="rId136" display="https://payloadcms.com/docs/rich-text/overview"/>
    <hyperlink ref="G140" r:id="rId137" display="https://github.com/tallcms/tallcms/blob/main/docs/ref-rich-editor.md"/>
    <hyperlink ref="G141" r:id="rId138" display="https://larazeus.com/docs/sky/v5/getting-started/editor"/>
    <hyperlink ref="G142" r:id="rId139" display="https://developer.wordpress.org/block-editor/"/>
    <hyperlink ref="G143" r:id="rId140" display="https://www.drupal.org/docs/core-modules-and-themes/core-modules/layout-builder-module"/>
    <hyperlink ref="G144" r:id="rId141" display="https://craftcms.com/docs/5.x/reference/field-types/matrix.html"/>
    <hyperlink ref="G145" r:id="rId142" display="https://getkirby.com/docs/guide/page-builder"/>
    <hyperlink ref="G146" r:id="rId143" display="https://statamic.dev/fieldtypes/replicator"/>
    <hyperlink ref="G147" r:id="rId144" display="https://docs.octobercms.com/4.x/element/form/widget-repeater.html"/>
    <hyperlink ref="G148" r:id="rId145" display="https://premium.getgrav.org/l/grav-premium-editor-pro"/>
    <hyperlink ref="G149" r:id="rId146" display="https://payloadcms.com/docs/fields/blocks"/>
    <hyperlink ref="G150" r:id="rId147" display="https://github.com/tallcms/tallcms/blob/main/docs/site-blocks.md"/>
    <hyperlink ref="G151" r:id="rId148" display="https://larazeus.com/docs/sky/v5/getting-started/editor"/>
    <hyperlink ref="G152" r:id="rId149" display="https://make.wordpress.org/core/2026/05/14/wordpress-7-0-field-guide/"/>
    <hyperlink ref="G153" r:id="rId150" display="https://www.drupal.org/docs/develop/theming-drupal/using-single-directory-components"/>
    <hyperlink ref="G154" r:id="rId151" display="https://craftcms.com/docs/5.x/reference/field-types/matrix.html"/>
    <hyperlink ref="G155" r:id="rId152" display="https://getkirby.com/docs/reference/panel/fields/blocks"/>
    <hyperlink ref="G156" r:id="rId153" display="https://statamic.dev/fieldtypes/replicator"/>
    <hyperlink ref="G157" r:id="rId154" display="https://docs.octobercms.com/4.x/cms/themes/snippets.html"/>
    <hyperlink ref="G158" r:id="rId155" display="https://github.com/getgrav/grav-plugin-shortcode-core"/>
    <hyperlink ref="G159" r:id="rId156" display="https://payloadcms.com/docs/fields/blocks"/>
    <hyperlink ref="G160" r:id="rId157" display="https://github.com/tallcms/tallcms/blob/main/docs/dev-blocks.md"/>
    <hyperlink ref="G161" r:id="rId158" display="https://github.com/lara-zeus/sky/blob/main/src/Classes/BoltParser.php"/>
    <hyperlink ref="G162" r:id="rId159" display="https://developer.wordpress.org/block-editor/how-to-guides/block-tutorial/nested-blocks-inner-blocks/"/>
    <hyperlink ref="G163" r:id="rId160" display="https://project.pages.drupalcode.org/canvas/sdc-components/slots"/>
    <hyperlink ref="G164" r:id="rId161" display="https://craftcms.com/docs/5.x/reference/field-types/matrix.html"/>
    <hyperlink ref="G165" r:id="rId162" display="https://getkirby.com/docs/reference/panel/fields/blocks"/>
    <hyperlink ref="G166" r:id="rId163" display="https://statamic.dev/fieldtypes/bard"/>
    <hyperlink ref="G167" r:id="rId164" display="https://docs.octobercms.com/4.x/element/form/widget-repeater.html"/>
    <hyperlink ref="G168" r:id="rId165" display="https://github.com/getgrav/grav-plugin-shortcode-core"/>
    <hyperlink ref="G169" r:id="rId166" display="https://payloadcms.com/docs/rich-text/blocks"/>
    <hyperlink ref="G170" r:id="rId167" display="https://github.com/tallcms/tallcms/blob/main/docs/ref-rich-editor.md"/>
    <hyperlink ref="G172" r:id="rId168" display="https://wordpress.org/documentation/article/reusable-blocks/"/>
    <hyperlink ref="G173" r:id="rId169" display="https://www.drupal.org/docs/user_guide/en/block-create-custom.html"/>
    <hyperlink ref="G174" r:id="rId170" display="https://craftcms.com/docs/5.x/reference/field-types/entries.html"/>
    <hyperlink ref="G175" r:id="rId171" display="https://packagist.org/packages/tobimori/kirby-global-blocks"/>
    <hyperlink ref="G176" r:id="rId172" display="https://statamic.dev/content-modeling/fieldsets"/>
    <hyperlink ref="G177" r:id="rId173" display="https://docs.octobercms.com/4.x/cms/themes/snippets.html"/>
    <hyperlink ref="G178" r:id="rId174" display="https://github.com/getgrav/grav-plugin-page-inject"/>
    <hyperlink ref="G179" r:id="rId175" display="https://payloadcms.com/docs/fields/blocks"/>
    <hyperlink ref="G180" r:id="rId176" display="https://github.com/tallcms/tallcms/blob/main/docs/ref-rich-editor.md"/>
    <hyperlink ref="G182" r:id="rId177" display="https://wordpress.org/documentation/article/keyboard-shortcuts-block-editor/"/>
    <hyperlink ref="G183" r:id="rId178" display="https://www.drupal.org/project/markdown"/>
    <hyperlink ref="G184" r:id="rId179" display="https://craftcms.com/docs/5.x/reference/twig/filters.html"/>
    <hyperlink ref="G185" r:id="rId180" display="https://getkirby.com/docs/reference/system/options/markdown"/>
    <hyperlink ref="G186" r:id="rId181" display="https://statamic.dev/frontend/markdown"/>
    <hyperlink ref="G187" r:id="rId182" display="https://docs.octobercms.com/4.x/element/form/widget-markdown.html"/>
    <hyperlink ref="G188" r:id="rId183" display="https://github.com/getgrav/grav/blob/develop/CHANGELOG.md"/>
    <hyperlink ref="G189" r:id="rId184" display="https://payloadcms.com/docs/rich-text/converting-markdown"/>
    <hyperlink ref="G191" r:id="rId185" display="https://larazeus.com/docs/sky/v5/getting-started/editor"/>
    <hyperlink ref="G192" r:id="rId186" display="https://wordpress.org/documentation/article/site-editor/"/>
    <hyperlink ref="G193" r:id="rId187" display="https://www.drupal.org/project/canvas"/>
    <hyperlink ref="G195" r:id="rId188" display="https://getkirby.com/releases/6"/>
    <hyperlink ref="G196" r:id="rId189" display="https://statamic.com/addons/chrisvasey/simple-statamic-toolbar"/>
    <hyperlink ref="G197" r:id="rId190" display="https://octobercms.com/plugin/rainlab-editable"/>
    <hyperlink ref="G198" r:id="rId191" display="https://github.com/getgrav/grav-plugin-admin2"/>
    <hyperlink ref="G199" r:id="rId192" display="https://payloadcms.com/enterprise"/>
    <hyperlink ref="G202" r:id="rId193" display="https://wordpress.org/documentation/article/preview-post/"/>
    <hyperlink ref="G203" r:id="rId194" display="https://www.drupal.org/docs/user_guide/en/content-create.html"/>
    <hyperlink ref="G204" r:id="rId195" display="https://craftcms.com/docs/5.x/system/drafts-revisions.html"/>
    <hyperlink ref="G205" r:id="rId196" display="https://getkirby.com/releases/5/changes"/>
    <hyperlink ref="G206" r:id="rId197" display="https://statamic.dev/control-panel/live-preview"/>
    <hyperlink ref="G207" r:id="rId198" display="https://github.com/octobercms/october/blob/develop/modules/tailor/behaviors/PreviewController.php"/>
    <hyperlink ref="G208" r:id="rId199" display="https://github.com/getgrav/grav-plugin-admin2/blob/develop/CHANGELOG.md"/>
    <hyperlink ref="G209" r:id="rId200" display="https://payloadcms.com/docs/live-preview/overview"/>
    <hyperlink ref="G210" r:id="rId201" display="https://github.com/tallcms/tallcms/blob/main/docs/ref-publishing.md"/>
    <hyperlink ref="G211" r:id="rId202" display="https://github.com/lara-zeus/sky/blob/main/src/Filament/Resources/PostResource.php"/>
    <hyperlink ref="G212" r:id="rId203" display="https://wordpress.org/news/2026/08/mary-lou/"/>
    <hyperlink ref="G213" r:id="rId204" display="https://imagexmedia.com/blog/drupal-canvas-tour-content-authoring"/>
    <hyperlink ref="G214" r:id="rId205" display="https://madebyshape.co.uk/web-design-blog/mastering-craft-cms-live-preview-a-step-by-step-guide/"/>
    <hyperlink ref="G215" r:id="rId206" display="https://getkirby.com/releases/6"/>
    <hyperlink ref="G216" r:id="rId207" display="https://statamic.dev/control-panel/live-preview"/>
    <hyperlink ref="G219" r:id="rId208" location="breakpoints" display="https://payloadcms.com/docs/live-preview/overview#breakpoints"/>
    <hyperlink ref="G220" r:id="rId209" display="https://github.com/tallcms/tallcms/blob/main/docs/ref-publishing.md"/>
    <hyperlink ref="G222" r:id="rId210" display="https://wordpress.org/documentation/article/keyboard-shortcuts-block-editor/"/>
    <hyperlink ref="G223" r:id="rId211" display="https://www.drupal.org/project/coffee"/>
    <hyperlink ref="G224" r:id="rId212" display="https://craftcms.com/docs/5.x/system/control-panel.html"/>
    <hyperlink ref="G225" r:id="rId213" display="https://getkirby.com/releases/4"/>
    <hyperlink ref="G226" r:id="rId214" display="https://statamic.dev/control-panel/keyboard-shortcuts"/>
    <hyperlink ref="G227" r:id="rId215" display="https://octobercms.com/support/article/rn-42"/>
    <hyperlink ref="G228" r:id="rId216" display="https://github.com/getgrav/grav-plugin-admin2/blob/develop/CHANGELOG.md"/>
    <hyperlink ref="G229" r:id="rId217" display="https://payloadcms.com/docs/rich-text/official-features"/>
    <hyperlink ref="G230" r:id="rId218" display="https://github.com/tallcms/tallcms/blob/main/docs/ref-rich-editor.md"/>
    <hyperlink ref="G231" r:id="rId219" display="https://filamentphp.com/docs/5.x/forms/rich-editor"/>
    <hyperlink ref="G232" r:id="rId220" display="https://wordpress.org/documentation/article/revisions/"/>
    <hyperlink ref="G233" r:id="rId221" display="https://www.drupal.org/project/canvas"/>
    <hyperlink ref="G234" r:id="rId222" display="https://craftcms.com/docs/5.x/system/drafts-revisions.html"/>
    <hyperlink ref="G235" r:id="rId223" display="https://getkirby.com/releases/5"/>
    <hyperlink ref="G236" r:id="rId224" display="https://statamic.dev/content-modeling/revisions"/>
    <hyperlink ref="G237" r:id="rId225" display="https://docs.octobercms.com/4.x/cms/tailor/blueprints.html"/>
    <hyperlink ref="G238" r:id="rId226" display="https://github.com/getgrav/grav-plugin-admin2/blob/develop/CHANGELOG.md"/>
    <hyperlink ref="G239" r:id="rId227" display="https://payloadcms.com/docs/versions/autosave"/>
    <hyperlink ref="G240" r:id="rId228" display="https://github.com/tallcms/tallcms/blob/main/docs/ref-publishing.md"/>
    <hyperlink ref="G241" r:id="rId229" display="https://github.com/lara-zeus/sky/blob/main/src/Enums/PostStatus.php"/>
    <hyperlink ref="G242" r:id="rId230" display="https://wordpress.org/documentation/article/media-library-screen/"/>
    <hyperlink ref="G243" r:id="rId231" display="https://www.drupal.org/docs/core-modules-and-themes/core-modules/media-library-module"/>
    <hyperlink ref="G244" r:id="rId232" display="https://craftcms.com/docs/5.x/reference/element-types/assets.html"/>
    <hyperlink ref="G245" r:id="rId233" display="https://getkirby.com/docs/guide/files"/>
    <hyperlink ref="G246" r:id="rId234" display="https://statamic.dev/frontend/assets"/>
    <hyperlink ref="G247" r:id="rId235" display="https://docs.octobercms.com/4.x/cms/media/introduction.html"/>
    <hyperlink ref="G248" r:id="rId236" display="https://github.com/getgrav/grav-plugin-admin2/blob/develop/CHANGELOG.md"/>
    <hyperlink ref="G249" r:id="rId237" display="https://payloadcms.com/docs/upload/overview"/>
    <hyperlink ref="G250" r:id="rId238" display="https://github.com/tallcms/tallcms/blob/main/docs/site-media.md"/>
    <hyperlink ref="G251" r:id="rId239" display="https://github.com/lara-zeus/sky/blob/main/src/Filament/Resources/PostResource.php"/>
    <hyperlink ref="G252" r:id="rId240" display="https://wordpress.org/plugins/filebird/"/>
    <hyperlink ref="G253" r:id="rId241" display="https://www.drupal.org/project/media_directories"/>
    <hyperlink ref="G254" r:id="rId242" display="https://craftcms.com/docs/5.x/reference/element-types/assets.html"/>
    <hyperlink ref="G255" r:id="rId243" display="https://plugins.getkirby.com/topics/media"/>
    <hyperlink ref="G256" r:id="rId244" display="https://statamic.dev/frontend/assets"/>
    <hyperlink ref="G257" r:id="rId245" display="https://docs.octobercms.com/4.x/cms/media/introduction.html"/>
    <hyperlink ref="G258" r:id="rId246" display="https://github.com/getgrav/grav-mcp"/>
    <hyperlink ref="G259" r:id="rId247" display="https://payloadcms.com/docs/folders/overview"/>
    <hyperlink ref="G260" r:id="rId248" display="https://github.com/tallcms/tallcms/blob/main/docs/site-media.md"/>
    <hyperlink ref="G261" r:id="rId249" display="https://github.com/lara-zeus/sky/blob/main/src/Filament/Resources/LibraryResource.php"/>
    <hyperlink ref="G262" r:id="rId250" display="https://wordpress.org/news/2026/08/mary-lou/"/>
    <hyperlink ref="G263" r:id="rId251" display="https://www.drupal.org/project/focal_point"/>
    <hyperlink ref="G264" r:id="rId252" display="https://craftcms.com/docs/5.x/reference/element-types/assets.html"/>
    <hyperlink ref="G265" r:id="rId253" display="https://getkirby.com/releases/4"/>
    <hyperlink ref="G266" r:id="rId254" display="https://statamic.dev/frontend/assets"/>
    <hyperlink ref="G267" r:id="rId255" display="https://github.com/octobercms/october/blob/develop/modules/media/widgets/MediaManager.php"/>
    <hyperlink ref="G268" r:id="rId256" display="https://learn.getgrav.org/20/content/media"/>
    <hyperlink ref="G269" r:id="rId257" location="crop-and-focal-point-selector" display="https://payloadcms.com/docs/upload/overview#crop-and-focal-point-selector"/>
    <hyperlink ref="G270" r:id="rId258" display="https://github.com/tallcms/tallcms/tree/main/packages/tallcms/cms/src/Filament/Blocks/ImageGalleryBlock.php"/>
    <hyperlink ref="G271" r:id="rId259" display="https://filamentphp.com/docs/5.x/forms/file-upload"/>
    <hyperlink ref="G272" r:id="rId260" display="https://developer.wordpress.org/reference/functions/add_image_size/"/>
    <hyperlink ref="G273" r:id="rId261" display="https://www.drupal.org/docs/user_guide/en/structure-image-style-create.html"/>
    <hyperlink ref="G274" r:id="rId262" display="https://craftcms.com/docs/5.x/development/image-transforms.html"/>
    <hyperlink ref="G275" r:id="rId263" display="https://getkirby.com/docs/guide/files/resize-images-on-the-fly"/>
    <hyperlink ref="G276" r:id="rId264" display="https://statamic.dev/frontend/image-manipulation"/>
    <hyperlink ref="G277" r:id="rId265" display="https://docs.octobercms.com/4.x/markup/filter/resize.html"/>
    <hyperlink ref="G278" r:id="rId266" display="https://learn.getgrav.org/20/content/media"/>
    <hyperlink ref="G279" r:id="rId267" location="image-sizes" display="https://payloadcms.com/docs/upload/overview#image-sizes"/>
    <hyperlink ref="G280" r:id="rId268" display="https://github.com/tallcms/tallcms/blob/main/docs/site-media.md"/>
    <hyperlink ref="G281" r:id="rId269" display="https://spatie.be/docs/laravel-medialibrary/v11/converting-images/defining-conversions"/>
    <hyperlink ref="G282" r:id="rId270" display="https://wordpress.org/plugins/webp-uploads/"/>
    <hyperlink ref="G283" r:id="rId271" display="https://www.drupal.org/blog/drupal-11-2-0"/>
    <hyperlink ref="G284" r:id="rId272" display="https://craftcms.com/docs/5.x/development/image-transforms.html"/>
    <hyperlink ref="G285" r:id="rId273" display="https://getkirby.com/docs/guide/files/resize-images-on-the-fly"/>
    <hyperlink ref="G286" r:id="rId274" display="https://statamic.dev/tags/glide"/>
    <hyperlink ref="G287" r:id="rId275" display="https://docs.octobercms.com/4.x/markup/filter/resize.html"/>
    <hyperlink ref="G288" r:id="rId276" display="https://github.com/getgrav/grav/blob/develop/system/src/Grav/Common/Page/Medium/ImageMedium.php"/>
    <hyperlink ref="G289" r:id="rId277" display="https://payloadcms.com/docs/upload/overview"/>
    <hyperlink ref="G290" r:id="rId278" display="https://github.com/tallcms/tallcms/blob/main/docs/site-media.md"/>
    <hyperlink ref="G291" r:id="rId279" display="https://spatie.be/docs/laravel-medialibrary/v11/converting-images/defining-conversions"/>
    <hyperlink ref="G292" r:id="rId280" display="https://make.wordpress.org/core/2026/05/14/wordpress-7-0-field-guide/"/>
    <hyperlink ref="G293" r:id="rId281" display="https://www.drupal.org/docs/core-modules-and-themes/core-modules/media-module"/>
    <hyperlink ref="G294" r:id="rId282" display="https://craftcms.com/docs/5.x/reference/element-types/assets.html"/>
    <hyperlink ref="G295" r:id="rId283" display="https://getkirby.com/docs/guide/files/file-metadata"/>
    <hyperlink ref="G296" r:id="rId284" display="https://statamic.dev/frontend/assets"/>
    <hyperlink ref="G297" r:id="rId285" display="https://docs.octobercms.com/4.x/element/form/widget-fileupload.html"/>
    <hyperlink ref="G298" r:id="rId286" display="https://learn.getgrav.org/20/content/media"/>
    <hyperlink ref="G299" r:id="rId287" display="https://payloadcms.com/docs/upload/overview"/>
    <hyperlink ref="G300" r:id="rId288" display="https://github.com/tallcms/tallcms/blob/main/docs/site-media.md"/>
    <hyperlink ref="G301" r:id="rId289" display="https://github.com/lara-zeus/sky/blob/main/src/Filament/Resources/PostResource.php"/>
    <hyperlink ref="G302" r:id="rId290" display="https://wordpress.org/plugins/amazon-s3-and-cloudfront/"/>
    <hyperlink ref="G303" r:id="rId291" display="https://www.drupal.org/project/s3fs"/>
    <hyperlink ref="G304" r:id="rId292" display="https://plugins.craftcms.com/aws-s3"/>
    <hyperlink ref="G305" r:id="rId293" display="https://plugins.getkirby.com/topics/media"/>
    <hyperlink ref="G306" r:id="rId294" display="https://statamic.dev/frontend/assets"/>
    <hyperlink ref="G307" r:id="rId295" display="https://docs.octobercms.com/4.x/cms/media/providers.html"/>
    <hyperlink ref="G309" r:id="rId296" display="https://payloadcms.com/docs/upload/storage-adapters"/>
    <hyperlink ref="G310" r:id="rId297" display="https://github.com/tallcms/tallcms/blob/main/docs/site-media.md"/>
    <hyperlink ref="G311" r:id="rId298" display="https://larazeus.com/docs/sky/v5/getting-started/configuration"/>
    <hyperlink ref="G312" r:id="rId299" display="https://wordpress.org/news/2026/08/mary-lou/"/>
    <hyperlink ref="G313" r:id="rId300" display="https://www.drupal.org/docs/core-modules-and-themes/core-modules/media-module"/>
    <hyperlink ref="G314" r:id="rId301" display="https://craftcms.com/docs/5.x/reference/element-types/assets.html"/>
    <hyperlink ref="G315" r:id="rId302" display="https://getkirby.com/releases/5"/>
    <hyperlink ref="G316" r:id="rId303" display="https://statamic.dev/frontend/assets"/>
    <hyperlink ref="G317" r:id="rId304" display="https://docs.octobercms.com/4.x/cms/media/introduction.html"/>
    <hyperlink ref="G318" r:id="rId305" display="https://learn.getgrav.org/20/content/media"/>
    <hyperlink ref="G319" r:id="rId306" location="mimetypes" display="https://payloadcms.com/docs/upload/overview#mimetypes"/>
    <hyperlink ref="G320" r:id="rId307" display="https://github.com/tallcms/tallcms/blob/main/docs/site-media.md"/>
    <hyperlink ref="G321" r:id="rId308" display="https://larazeus.com/docs/sky/v5/advanced/addons"/>
    <hyperlink ref="G322" r:id="rId309" display="https://wordpress.org/news/2026/08/mary-lou/"/>
    <hyperlink ref="G323" r:id="rId310" display="https://www.drupal.org/project/dropzonejs"/>
    <hyperlink ref="G324" r:id="rId311" display="https://craftcms.com/docs/5.x/reference/element-types/assets.html"/>
    <hyperlink ref="G325" r:id="rId312" display="https://getkirby.com/releases/5"/>
    <hyperlink ref="G326" r:id="rId313" display="https://statamic.dev/fieldtypes/assets"/>
    <hyperlink ref="G327" r:id="rId314" display="https://docs.octobercms.com/4.x/element/form/widget-fileupload.html"/>
    <hyperlink ref="G328" r:id="rId315" display="https://github.com/getgrav/grav-plugin-admin2/blob/develop/CHANGELOG.md"/>
    <hyperlink ref="G329" r:id="rId316" display="https://payloadcms.com/docs/upload/overview"/>
    <hyperlink ref="G330" r:id="rId317" display="https://github.com/tallcms/tallcms/blob/main/docs/site-media.md"/>
    <hyperlink ref="G331" r:id="rId318" display="https://filamentphp.com/docs/5.x/forms/file-upload"/>
    <hyperlink ref="G332" r:id="rId319" display="https://wordpress.org/plugins/media-cleaner/"/>
    <hyperlink ref="G333" r:id="rId320" display="https://www.drupal.org/project/entity_usage"/>
    <hyperlink ref="G334" r:id="rId321" display="https://plugins.craftcms.com/asset-cleaner"/>
    <hyperlink ref="G335" r:id="rId322" display="https://plugins.getkirby.com/topics/panel"/>
    <hyperlink ref="G336" r:id="rId323" display="https://statamic.com/addons/novu/unused-assets"/>
    <hyperlink ref="G337" r:id="rId324" display="https://docs.octobercms.com/4.x/element/available-commands.html"/>
    <hyperlink ref="G340" r:id="rId325" display="https://github.com/tallcms/tallcms/blob/main/docs/site-media.md"/>
    <hyperlink ref="G342" r:id="rId326" display="https://wordpress.org/documentation/article/post-status/"/>
    <hyperlink ref="G343" r:id="rId327" display="https://www.drupal.org/docs/core-modules-and-themes/core-modules/content-moderation-module"/>
    <hyperlink ref="G344" r:id="rId328" display="https://craftcms.com/docs/5.x/system/drafts-revisions.html"/>
    <hyperlink ref="G345" r:id="rId329" display="https://getkirby.com/docs/guide/content/publishing-workflow"/>
    <hyperlink ref="G346" r:id="rId330" display="https://statamic.dev/content-modeling/collections"/>
    <hyperlink ref="G347" r:id="rId331" display="https://docs.octobercms.com/4.x/cms/tailor/blueprints.html"/>
    <hyperlink ref="G348" r:id="rId332" display="https://learn.getgrav.org/20/content/headers"/>
    <hyperlink ref="G349" r:id="rId333" display="https://payloadcms.com/docs/versions/drafts"/>
    <hyperlink ref="G350" r:id="rId334" display="https://github.com/tallcms/tallcms/blob/main/docs/ref-publishing.md"/>
    <hyperlink ref="G351" r:id="rId335" display="https://github.com/lara-zeus/sky/blob/main/src/Enums/PostStatus.php"/>
    <hyperlink ref="G352" r:id="rId336" display="https://wordpress.org/documentation/article/revisions/"/>
    <hyperlink ref="G353" r:id="rId337" display="https://www.drupal.org/docs/user_guide/en/content-revision.html"/>
    <hyperlink ref="G354" r:id="rId338" display="https://craftcms.com/docs/5.x/system/drafts-revisions.html"/>
    <hyperlink ref="G355" r:id="rId339" display="https://plugins.getkirby.com/topics/versioning"/>
    <hyperlink ref="G356" r:id="rId340" display="https://statamic.dev/content-modeling/revisions"/>
    <hyperlink ref="G357" r:id="rId341" display="https://docs.octobercms.com/4.x/extend/database/traits.html"/>
    <hyperlink ref="G358" r:id="rId342" display="https://learn.getgrav.org/20/grav-premium/revisions-pro"/>
    <hyperlink ref="G359" r:id="rId343" display="https://payloadcms.com/docs/versions/overview"/>
    <hyperlink ref="G360" r:id="rId344" display="https://github.com/tallcms/tallcms/blob/main/docs/ref-publishing.md"/>
    <hyperlink ref="G361" r:id="rId345" display="https://github.com/lara-zeus/sky/blob/main/database/migrations/create_posts_table.php.stub"/>
    <hyperlink ref="G362" r:id="rId346" display="https://make.wordpress.org/core/2026/05/14/wordpress-7-0-field-guide/"/>
    <hyperlink ref="G363" r:id="rId347" display="https://www.drupal.org/project/diff"/>
    <hyperlink ref="G364" r:id="rId348" display="https://craftcms.com/docs/5.x/system/drafts-revisions.html"/>
    <hyperlink ref="G365" r:id="rId349" display="https://getkirby.com/releases/5/changes"/>
    <hyperlink ref="G366" r:id="rId350" display="https://statamic.dev/content-modeling/revisions"/>
    <hyperlink ref="G368" r:id="rId351" display="https://learn.getgrav.org/20/grav-premium/revisions-pro"/>
    <hyperlink ref="G369" r:id="rId352" display="https://payloadcms.com/docs/versions/overview"/>
    <hyperlink ref="G370" r:id="rId353" display="https://github.com/tallcms/tallcms/blob/main/docs/ref-publishing.md"/>
    <hyperlink ref="G372" r:id="rId354" display="https://wordpress.org/documentation/article/revisions/"/>
    <hyperlink ref="G373" r:id="rId355" display="https://www.drupal.org/docs/user_guide/en/content-revision.html"/>
    <hyperlink ref="G374" r:id="rId356" display="https://craftcms.com/docs/5.x/system/drafts-revisions.html"/>
    <hyperlink ref="G375" r:id="rId357" display="https://plugins.getkirby.com/topics/versioning"/>
    <hyperlink ref="G376" r:id="rId358" display="https://statamic.dev/content-modeling/revisions"/>
    <hyperlink ref="G377" r:id="rId359" display="https://github.com/octobercms/october/blob/develop/modules/tailor/classes/blueprint/EntryBlueprint.php"/>
    <hyperlink ref="G378" r:id="rId360" display="https://learn.getgrav.org/20/grav-premium/revisions-pro"/>
    <hyperlink ref="G379" r:id="rId361" display="https://payloadcms.com/docs/versions/overview"/>
    <hyperlink ref="G380" r:id="rId362" display="https://github.com/tallcms/tallcms/blob/main/docs/ref-publishing.md"/>
    <hyperlink ref="G382" r:id="rId363" display="https://wordpress.org/documentation/article/schedule-posts/"/>
    <hyperlink ref="G383" r:id="rId364" display="https://www.drupal.org/project/scheduler"/>
    <hyperlink ref="G384" r:id="rId365" display="https://craftcms.com/docs/5.x/reference/element-types/entries.html"/>
    <hyperlink ref="G385" r:id="rId366" display="https://packagist.org/packages/mauricerenck/autopublish"/>
    <hyperlink ref="G386" r:id="rId367" display="https://statamic.dev/advanced-topics/scheduling"/>
    <hyperlink ref="G387" r:id="rId368" display="https://docs.octobercms.com/4.x/cms/tailor/models.html"/>
    <hyperlink ref="G388" r:id="rId369" display="https://learn.getgrav.org/20/content/headers"/>
    <hyperlink ref="G389" r:id="rId370" location="scheduled-publish" display="https://payloadcms.com/docs/versions/drafts#scheduled-publish"/>
    <hyperlink ref="G390" r:id="rId371" display="https://github.com/tallcms/tallcms/blob/main/docs/site-pages-posts.md"/>
    <hyperlink ref="G391" r:id="rId372" display="https://github.com/lara-zeus/sky/blob/main/src/Models/PostScope.php"/>
    <hyperlink ref="G392" r:id="rId373" display="https://wordpress.org/plugins/post-expirator/"/>
    <hyperlink ref="G393" r:id="rId374" display="https://www.drupal.org/project/scheduler"/>
    <hyperlink ref="G394" r:id="rId375" display="https://craftcms.com/docs/5.x/reference/element-types/entries.html"/>
    <hyperlink ref="G395" r:id="rId376" display="https://plugins.getkirby.com/beebmx/scheduler"/>
    <hyperlink ref="G396" r:id="rId377" display="https://statamic.dev/content-modeling/collections"/>
    <hyperlink ref="G397" r:id="rId378" display="https://docs.octobercms.com/4.x/cms/tailor/models.html"/>
    <hyperlink ref="G398" r:id="rId379" display="https://learn.getgrav.org/20/content/headers"/>
    <hyperlink ref="G399" r:id="rId380" location="scheduled-publish" display="https://payloadcms.com/docs/versions/drafts#scheduled-publish"/>
    <hyperlink ref="G400" r:id="rId381" display="https://github.com/tallcms/tallcms/blob/main/docs/ref-publishing.md"/>
    <hyperlink ref="G401" r:id="rId382" display="https://github.com/lara-zeus/sky/blob/main/database/migrations/create_posts_table.php.stub"/>
    <hyperlink ref="G402" r:id="rId383" display="https://wordpress.org/documentation/article/trash-status/"/>
    <hyperlink ref="G403" r:id="rId384" display="https://www.drupal.org/project/trash"/>
    <hyperlink ref="G404" r:id="rId385" display="https://craftcms.com/docs/5.x/reference/element-types/entries.html"/>
    <hyperlink ref="G405" r:id="rId386" display="https://plugins.getkirby.com/sigtrygg-space/kirby-trash"/>
    <hyperlink ref="G407" r:id="rId387" display="https://docs.octobercms.com/4.x/cms/tailor/blueprints.html"/>
    <hyperlink ref="G409" r:id="rId388" display="https://payloadcms.com/docs/trash/overview"/>
    <hyperlink ref="G410" r:id="rId389" display="https://github.com/tallcms/tallcms/blob/main/docs/dev-api.md"/>
    <hyperlink ref="G411" r:id="rId390" display="https://github.com/lara-zeus/sky/blob/main/src/Filament/Resources/PostResource.php"/>
    <hyperlink ref="G412" r:id="rId391" display="https://developer.wordpress.org/block-editor/reference-guides/packages/packages-core-actions/"/>
    <hyperlink ref="G413" r:id="rId392" display="https://www.drupal.org/project/entity_clone"/>
    <hyperlink ref="G414" r:id="rId393" display="https://github.com/craftcms/cms/blob/5.x/CHANGELOG.md"/>
    <hyperlink ref="G415" r:id="rId394" display="https://getkirby.com/releases/5"/>
    <hyperlink ref="G416" r:id="rId395" display="https://statamic.com/blog/duplicating"/>
    <hyperlink ref="G417" r:id="rId396" display="https://github.com/octobercms/october/blob/develop/modules/tailor/controllers/Entries.php"/>
    <hyperlink ref="G418" r:id="rId397" display="https://github.com/getgrav/grav-plugin-api"/>
    <hyperlink ref="G419" r:id="rId398" display="https://payloadcms.com/docs/configuration/collections"/>
    <hyperlink ref="G420" r:id="rId399" display="https://github.com/tallcms/tallcms/blob/main/docs/ref-rich-editor.md"/>
    <hyperlink ref="G421" r:id="rId400" display="https://github.com/lara-zeus/sky/blob/main/src/Filament/Resources/PostResource.php"/>
    <hyperlink ref="G422" r:id="rId401" display="https://wordpress.org/documentation/article/posts-screen/"/>
    <hyperlink ref="G423" r:id="rId402" display="https://www.drupal.org/docs/user_guide/en/content-edit.html"/>
    <hyperlink ref="G424" r:id="rId403" display="https://craftcms.com/docs/5.x/system/searching.html"/>
    <hyperlink ref="G425" r:id="rId404" display="https://getkirby.com/releases/4"/>
    <hyperlink ref="G426" r:id="rId405" display="https://statamic.dev/frontend/search"/>
    <hyperlink ref="G427" r:id="rId406" display="https://docs.octobercms.com/4.x/extend/lists/list-controller.html"/>
    <hyperlink ref="G428" r:id="rId407" display="https://github.com/getgrav/grav-plugin-admin2/blob/develop/CHANGELOG.md"/>
    <hyperlink ref="G429" r:id="rId408" location="list-searchable-fields" display="https://payloadcms.com/docs/configuration/collections#list-searchable-fields"/>
    <hyperlink ref="G430" r:id="rId409" display="https://github.com/tallcms/tallcms/blob/main/docs/ref-search.md"/>
    <hyperlink ref="G431" r:id="rId410" display="https://github.com/lara-zeus/sky/blob/main/src/Filament/Resources/PostResource.php"/>
    <hyperlink ref="G432" r:id="rId411" display="https://wordpress.org/documentation/article/search-block/"/>
    <hyperlink ref="G433" r:id="rId412" display="https://www.drupal.org/node/3488826"/>
    <hyperlink ref="G434" r:id="rId413" display="https://craftcms.com/docs/5.x/system/searching.html"/>
    <hyperlink ref="G435" r:id="rId414" display="https://getkirby.com/docs/reference/objects/cms/pages/search"/>
    <hyperlink ref="G436" r:id="rId415" display="https://statamic.dev/frontend/search"/>
    <hyperlink ref="G437" r:id="rId416" display="https://octobercms.com/plugin/offline-sitesearch"/>
    <hyperlink ref="G438" r:id="rId417" display="https://github.com/getgrav/grav-plugin-simplesearch"/>
    <hyperlink ref="G439" r:id="rId418" display="https://payloadcms.com/docs/plugins/search"/>
    <hyperlink ref="G440" r:id="rId419" display="https://github.com/tallcms/tallcms/blob/main/docs/ref-search.md"/>
    <hyperlink ref="G441" r:id="rId420" display="https://github.com/lara-zeus/sky/blob/main/src/Livewire/Posts.php"/>
    <hyperlink ref="G442" r:id="rId421" location="search-parameters" display="https://developer.wordpress.org/reference/classes/wp_query/#search-parameters"/>
    <hyperlink ref="G443" r:id="rId422" display="https://www.drupal.org/project/search_api"/>
    <hyperlink ref="G444" r:id="rId423" display="https://craftcms.com/docs/5.x/system/searching.html"/>
    <hyperlink ref="G445" r:id="rId424" display="https://getkirby.com/docs/reference/objects/cms/pages/search"/>
    <hyperlink ref="G446" r:id="rId425" display="https://statamic.dev/frontend/search"/>
    <hyperlink ref="G447" r:id="rId426" display="https://octobercms.com/plugin/offline-sitesearch"/>
    <hyperlink ref="G448" r:id="rId427" display="https://github.com/trilbymedia/grav-plugin-tntsearch"/>
    <hyperlink ref="G449" r:id="rId428" display="https://payloadcms.com/docs/queries/overview"/>
    <hyperlink ref="G450" r:id="rId429" display="https://github.com/tallcms/tallcms/blob/main/docs/ref-search.md"/>
    <hyperlink ref="G451" r:id="rId430" display="https://github.com/lara-zeus/sky/blob/main/src/Models/PostScope.php"/>
    <hyperlink ref="G452" r:id="rId431" display="https://wordpress.org/plugins/relevanssi/"/>
    <hyperlink ref="G453" r:id="rId432" display="https://www.drupal.org/project/search_api"/>
    <hyperlink ref="G454" r:id="rId433" display="https://craftcms.com/docs/5.x/system/searching.html"/>
    <hyperlink ref="G455" r:id="rId434" display="https://plugins.getkirby.com/topics/search"/>
    <hyperlink ref="G456" r:id="rId435" display="https://statamic.dev/frontend/search"/>
    <hyperlink ref="G457" r:id="rId436" display="https://octobercms.com/plugin/offline-sitesearch"/>
    <hyperlink ref="G458" r:id="rId437" display="https://github.com/trilbymedia/grav-plugin-tntsearch"/>
    <hyperlink ref="G459" r:id="rId438" display="https://payloadcms.com/docs/database/indexes"/>
    <hyperlink ref="G460" r:id="rId439" display="https://github.com/tallcms/tallcms/blob/main/docs/ref-search.md"/>
    <hyperlink ref="G461" r:id="rId440" display="https://github.com/lara-zeus/sky/blob/main/src/Models/PostScope.php"/>
    <hyperlink ref="G462" r:id="rId441" display="https://jetpack.com/support/search/"/>
    <hyperlink ref="G463" r:id="rId442" display="https://www.drupal.org/project/search_api_solr"/>
    <hyperlink ref="G464" r:id="rId443" display="https://plugins.craftcms.com/scout"/>
    <hyperlink ref="G465" r:id="rId444" display="https://plugins.getkirby.com/topics/search"/>
    <hyperlink ref="G466" r:id="rId445" display="https://statamic.dev/frontend/search"/>
    <hyperlink ref="G467" r:id="rId446" display="https://docs.octobercms.com/4.x/extend/resources/using-laravel-packages.html"/>
    <hyperlink ref="G468" r:id="rId447" display="https://premium.getgrav.org/l/grav-premium-algolia-pro"/>
    <hyperlink ref="G469" r:id="rId448" display="https://github.com/fronttribe/typesense-search"/>
    <hyperlink ref="G470" r:id="rId449" display="https://github.com/tallcms/tallcms/blob/main/docs/ref-search.md"/>
    <hyperlink ref="G472" r:id="rId450" display="https://jetpack.com/support/search/"/>
    <hyperlink ref="G473" r:id="rId451" display="https://www.drupal.org/project/facets"/>
    <hyperlink ref="G474" r:id="rId452" display="https://craftcms.com/docs/5.x/system/elements.html"/>
    <hyperlink ref="G475" r:id="rId453" display="https://getkirby.com/docs/cookbook/collections/filtering"/>
    <hyperlink ref="G476" r:id="rId454" display="https://statamic.dev/frontend/search"/>
    <hyperlink ref="G477" r:id="rId455" display="https://docs.octobercms.com/4.x/element/filter-scopes.html"/>
    <hyperlink ref="G478" r:id="rId456" display="https://learn.getgrav.org/20/grav-premium/yetisearch-pro"/>
    <hyperlink ref="G479" r:id="rId457" display="https://payloadcms.com/docs/queries/overview"/>
    <hyperlink ref="G480" r:id="rId458" display="https://github.com/tallcms/tallcms/blob/main/docs/ref-search.md"/>
    <hyperlink ref="G481" r:id="rId459" display="https://github.com/lara-zeus/sky/blob/main/src/Filament/Resources/PostResource.php"/>
    <hyperlink ref="G482" r:id="rId460" display="https://jetpack.com/support/jetpack-blocks/contact-form/"/>
    <hyperlink ref="G483" r:id="rId461" display="https://www.drupal.org/project/webform"/>
    <hyperlink ref="G484" r:id="rId462" display="https://verbb.io/craft-plugins/formie"/>
    <hyperlink ref="G485" r:id="rId463" display="https://plugins.getkirby.com/tobimori/dreamform"/>
    <hyperlink ref="G486" r:id="rId464" display="https://statamic.dev/frontend/forms"/>
    <hyperlink ref="G487" r:id="rId465" display="https://octobercms.com/support/article/rn-43"/>
    <hyperlink ref="G488" r:id="rId466" display="https://github.com/getgrav/grav-plugin-form"/>
    <hyperlink ref="G489" r:id="rId467" display="https://payloadcms.com/docs/plugins/form-builder"/>
    <hyperlink ref="G490" r:id="rId468" display="https://github.com/tallcms/tallcms/blob/main/docs/site-blocks-contact-form.md"/>
    <hyperlink ref="G491" r:id="rId469" display="https://github.com/lara-zeus/bolt"/>
    <hyperlink ref="G492" r:id="rId470" display="https://jetpack.com/support/jetpack-blocks/contact-form/"/>
    <hyperlink ref="G493" r:id="rId471" display="https://project.pages.drupalcode.org/drupal_cms/customize/contact-form/"/>
    <hyperlink ref="G494" r:id="rId472" display="https://verbb.io/craft-plugins/formie"/>
    <hyperlink ref="G495" r:id="rId473" display="https://plugins.getkirby.com/tobimori/dreamform"/>
    <hyperlink ref="G496" r:id="rId474" display="https://statamic.dev/frontend/forms"/>
    <hyperlink ref="G497" r:id="rId475" display="https://docs.octobercms.com/4.x/cms/tailor/blueprints.html"/>
    <hyperlink ref="G498" r:id="rId476" display="https://learn.getgrav.org/20/forms/forms/reference-form-actions"/>
    <hyperlink ref="G499" r:id="rId477" display="https://payloadcms.com/docs/plugins/form-builder"/>
    <hyperlink ref="G500" r:id="rId478" display="https://github.com/tallcms/tallcms/blob/main/docs/site-blocks-contact-form.md"/>
    <hyperlink ref="G501" r:id="rId479" display="https://github.com/lara-zeus/bolt"/>
    <hyperlink ref="G502" r:id="rId480" display="https://jetpack.com/support/jetpack-blocks/contact-form/"/>
    <hyperlink ref="G503" r:id="rId481" display="https://www.drupal.org/project/webform"/>
    <hyperlink ref="G504" r:id="rId482" display="https://plugins.craftcms.com/contact-form"/>
    <hyperlink ref="G505" r:id="rId483" display="https://plugins.getkirby.com/topics/forms"/>
    <hyperlink ref="G506" r:id="rId484" display="https://statamic.dev/frontend/forms"/>
    <hyperlink ref="G507" r:id="rId485" display="https://docs.octobercms.com/4.x/cms/tailor/blueprints.html"/>
    <hyperlink ref="G508" r:id="rId486" display="https://learn.getgrav.org/20/forms/forms/reference-form-actions"/>
    <hyperlink ref="G509" r:id="rId487" display="https://payloadcms.com/docs/plugins/form-builder"/>
    <hyperlink ref="G510" r:id="rId488" display="https://github.com/tallcms/tallcms/blob/main/docs/site-blocks-contact-form.md"/>
    <hyperlink ref="G511" r:id="rId489" display="https://github.com/lara-zeus/bolt"/>
    <hyperlink ref="G512" r:id="rId490" display="https://jetpack.com/support/jetpack-blocks/contact-form/"/>
    <hyperlink ref="G513" r:id="rId491" display="https://www.drupal.org/project/honeypot"/>
    <hyperlink ref="G514" r:id="rId492" display="https://github.com/craftcms/contact-form-honeypot"/>
    <hyperlink ref="G515" r:id="rId493" display="https://plugins.getkirby.com/topics/forms"/>
    <hyperlink ref="G516" r:id="rId494" display="https://statamic.dev/frontend/forms"/>
    <hyperlink ref="G517" r:id="rId495" display="https://octobercms.com/support/article/rn-43"/>
    <hyperlink ref="G518" r:id="rId496" display="https://github.com/getgrav/grav-plugin-form/blob/develop/CHANGELOG.md"/>
    <hyperlink ref="G520" r:id="rId497" display="https://github.com/tallcms/tallcms/tree/main/packages/tallcms/cms/src/Http/Controllers/ContactFormController.php"/>
    <hyperlink ref="G522" r:id="rId498" display="https://jetpack.com/support/jetpack-blocks/contact-form/"/>
    <hyperlink ref="G523" r:id="rId499" display="https://www.drupal.org/project/webform"/>
    <hyperlink ref="G524" r:id="rId500" display="https://verbb.io/craft-plugins/formie"/>
    <hyperlink ref="G525" r:id="rId501" display="https://plugins.getkirby.com/tobimori/dreamform"/>
    <hyperlink ref="G526" r:id="rId502" display="https://statamic.dev/control-panel/conditional-fields"/>
    <hyperlink ref="G527" r:id="rId503" display="https://docs.octobercms.com/4.x/cms/tailor/blueprints.html"/>
    <hyperlink ref="G528" r:id="rId504" display="https://github.com/getgrav/grav-plugin-form/blob/develop/CHANGELOG.md"/>
    <hyperlink ref="G529" r:id="rId505" location="price-conditions" display="https://payloadcms.com/docs/plugins/form-builder#price-conditions"/>
    <hyperlink ref="G530" r:id="rId506" display="https://github.com/tallcms/tallcms/blob/main/docs/site-blocks-contact-form.md"/>
    <hyperlink ref="G531" r:id="rId507" display="https://github.com/lara-zeus/bolt"/>
    <hyperlink ref="G532" r:id="rId508" display="https://jetpack.com/support/jetpack-blocks/contact-form/"/>
    <hyperlink ref="G533" r:id="rId509" display="https://www.drupal.org/project/webform"/>
    <hyperlink ref="G534" r:id="rId510" display="https://github.com/craftcms/contact-form"/>
    <hyperlink ref="G535" r:id="rId511" display="https://plugins.getkirby.com/tobimori/dreamform"/>
    <hyperlink ref="G536" r:id="rId512" display="https://statamic.dev/frontend/forms"/>
    <hyperlink ref="G537" r:id="rId513" display="https://octobercms.com/support/article/rn-43"/>
    <hyperlink ref="G538" r:id="rId514" display="https://github.com/getgrav/grav-plugin-form/blob/develop/CHANGELOG.md"/>
    <hyperlink ref="G539" r:id="rId515" location="upload" display="https://payloadcms.com/docs/plugins/form-builder#upload"/>
    <hyperlink ref="G540" r:id="rId516" display="https://github.com/tallcms/tallcms/tree/main/packages/tallcms/cms/src/Filament/Blocks/ContactFormBlock.php"/>
    <hyperlink ref="G541" r:id="rId517" display="https://github.com/lara-zeus/bolt"/>
    <hyperlink ref="G542" r:id="rId518" display="https://jetpack.com/support/jetpack-blocks/contact-form/"/>
    <hyperlink ref="G543" r:id="rId519" display="https://www.drupal.org/project/webform"/>
    <hyperlink ref="G544" r:id="rId520" display="https://verbb.io/craft-plugins/formie"/>
    <hyperlink ref="G545" r:id="rId521" display="https://plugins.getkirby.com/tobimori/dreamform"/>
    <hyperlink ref="G546" r:id="rId522" display="https://statamic.dev/frontend/forms"/>
    <hyperlink ref="G547" r:id="rId523" display="https://octobercms.com/support/article/rn-42"/>
    <hyperlink ref="G548" r:id="rId524" display="https://learn.getgrav.org/20/forms/forms/reference-form-actions"/>
    <hyperlink ref="G549" r:id="rId525" display="https://payloadcms.com/docs/plugins/import-export"/>
    <hyperlink ref="G550" r:id="rId526" display="https://github.com/tallcms/tallcms/tree/main/packages/tallcms/cms/src/Filament/Resources/TallcmsContactSubmissions"/>
    <hyperlink ref="G551" r:id="rId527" display="https://github.com/lara-zeus/bolt"/>
    <hyperlink ref="G552" r:id="rId528" display="https://developer.wordpress.org/plugins/users/roles-and-capabilities/"/>
    <hyperlink ref="G553" r:id="rId529" display="https://www.drupal.org/docs/user_guide/en/user-new-role.html"/>
    <hyperlink ref="G554" r:id="rId530" display="https://craftcms.com/pricing"/>
    <hyperlink ref="G555" r:id="rId531" display="https://getkirby.com/docs/guide/users/permissions"/>
    <hyperlink ref="G556" r:id="rId532" display="https://statamic.dev/getting-started/licensing"/>
    <hyperlink ref="G557" r:id="rId533" display="https://docs.octobercms.com/4.x/extend/backend/permissions.html"/>
    <hyperlink ref="G558" r:id="rId534" display="https://github.com/getgrav/grav-plugin-api"/>
    <hyperlink ref="G559" r:id="rId535" display="https://payloadcms.com/docs/access-control/overview"/>
    <hyperlink ref="G560" r:id="rId536" display="https://github.com/tallcms/tallcms/blob/main/docs/ref-roles-authorization.md"/>
    <hyperlink ref="G561" r:id="rId537" display="https://filamentphp.com/plugins/bezhansalleh-shield"/>
    <hyperlink ref="G562" r:id="rId538" display="https://developer.wordpress.org/plugins/users/roles-and-capabilities/"/>
    <hyperlink ref="G563" r:id="rId539" display="https://www.drupal.org/node/3385551"/>
    <hyperlink ref="G564" r:id="rId540" display="https://craftcms.com/docs/5.x/system/user-management.html"/>
    <hyperlink ref="G565" r:id="rId541" display="https://getkirby.com/docs/guide/users/permissions"/>
    <hyperlink ref="G566" r:id="rId542" display="https://statamic.dev/control-panel/permissions"/>
    <hyperlink ref="G567" r:id="rId543" display="https://docs.octobercms.com/4.x/extend/backend/permissions.html"/>
    <hyperlink ref="G568" r:id="rId544" display="https://github.com/getgrav/grav-plugin-api"/>
    <hyperlink ref="G569" r:id="rId545" display="https://payloadcms.com/docs/access-control/collections"/>
    <hyperlink ref="G570" r:id="rId546" display="https://github.com/tallcms/tallcms/blob/main/docs/ref-roles-authorization.md"/>
    <hyperlink ref="G571" r:id="rId547" display="https://filamentphp.com/docs/5.x/resources/overview"/>
    <hyperlink ref="G572" r:id="rId548" display="https://www.acf-extended.com/"/>
    <hyperlink ref="G573" r:id="rId549" display="https://www.drupal.org/project/field_permissions"/>
    <hyperlink ref="G574" r:id="rId550" display="https://craftcms.com/docs/5.x/system/user-management.html"/>
    <hyperlink ref="G575" r:id="rId551" display="https://getkirby.com/docs/guide/blueprints/extending-blueprints"/>
    <hyperlink ref="G576" r:id="rId552" display="https://statamic.dev/control-panel/permissions"/>
    <hyperlink ref="G577" r:id="rId553" display="https://docs.octobercms.com/4.x/element/form-fields.html"/>
    <hyperlink ref="G578" r:id="rId554" display="https://github.com/trilbymedia/grav-plugin-flex-objects"/>
    <hyperlink ref="G579" r:id="rId555" display="https://payloadcms.com/docs/access-control/fields"/>
    <hyperlink ref="G582" r:id="rId556" display="https://developer.wordpress.org/plugins/users/roles-and-capabilities/"/>
    <hyperlink ref="G583" r:id="rId557" display="https://www.drupal.org/docs/administering-a-drupal-site/managing-access"/>
    <hyperlink ref="G584" r:id="rId558" display="https://craftcms.com/docs/5.x/system/user-management.html"/>
    <hyperlink ref="G585" r:id="rId559" display="https://getkirby.com/docs/guide/users/permissions"/>
    <hyperlink ref="G586" r:id="rId560" display="https://statamic.dev/control-panel/permissions"/>
    <hyperlink ref="G587" r:id="rId561" display="https://github.com/octobercms/october/blob/develop/modules/tailor/classes/PermissionItem.php"/>
    <hyperlink ref="G588" r:id="rId562" display="https://github.com/getgrav/grav-plugin-api"/>
    <hyperlink ref="G589" r:id="rId563" display="https://payloadcms.com/docs/access-control/overview"/>
    <hyperlink ref="G590" r:id="rId564" display="https://github.com/tallcms/tallcms/blob/main/docs/ref-roles-authorization.md"/>
    <hyperlink ref="G591" r:id="rId565" display="https://github.com/lara-zeus/sky/blob/main/src/Livewire/Post.php"/>
    <hyperlink ref="G592" r:id="rId566" display="https://wordpress.org/documentation/article/settings-general-screen/"/>
    <hyperlink ref="G593" r:id="rId567" display="https://www.drupal.org/docs/user_guide/en/user-registration.html"/>
    <hyperlink ref="G594" r:id="rId568" display="https://craftcms.com/docs/5.x/system/user-management.html"/>
    <hyperlink ref="G595" r:id="rId569" display="https://getkirby.com/docs/guide/users/permissions"/>
    <hyperlink ref="G596" r:id="rId570" display="https://statamic.dev/control-panel/users"/>
    <hyperlink ref="G597" r:id="rId571" display="https://octobercms.com/plugin/rainlab-user"/>
    <hyperlink ref="G598" r:id="rId572" display="https://github.com/getgrav/grav-plugin-login"/>
    <hyperlink ref="G599" r:id="rId573" display="https://payloadcms.com/docs/authentication/overview"/>
    <hyperlink ref="G600" r:id="rId574" display="https://github.com/tallcms/tallcms/blob/main/docs/site-multisite.md"/>
    <hyperlink ref="G601" r:id="rId575" display="https://larazeus.com/docs/sky/v5/getting-started/configuration"/>
    <hyperlink ref="G602" r:id="rId576" display="https://wordpress.org/plugins/two-factor/"/>
    <hyperlink ref="G603" r:id="rId577" display="https://www.drupal.org/project/tfa"/>
    <hyperlink ref="G604" r:id="rId578" display="https://craftcms.com/docs/5.x/system/user-management.html"/>
    <hyperlink ref="G605" r:id="rId579" display="https://getkirby.com/docs/guide/authentication/two-factor-auth"/>
    <hyperlink ref="G606" r:id="rId580" display="https://statamic.dev/control-panel/users"/>
    <hyperlink ref="G607" r:id="rId581" display="https://octobercms.com/plugin/vdlp-twofactorauthentication"/>
    <hyperlink ref="G608" r:id="rId582" display="https://github.com/getgrav/grav-plugin-login"/>
    <hyperlink ref="G609" r:id="rId583" display="https://app.unpkg.com/payload-totp@3.0.0-beta.3/files/README.md"/>
    <hyperlink ref="G610" r:id="rId584" display="https://tallcms.com"/>
    <hyperlink ref="G611" r:id="rId585" display="https://filamentphp.com/docs/5.x/users/multi-factor-authentication"/>
    <hyperlink ref="G612" r:id="rId586" display="https://jetpack.com/support/sso/"/>
    <hyperlink ref="G613" r:id="rId587" display="https://www.drupal.org/project/openid_connect"/>
    <hyperlink ref="G614" r:id="rId588" display="https://craftcms.com/pricing"/>
    <hyperlink ref="G615" r:id="rId589" display="https://plugins.getkirby.com/topics/authentication"/>
    <hyperlink ref="G616" r:id="rId590" display="https://statamic.dev/advanced-topics/oauth"/>
    <hyperlink ref="G617" r:id="rId591" display="https://octobercms.com/plugins?search=oauth"/>
    <hyperlink ref="G618" r:id="rId592" display="https://github.com/trilbymedia/grav-plugin-login-oauth2"/>
    <hyperlink ref="G619" r:id="rId593" display="https://payloadcms.com/enterprise"/>
    <hyperlink ref="G620" r:id="rId594" display="https://github.com/tallcms/tallcms/blob/main/docs/ref-filament-ecosystem.md"/>
    <hyperlink ref="G621" r:id="rId595" display="https://larazeus.com/docs/sky/v5/advanced/models"/>
    <hyperlink ref="G622" r:id="rId596" display="https://wordpress.org/plugins/user-switching/"/>
    <hyperlink ref="G623" r:id="rId597" display="https://www.drupal.org/project/masquerade"/>
    <hyperlink ref="G624" r:id="rId598" display="https://craftcms.com/docs/5.x/system/user-management.html"/>
    <hyperlink ref="G625" r:id="rId599" display="https://getkirby.com/docs/guide/users/permissions"/>
    <hyperlink ref="G626" r:id="rId600" display="https://statamic.dev/control-panel/users"/>
    <hyperlink ref="G627" r:id="rId601" display="https://github.com/octobercms/october/blob/develop/modules/backend/controllers/UserRoles.php"/>
    <hyperlink ref="G630" r:id="rId602" display="https://github.com/tallcms/tallcms/blob/main/docs/ref-filament-ecosystem.md"/>
    <hyperlink ref="G631" r:id="rId603" display="https://filamentphp.com/plugins/joseph-szobody-impersonate"/>
    <hyperlink ref="G632" r:id="rId604" display="https://wordpress.org/plugins/groups/"/>
    <hyperlink ref="G633" r:id="rId605" display="https://www.drupal.org/project/group"/>
    <hyperlink ref="G634" r:id="rId606" display="https://craftcms.com/pricing"/>
    <hyperlink ref="G635" r:id="rId607" display="https://getkirby.com/docs/guide/users/permissions"/>
    <hyperlink ref="G636" r:id="rId608" display="https://statamic.dev/control-panel/user-groups"/>
    <hyperlink ref="G637" r:id="rId609" display="https://docs.octobercms.com/4.x/extend/backend/users.html"/>
    <hyperlink ref="G638" r:id="rId610" display="https://github.com/getgrav/grav-plugin-api"/>
    <hyperlink ref="G639" r:id="rId611" display="https://payloadcms.com/docs/plugins/multi-tenant"/>
    <hyperlink ref="G642" r:id="rId612" display="https://developer.wordpress.org/reference/functions/register_post_status/"/>
    <hyperlink ref="G643" r:id="rId613" display="https://www.drupal.org/docs/core-modules-and-themes/core-modules/workflows-module"/>
    <hyperlink ref="G644" r:id="rId614" display="https://craftcms.com/docs/5.x/system/elements.html"/>
    <hyperlink ref="G645" r:id="rId615" display="https://getkirby.com/docs/guide/content/publishing-workflow"/>
    <hyperlink ref="G646" r:id="rId616" display="https://statamic.dev/content-modeling/collections"/>
    <hyperlink ref="G647" r:id="rId617" display="https://github.com/octobercms/october/blob/develop/modules/tailor/models/entryrecord/HasStatusScopes.php"/>
    <hyperlink ref="G648" r:id="rId618" display="https://github.com/getgrav/grav-plugin-admin2/blob/develop/CHANGELOG.md"/>
    <hyperlink ref="G649" r:id="rId619" display="https://payloadcms.com/docs/versions/drafts"/>
    <hyperlink ref="G650" r:id="rId620" display="https://github.com/tallcms/tallcms/tree/main/packages/tallcms/cms/src/Enums/ContentStatus.php"/>
    <hyperlink ref="G651" r:id="rId621" display="https://larazeus.com/docs/sky/v5/getting-started/upgrade"/>
    <hyperlink ref="G652" r:id="rId622" display="https://wordpress.org/documentation/article/post-status/"/>
    <hyperlink ref="G653" r:id="rId623" display="https://www.drupal.org/docs/core-modules-and-themes/core-modules/content-moderation-module"/>
    <hyperlink ref="G654" r:id="rId624" display="https://verbb.io/craft-plugins/workflow"/>
    <hyperlink ref="G655" r:id="rId625" display="https://getkirby.com/docs/guide/content/publishing-workflow"/>
    <hyperlink ref="G656" r:id="rId626" display="https://statamic.dev/control-panel/permissions"/>
    <hyperlink ref="G657" r:id="rId627" display="https://github.com/octobercms/october/blob/develop/modules/tailor/controllers/Entries.php"/>
    <hyperlink ref="G658" r:id="rId628" display="https://github.com/getgrav/grav-plugin-api"/>
    <hyperlink ref="G659" r:id="rId629" display="https://payloadcms.com/enterprise"/>
    <hyperlink ref="G660" r:id="rId630" display="https://github.com/tallcms/tallcms/blob/main/docs/ref-publishing.md"/>
    <hyperlink ref="G661" r:id="rId631" display="https://github.com/lara-zeus/sky/blob/main/src/Enums/PostStatus.php"/>
    <hyperlink ref="G662" r:id="rId632" display="https://wordpress.org/plugins/publishpress/"/>
    <hyperlink ref="G663" r:id="rId633" display="https://www.drupal.org/project/moderation_note"/>
    <hyperlink ref="G664" r:id="rId634" display="https://verbb.io/craft-plugins/workflow/docs/feature-tour/reviewers"/>
    <hyperlink ref="G665" r:id="rId635" display="https://getkirby.com/docs/guide/content/publishing-workflow"/>
    <hyperlink ref="G666" r:id="rId636" display="https://statamic.com/roadmap"/>
    <hyperlink ref="G669" r:id="rId637" display="https://payloadcms.com/enterprise"/>
    <hyperlink ref="G670" r:id="rId638" display="https://github.com/tallcms/tallcms/blob/main/docs/ref-publishing.md"/>
    <hyperlink ref="G672" r:id="rId639" display="https://wordpress.org/news/2026/08/mary-lou/"/>
    <hyperlink ref="G673" r:id="rId640" display="https://www.drupal.org/project/moderation_note"/>
    <hyperlink ref="G674" r:id="rId641" display="https://craftcms.com/docs/5.x/system/drafts-revisions.html"/>
    <hyperlink ref="G675" r:id="rId642" display="https://getkirby.com/docs/guide/content/publishing-workflow"/>
    <hyperlink ref="G677" r:id="rId643" display="https://github.com/octobercms/october/blob/develop/modules/tailor/vuecomponents/DraftNotes.php"/>
    <hyperlink ref="G678" r:id="rId644" display="https://learn.getgrav.org/20/grav-premium"/>
    <hyperlink ref="G679" r:id="rId645" display="https://payloadcms.com/enterprise"/>
    <hyperlink ref="G680" r:id="rId646" display="https://github.com/tallcms/tallcms/blob/main/docs/ref-publishing.md"/>
    <hyperlink ref="G681" r:id="rId647" display="https://larazeus.com/docs/sky/v5/introduction"/>
    <hyperlink ref="G682" r:id="rId648" display="https://developer.wordpress.org/plugins/javascript/heartbeat-api/"/>
    <hyperlink ref="G683" r:id="rId649" display="https://www.drupal.org/project/content_lock"/>
    <hyperlink ref="G684" r:id="rId650" display="https://craftcms.com/docs/5.x/system/control-panel.html"/>
    <hyperlink ref="G685" r:id="rId651" display="https://getkirby.com/docs/guide/content/publishing-workflow"/>
    <hyperlink ref="G686" r:id="rId652" display="https://statamic.dev/control-panel/multi-user-collaboration"/>
    <hyperlink ref="G687" r:id="rId653" display="https://github.com/octobercms/october/blob/develop/modules/editor/vuecomponents/EditorConflictResolver.php"/>
    <hyperlink ref="G688" r:id="rId654" display="https://github.com/getgrav/grav-plugin-api"/>
    <hyperlink ref="G689" r:id="rId655" display="https://payloadcms.com/docs/admin/locked-documents"/>
    <hyperlink ref="G692" r:id="rId656" display="https://make.wordpress.org/core/tag/collaboration/"/>
    <hyperlink ref="G693" r:id="rId657" display="https://www.drupal.org/project/ckeditor5_premium_features"/>
    <hyperlink ref="G694" r:id="rId658" display="https://github.com/craftcms/cms/blob/5.x/CHANGELOG.md"/>
    <hyperlink ref="G695" r:id="rId659" display="https://getkirby.com/releases/5"/>
    <hyperlink ref="G696" r:id="rId660" display="https://github.com/statamic/collaboration"/>
    <hyperlink ref="G698" r:id="rId661" display="https://github.com/getgrav/grav-plugin-sync"/>
    <hyperlink ref="G699" r:id="rId662" display="https://payloadcms.com/enterprise"/>
    <hyperlink ref="G702" r:id="rId663" display="https://wordpress.org/news/2026/08/mary-lou/"/>
    <hyperlink ref="G703" r:id="rId664" display="https://www.drupal.org/project/message"/>
    <hyperlink ref="G705" r:id="rId665" display="https://getkirby.com/releases/5"/>
    <hyperlink ref="G706" r:id="rId666" display="https://statamic.dev/control-panel/toast-notifications"/>
    <hyperlink ref="G707" r:id="rId667" display="https://octobercms.com/author/RainLab"/>
    <hyperlink ref="G708" r:id="rId668" display="https://github.com/getgrav/grav-plugin-admin2"/>
    <hyperlink ref="G709" r:id="rId669" display="https://payloadcms.com/enterprise"/>
    <hyperlink ref="G710" r:id="rId670" display="https://github.com/tallcms/tallcms/blob/main/docs/ref-publishing.md"/>
    <hyperlink ref="G711" r:id="rId671" display="https://filamentphp.com/docs/5.x/notifications/database-notifications"/>
    <hyperlink ref="G712" r:id="rId672" display="https://wordpress.org/plugins/bnfw/"/>
    <hyperlink ref="G713" r:id="rId673" display="https://www.drupal.org/project/easy_email"/>
    <hyperlink ref="G714" r:id="rId674" display="https://craftcms.com/docs/5.x/system/mail.html"/>
    <hyperlink ref="G715" r:id="rId675" display="https://getkirby.com/docs/guide/emails"/>
    <hyperlink ref="G716" r:id="rId676" display="https://statamic.dev/frontend/forms"/>
    <hyperlink ref="G717" r:id="rId677" display="https://docs.octobercms.com/4.x/extend/system/sending-mail.html"/>
    <hyperlink ref="G718" r:id="rId678" display="https://github.com/getgrav/grav-plugin-email"/>
    <hyperlink ref="G719" r:id="rId679" display="https://payloadcms.com/docs/authentication/email"/>
    <hyperlink ref="G720" r:id="rId680" display="https://github.com/tallcms/tallcms/tree/main/packages/tallcms/cms/src/Mail"/>
    <hyperlink ref="G722" r:id="rId681" display="https://developer.wordpress.org/reference/hooks/phpmailer_init/"/>
    <hyperlink ref="G723" r:id="rId682" display="https://www.drupal.org/node/3369935"/>
    <hyperlink ref="G724" r:id="rId683" display="https://craftcms.com/docs/5.x/system/mail.html"/>
    <hyperlink ref="G725" r:id="rId684" display="https://getkirby.com/docs/guide/emails"/>
    <hyperlink ref="G726" r:id="rId685" display="https://statamic.dev/advanced-topics/email"/>
    <hyperlink ref="G727" r:id="rId686" display="https://docs.octobercms.com/4.x/setup/mail-config.html"/>
    <hyperlink ref="G728" r:id="rId687" display="https://github.com/getgrav/grav-plugin-email"/>
    <hyperlink ref="G729" r:id="rId688" display="https://payloadcms.com/docs/email/overview"/>
    <hyperlink ref="G730" r:id="rId689" display="https://github.com/tallcms/tallcms/blob/main/docs/gs-installation.md"/>
    <hyperlink ref="G731" r:id="rId690" display="https://laravel.com/docs/mail"/>
    <hyperlink ref="G732" r:id="rId691" display="https://jetpack.com/newsletter/"/>
    <hyperlink ref="G733" r:id="rId692" display="https://www.drupal.org/project/simplenews"/>
    <hyperlink ref="G734" r:id="rId693" display="https://plugins.craftcms.com/campaign"/>
    <hyperlink ref="G735" r:id="rId694" display="https://github.com/bnomei/kirby-mailjet"/>
    <hyperlink ref="G736" r:id="rId695" display="https://statamic.com/newsletter/2026-08"/>
    <hyperlink ref="G737" r:id="rId696" display="https://octobercms.com/author/Responsiv"/>
    <hyperlink ref="G738" r:id="rId697" display="https://learn.getgrav.org/20/grav-premium/mailroom"/>
    <hyperlink ref="G740" r:id="rId698" display="https://github.com/tallcms/tallcms/blob/main/docs/ref-pro-email-marketing.md"/>
    <hyperlink ref="G742" r:id="rId699" display="https://wordpress.org/plugins/wp-webhooks/"/>
    <hyperlink ref="G743" r:id="rId700" display="https://www.drupal.org/project/eca"/>
    <hyperlink ref="G744" r:id="rId701" display="https://plugins.craftcms.com/webhooks"/>
    <hyperlink ref="G745" r:id="rId702" display="https://plugins.getkirby.com/topics/routing"/>
    <hyperlink ref="G746" r:id="rId703" display="https://statamic.com/addons/gydo-makkinga/hooker"/>
    <hyperlink ref="G748" r:id="rId704" display="https://github.com/getgrav/grav-plugin-api"/>
    <hyperlink ref="G749" r:id="rId705" display="https://payloadcms.com/docs/hooks/collections"/>
    <hyperlink ref="G750" r:id="rId706" display="https://github.com/tallcms/tallcms/blob/main/docs/dev-api.md"/>
    <hyperlink ref="G752" r:id="rId707" display="https://wordpress.org/about/roadmap/"/>
    <hyperlink ref="G753" r:id="rId708" display="https://www.drupal.org/docs/multilingual-guide"/>
    <hyperlink ref="G754" r:id="rId709" display="https://craftcms.com/docs/5.x/system/sites.html"/>
    <hyperlink ref="G755" r:id="rId710" display="https://getkirby.com/docs/guide/languages"/>
    <hyperlink ref="G756" r:id="rId711" display="https://statamic.dev/control-panel/multi-site"/>
    <hyperlink ref="G757" r:id="rId712" display="https://docs.octobercms.com/4.x/cms/multisite/multisite.html"/>
    <hyperlink ref="G758" r:id="rId713" display="https://learn.getgrav.org/17/basics/grav-configuration"/>
    <hyperlink ref="G759" r:id="rId714" display="https://payloadcms.com/docs/configuration/localization"/>
    <hyperlink ref="G760" r:id="rId715" display="https://github.com/tallcms/tallcms/blob/main/docs/ref-i18n.md"/>
    <hyperlink ref="G761" r:id="rId716" display="https://larazeus.com/docs/sky/v5/getting-started/installation"/>
    <hyperlink ref="G762" r:id="rId717" display="https://wpml.org/"/>
    <hyperlink ref="G763" r:id="rId718" display="https://www.drupal.org/docs/multilingual-guide"/>
    <hyperlink ref="G764" r:id="rId719" display="https://craftcms.com/docs/5.x/system/sites.html"/>
    <hyperlink ref="G765" r:id="rId720" display="https://getkirby.com/docs/guide/languages/translating-content"/>
    <hyperlink ref="G766" r:id="rId721" display="https://statamic.dev/control-panel/multi-site"/>
    <hyperlink ref="G767" r:id="rId722" display="https://octobercms.com/support/article/rn-41"/>
    <hyperlink ref="G768" r:id="rId723" display="https://github.com/getgrav/grav-plugin-api"/>
    <hyperlink ref="G769" r:id="rId724" display="https://payloadcms.com/docs/configuration/localization"/>
    <hyperlink ref="G770" r:id="rId725" display="https://github.com/tallcms/tallcms/blob/main/docs/ref-i18n.md"/>
    <hyperlink ref="G771" r:id="rId726" display="https://github.com/lara-zeus/sky/blob/main/src/Models/Post.php"/>
    <hyperlink ref="G772" r:id="rId727" display="https://wpml.org/"/>
    <hyperlink ref="G773" r:id="rId728" display="https://www.drupal.org/project/tmgmt"/>
    <hyperlink ref="G774" r:id="rId729" display="https://craftcms.com/docs/5.x/system/sites.html"/>
    <hyperlink ref="G775" r:id="rId730" display="https://plugins.getkirby.com/topics/internationalisation"/>
    <hyperlink ref="G776" r:id="rId731" display="https://statamic.dev/control-panel/multi-site"/>
    <hyperlink ref="G777" r:id="rId732" display="https://docs.octobercms.com/4.x/cms/multisite/tailor.html"/>
    <hyperlink ref="G778" r:id="rId733" display="https://github.com/getgrav/grav-plugin-admin2"/>
    <hyperlink ref="G779" r:id="rId734" location="status-localization" display="https://payloadcms.com/docs/configuration/localization#status-localization"/>
    <hyperlink ref="G780" r:id="rId735" display="https://github.com/tallcms/tallcms/blob/main/docs/ref-i18n.md"/>
    <hyperlink ref="G781" r:id="rId736" display="https://github.com/lara-zeus/sky/blob/main/src/Models/Post.php"/>
    <hyperlink ref="G782" r:id="rId737" display="https://wpml.org/"/>
    <hyperlink ref="G783" r:id="rId738" display="https://www.drupal.org/docs/multilingual-guide"/>
    <hyperlink ref="G784" r:id="rId739" display="https://craftcms.com/docs/5.x/system/sites.html"/>
    <hyperlink ref="G785" r:id="rId740" display="https://getkirby.com/docs/guide/languages/translating-content"/>
    <hyperlink ref="G786" r:id="rId741" display="https://statamic.dev/content-modeling/data-inheritance"/>
    <hyperlink ref="G787" r:id="rId742" display="https://docs.octobercms.com/4.x/extend/multisite/translatable.html"/>
    <hyperlink ref="G788" r:id="rId743" display="https://learn.getgrav.org/17/basics/grav-configuration"/>
    <hyperlink ref="G789" r:id="rId744" display="https://payloadcms.com/docs/configuration/localization"/>
    <hyperlink ref="G790" r:id="rId745" display="https://github.com/tallcms/tallcms/blob/main/docs/ref-i18n.md"/>
    <hyperlink ref="G791" r:id="rId746" display="https://spatie.be/docs/laravel-translatable/v6/basic-usage/handling-missing-translations"/>
    <hyperlink ref="G792" r:id="rId747" display="https://wordpress.org/documentation/article/create-a-network/"/>
    <hyperlink ref="G793" r:id="rId748" display="https://www.drupal.org/docs/getting-started/multisite-drupal"/>
    <hyperlink ref="G794" r:id="rId749" display="https://craftcms.com/docs/5.x/system/sites.html"/>
    <hyperlink ref="G795" r:id="rId750" display="https://getkirby.com/docs/guide/configuration"/>
    <hyperlink ref="G796" r:id="rId751" display="https://statamic.dev/control-panel/multi-site"/>
    <hyperlink ref="G797" r:id="rId752" display="https://docs.octobercms.com/4.x/cms/multisite/multisite.html"/>
    <hyperlink ref="G798" r:id="rId753" display="https://learn.getgrav.org/20/advanced/multisite-setup"/>
    <hyperlink ref="G799" r:id="rId754" display="https://payloadcms.com/docs/plugins/multi-tenant"/>
    <hyperlink ref="G800" r:id="rId755" display="https://github.com/tallcms/tallcms/blob/main/docs/site-multisite.md"/>
    <hyperlink ref="G801" r:id="rId756" display="https://larazeus.com/docs/sky/v5/getting-started/configuration"/>
    <hyperlink ref="G802" r:id="rId757" display="https://wordpress.org/plugins/threewp-broadcast/"/>
    <hyperlink ref="G803" r:id="rId758" display="https://www.drupal.org/project/domain"/>
    <hyperlink ref="G804" r:id="rId759" display="https://craftcms.com/docs/5.x/system/sites.html"/>
    <hyperlink ref="G806" r:id="rId760" display="https://statamic.dev/control-panel/multi-site"/>
    <hyperlink ref="G807" r:id="rId761" display="https://docs.octobercms.com/4.x/cms/multisite/tailor.html"/>
    <hyperlink ref="G808" r:id="rId762" display="https://learn.getgrav.org/20/advanced/multisite-setup"/>
    <hyperlink ref="G809" r:id="rId763" display="https://payloadcms.com/docs/plugins/multi-tenant"/>
    <hyperlink ref="G810" r:id="rId764" display="https://github.com/tallcms/tallcms/blob/main/docs/site-multisite.md"/>
    <hyperlink ref="G812" r:id="rId765" display="https://developer.wordpress.org/themes/advanced-topics/right-to-left-language-support/"/>
    <hyperlink ref="G813" r:id="rId766" display="https://www.drupal.org/docs/multilingual-guide"/>
    <hyperlink ref="G814" r:id="rId767" display="https://craftcms.com/docs/5.x/system/control-panel.html"/>
    <hyperlink ref="G815" r:id="rId768" display="https://getkirby.com/docs/guide/languages"/>
    <hyperlink ref="G816" r:id="rId769" display="https://statamic.dev/control-panel/multi-site"/>
    <hyperlink ref="G818" r:id="rId770" display="https://github.com/getgrav/grav-plugin-admin2/blob/develop/CHANGELOG.md"/>
    <hyperlink ref="G819" r:id="rId771" display="https://payloadcms.com/docs/configuration/localization"/>
    <hyperlink ref="G820" r:id="rId772" display="https://github.com/tallcms/tallcms/blob/main/docs/ref-i18n.md"/>
    <hyperlink ref="G821" r:id="rId773" display="https://github.com/lara-zeus/sky/blob/main/resources/lang/ar"/>
    <hyperlink ref="G822" r:id="rId774" display="https://wordpress.org/documentation/article/settings-permalinks-screen/"/>
    <hyperlink ref="G823" r:id="rId775" display="https://www.drupal.org/docs/user_guide/en/content-paths.html"/>
    <hyperlink ref="G824" r:id="rId776" display="https://craftcms.com/docs/5.x/reference/element-types/entries.html"/>
    <hyperlink ref="G825" r:id="rId777" display="https://getkirby.com/docs/guide/uuids"/>
    <hyperlink ref="G826" r:id="rId778" display="https://statamic.dev/content-modeling/routing"/>
    <hyperlink ref="G827" r:id="rId779" display="https://docs.octobercms.com/4.x/cms/themes/pages.html"/>
    <hyperlink ref="G828" r:id="rId780" display="https://learn.getgrav.org/20/content/headers"/>
    <hyperlink ref="G830" r:id="rId781" display="https://github.com/tallcms/tallcms/blob/main/docs/site-seo.md"/>
    <hyperlink ref="G831" r:id="rId782" display="https://larazeus.com/docs/sky/v5/getting-started/configuration"/>
    <hyperlink ref="G832" r:id="rId783" display="https://wordpress.org/documentation/article/settings-permalinks-screen/"/>
    <hyperlink ref="G833" r:id="rId784" display="https://www.drupal.org/project/pathauto"/>
    <hyperlink ref="G834" r:id="rId785" display="https://craftcms.com/docs/5.x/reference/element-types/entries.html"/>
    <hyperlink ref="G835" r:id="rId786" display="https://getkirby.com/docs/guide/languages"/>
    <hyperlink ref="G836" r:id="rId787" display="https://statamic.dev/content-modeling/collections"/>
    <hyperlink ref="G837" r:id="rId788" display="https://docs.octobercms.com/4.x/extend/database/traits.html"/>
    <hyperlink ref="G838" r:id="rId789" display="https://learn.getgrav.org/20/content/headers"/>
    <hyperlink ref="G839" r:id="rId790" location="slug-field" display="https://payloadcms.com/docs/fields/text#slug-field"/>
    <hyperlink ref="G840" r:id="rId791" display="https://github.com/tallcms/tallcms/tree/main/packages/tallcms/cms/src/Filament/Resources/CmsPages/Schemas/CmsPageForm.php"/>
    <hyperlink ref="G841" r:id="rId792" display="https://github.com/lara-zeus/sky/blob/main/src/Filament/Resources/PostResource.php"/>
    <hyperlink ref="G842" r:id="rId793" display="https://developer.wordpress.org/reference/functions/register_post_type/"/>
    <hyperlink ref="G843" r:id="rId794" display="https://www.drupal.org/project/pathauto"/>
    <hyperlink ref="G844" r:id="rId795" display="https://craftcms.com/docs/5.x/reference/element-types/entries.html"/>
    <hyperlink ref="G845" r:id="rId796" display="https://getkirby.com/docs/guide/content/creating-pages"/>
    <hyperlink ref="G846" r:id="rId797" display="https://statamic.dev/content-modeling/structures"/>
    <hyperlink ref="G847" r:id="rId798" display="https://docs.octobercms.com/4.x/cms/tailor/models.html"/>
    <hyperlink ref="G848" r:id="rId799" display="https://learn.getgrav.org/20/content/headers"/>
    <hyperlink ref="G849" r:id="rId800" display="https://payloadcms.com/docs/plugins/nested-docs"/>
    <hyperlink ref="G850" r:id="rId801" display="https://github.com/tallcms/tallcms/blob/main/docs/site-pages-posts.md"/>
    <hyperlink ref="G851" r:id="rId802" display="https://github.com/lara-zeus/sky/blob/main/routes/web.php"/>
    <hyperlink ref="G852" r:id="rId803" display="https://developer.wordpress.org/reference/functions/add_rewrite_rule/"/>
    <hyperlink ref="G853" r:id="rId804" display="https://www.drupal.org/blog/drupal-11-4-0"/>
    <hyperlink ref="G854" r:id="rId805" display="https://craftcms.com/docs/5.x/system/routing.html"/>
    <hyperlink ref="G855" r:id="rId806" display="https://getkirby.com/docs/guide/routing"/>
    <hyperlink ref="G856" r:id="rId807" display="https://statamic.dev/content-modeling/routing"/>
    <hyperlink ref="G857" r:id="rId808" display="https://docs.octobercms.com/4.x/extend/system/routing.html"/>
    <hyperlink ref="G858" r:id="rId809" display="https://learn.getgrav.org/17/basics/grav-configuration"/>
    <hyperlink ref="G859" r:id="rId810" location="custom-endpoints" display="https://payloadcms.com/docs/rest-api/overview#custom-endpoints"/>
    <hyperlink ref="G860" r:id="rId811" display="https://github.com/tallcms/tallcms/blob/main/docs/dev-plugins.md"/>
    <hyperlink ref="G861" r:id="rId812" display="https://github.com/lara-zeus/sky/blob/main/config/zeus-sky.php"/>
    <hyperlink ref="G862" r:id="rId813" display="https://wordpress.org/plugins/redirection/"/>
    <hyperlink ref="G863" r:id="rId814" display="https://www.drupal.org/project/redirect"/>
    <hyperlink ref="G864" r:id="rId815" display="https://craftcms.com/docs/5.x/system/routing.html"/>
    <hyperlink ref="G865" r:id="rId816" display="https://plugins.getkirby.com/topics/routing"/>
    <hyperlink ref="G866" r:id="rId817" display="https://statamic.com/addons/statamic/seo-pro"/>
    <hyperlink ref="G867" r:id="rId818" display="https://octobercms.com/plugin/vdlp-redirect"/>
    <hyperlink ref="G868" r:id="rId819" display="https://learn.getgrav.org/20/content/headers"/>
    <hyperlink ref="G869" r:id="rId820" display="https://payloadcms.com/docs/plugins/redirects"/>
    <hyperlink ref="G870" r:id="rId821" display="https://github.com/tallcms/tallcms/blob/main/docs/ref-redirects.md"/>
    <hyperlink ref="G872" r:id="rId822" display="https://developer.wordpress.org/reference/functions/wp_old_slug_redirect/"/>
    <hyperlink ref="G873" r:id="rId823" display="https://www.drupal.org/project/redirect"/>
    <hyperlink ref="G874" r:id="rId824" display="https://plugins.craftcms.com/retour"/>
    <hyperlink ref="G875" r:id="rId825" display="https://plugins.getkirby.com/topics/routing"/>
    <hyperlink ref="G876" r:id="rId826" display="https://statamic.com/addons/statamic/seo-pro"/>
    <hyperlink ref="G877" r:id="rId827" display="https://octobercms.com/support/article/rn-43"/>
    <hyperlink ref="G879" r:id="rId828" display="https://payloadcms.com/docs/plugins/redirects"/>
    <hyperlink ref="G880" r:id="rId829" display="https://github.com/tallcms/tallcms/blob/main/docs/ref-redirects.md"/>
    <hyperlink ref="G882" r:id="rId830" display="https://developer.wordpress.org/themes/basics/template-hierarchy/"/>
    <hyperlink ref="G883" r:id="rId831" display="https://www.drupal.org/docs/user_guide/en/config-basic.html"/>
    <hyperlink ref="G884" r:id="rId832" display="https://craftcms.com/docs/5.x/system/routing.html"/>
    <hyperlink ref="G885" r:id="rId833" display="https://getkirby.com/docs/guide/routing"/>
    <hyperlink ref="G886" r:id="rId834" display="https://statamic.dev/content-modeling/routing"/>
    <hyperlink ref="G887" r:id="rId835" display="https://docs.octobercms.com/4.x/cms/themes/pages.html"/>
    <hyperlink ref="G888" r:id="rId836" display="https://github.com/getgrav/grav-plugin-error"/>
    <hyperlink ref="G891" r:id="rId837" location="custom-http-error-pages" display="https://laravel.com/docs/errors#custom-http-error-pages"/>
    <hyperlink ref="G892" r:id="rId838" display="https://polylang.pro/doc/url-modifications/"/>
    <hyperlink ref="G893" r:id="rId839" display="https://www.drupal.org/docs/multilingual-guide"/>
    <hyperlink ref="G894" r:id="rId840" display="https://craftcms.com/docs/5.x/system/sites.html"/>
    <hyperlink ref="G895" r:id="rId841" display="https://getkirby.com/docs/guide/languages"/>
    <hyperlink ref="G896" r:id="rId842" display="https://statamic.dev/control-panel/multi-site"/>
    <hyperlink ref="G897" r:id="rId843" display="https://docs.octobercms.com/4.x/cms/multisite/multisite.html"/>
    <hyperlink ref="G898" r:id="rId844" display="https://learn.getgrav.org/17/basics/grav-configuration"/>
    <hyperlink ref="G900" r:id="rId845" display="https://github.com/tallcms/tallcms/blob/main/docs/ref-i18n.md"/>
    <hyperlink ref="G901" r:id="rId846" display="https://github.com/lara-zeus/sky/blob/main/routes/web.php"/>
    <hyperlink ref="G902" r:id="rId847" display="https://developer.wordpress.org/reference/functions/rel_canonical/"/>
    <hyperlink ref="G903" r:id="rId848" display="https://www.drupal.org/project/metatag"/>
    <hyperlink ref="G904" r:id="rId849" display="https://plugins.craftcms.com/seomatic"/>
    <hyperlink ref="G905" r:id="rId850" display="https://plugins.getkirby.com/topics/seo"/>
    <hyperlink ref="G906" r:id="rId851" display="https://statamic.com/addons/statamic/seo-pro"/>
    <hyperlink ref="G908" r:id="rId852" display="https://learn.getgrav.org/20/content/headers"/>
    <hyperlink ref="G909" r:id="rId853" display="https://payloadcms.com/docs/plugins/seo"/>
    <hyperlink ref="G910" r:id="rId854" display="https://github.com/tallcms/tallcms/tree/main/packages/tallcms/cms/resources/views/components/seo/meta-tags.blade.php"/>
    <hyperlink ref="G911" r:id="rId855" display="https://github.com/lara-zeus/sky/blob/main/src/Livewire/Post.php"/>
    <hyperlink ref="G912" r:id="rId856" display="https://developer.wordpress.org/themes/"/>
    <hyperlink ref="G913" r:id="rId857" display="https://www.drupal.org/docs/develop/theming-drupal/twig-in-drupal"/>
    <hyperlink ref="G914" r:id="rId858" display="https://github.com/craftcms/cms/blob/5.x/CHANGELOG.md"/>
    <hyperlink ref="G915" r:id="rId859" display="https://getkirby.com/docs/guide/templates/basics"/>
    <hyperlink ref="G916" r:id="rId860" display="https://statamic.dev/frontend/antlers"/>
    <hyperlink ref="G917" r:id="rId861" display="https://docs.octobercms.com/4.x/markup/templating.html"/>
    <hyperlink ref="G918" r:id="rId862" display="https://github.com/getgrav/grav/blob/develop/composer.json"/>
    <hyperlink ref="G919" r:id="rId863" display="https://payloadcms.com/docs/getting-started/what-is-payload"/>
    <hyperlink ref="G920" r:id="rId864" display="https://github.com/tallcms/tallcms/blob/main/docs/dev-themes.md"/>
    <hyperlink ref="G921" r:id="rId865" display="https://larazeus.com/docs/sky/v5/introduction"/>
    <hyperlink ref="G922" r:id="rId866" display="https://developer.wordpress.org/themes/basics/template-hierarchy/"/>
    <hyperlink ref="G923" r:id="rId867" display="https://www.drupal.org/docs/develop/theming-drupal/twig-in-drupal/working-with-twig-templates"/>
    <hyperlink ref="G924" r:id="rId868" display="https://craftcms.com/docs/5.x/system/sites.html"/>
    <hyperlink ref="G925" r:id="rId869" display="https://getkirby.com/docs/guide/templates/content-representations"/>
    <hyperlink ref="G926" r:id="rId870" display="https://statamic.dev/frontend/views"/>
    <hyperlink ref="G927" r:id="rId871" display="https://docs.octobercms.com/4.x/cms/themes/child-themes.html"/>
    <hyperlink ref="G928" r:id="rId872" display="https://learn.getgrav.org/20/content/headers"/>
    <hyperlink ref="G930" r:id="rId873" display="https://github.com/tallcms/tallcms/blob/main/docs/dev-themes.md"/>
    <hyperlink ref="G931" r:id="rId874" display="https://larazeus.com/docs/sky/v5/advanced/customization"/>
    <hyperlink ref="G932" r:id="rId875" display="https://developer.wordpress.org/themes/templates/template-parts/"/>
    <hyperlink ref="G933" r:id="rId876" display="https://www.drupal.org/docs/develop/theming-drupal/twig-in-drupal"/>
    <hyperlink ref="G934" r:id="rId877" display="https://craftcms.com/docs/5.x/reference/twig/tags.html"/>
    <hyperlink ref="G935" r:id="rId878" display="https://getkirby.com/docs/guide/templates/snippets"/>
    <hyperlink ref="G936" r:id="rId879" display="https://statamic.dev/frontend/views"/>
    <hyperlink ref="G937" r:id="rId880" display="https://docs.octobercms.com/4.x/cms/themes/layouts.html"/>
    <hyperlink ref="G938" r:id="rId881" display="https://github.com/getgrav/grav/blob/develop/CHANGELOG.md"/>
    <hyperlink ref="G940" r:id="rId882" display="https://github.com/tallcms/tallcms/blob/main/docs/dev-themes.md"/>
    <hyperlink ref="G941" r:id="rId883" display="https://larazeus.com/docs/sky/v5/advanced/customization"/>
    <hyperlink ref="G942" r:id="rId884" display="https://developer.wordpress.org/themes/patterns/"/>
    <hyperlink ref="G943" r:id="rId885" display="https://www.drupal.org/docs/develop/theming-drupal/using-single-directory-components"/>
    <hyperlink ref="G944" r:id="rId886" display="https://craftcms.com/docs/5.x/reference/twig/tags.html"/>
    <hyperlink ref="G945" r:id="rId887" display="https://getkirby.com/docs/guide/templates/snippets"/>
    <hyperlink ref="G946" r:id="rId888" display="https://statamic.dev/frontend/antlers"/>
    <hyperlink ref="G947" r:id="rId889" display="https://docs.octobercms.com/4.x/cms/themes/components.html"/>
    <hyperlink ref="G948" r:id="rId890" display="https://github.com/getgrav/grav-plugin-shortcode-core"/>
    <hyperlink ref="G949" r:id="rId891" display="https://payloadcms.com/docs/custom-components/overview"/>
    <hyperlink ref="G950" r:id="rId892" display="https://github.com/tallcms/tallcms/blob/main/docs/ref-i18n.md"/>
    <hyperlink ref="G951" r:id="rId893" display="https://github.com/lara-zeus/sky/blob/main/resources/views/components/nav-item.blade.php"/>
    <hyperlink ref="G952" r:id="rId894" display="https://developer.wordpress.org/themes/templates/custom-templates/"/>
    <hyperlink ref="G953" r:id="rId895" display="https://www.drupal.org/docs/core-modules-and-themes/core-modules/layout-builder-module"/>
    <hyperlink ref="G954" r:id="rId896" display="https://craftcms.com/docs/5.x/reference/element-types/entries.html"/>
    <hyperlink ref="G955" r:id="rId897" display="https://getkirby.com/docs/reference/api/pages"/>
    <hyperlink ref="G956" r:id="rId898" display="https://statamic.dev/frontend/views"/>
    <hyperlink ref="G957" r:id="rId899" display="https://docs.octobercms.com/4.x/cms/themes/pages.html"/>
    <hyperlink ref="G958" r:id="rId900" display="https://learn.getgrav.org/20/content/headers"/>
    <hyperlink ref="G960" r:id="rId901" display="https://github.com/tallcms/tallcms/blob/main/docs/site-templates.md"/>
    <hyperlink ref="G961" r:id="rId902" display="https://github.com/lara-zeus/sky/blob/main/src/Filament/Resources/PageResource.php"/>
    <hyperlink ref="G962" r:id="rId903" display="https://developer.wordpress.org/themes/basics/template-tags/"/>
    <hyperlink ref="G963" r:id="rId904" display="https://www.drupal.org/docs/develop/theming-drupal/twig-in-drupal/functions-in-twig-templates"/>
    <hyperlink ref="G964" r:id="rId905" display="https://craftcms.com/docs/5.x/reference/twig/global-variables.html"/>
    <hyperlink ref="G965" r:id="rId906" display="https://getkirby.com/docs/reference/templates/helpers"/>
    <hyperlink ref="G966" r:id="rId907" display="https://statamic.dev/modifiers/all-modifiers"/>
    <hyperlink ref="G967" r:id="rId908" display="https://docs.octobercms.com/4.x/markup/property/this-page.html"/>
    <hyperlink ref="G968" r:id="rId909" display="https://github.com/getgrav/grav/blob/develop/CHANGELOG.md"/>
    <hyperlink ref="G969" r:id="rId910" display="https://payloadcms.com/docs/local-api/overview"/>
    <hyperlink ref="G970" r:id="rId911" display="https://github.com/tallcms/tallcms/blob/main/docs/site-settings.md"/>
    <hyperlink ref="G971" r:id="rId912" display="https://larazeus.com/docs/sky/v5/advanced/customization"/>
    <hyperlink ref="G972" r:id="rId913" display="https://wordpress.org/documentation/article/site-editor/"/>
    <hyperlink ref="G973" r:id="rId914" display="https://project.pages.drupalcode.org/canvas/code-components/"/>
    <hyperlink ref="G977" r:id="rId915" display="https://docs.octobercms.com/4.x/cms/themes/themes.html"/>
    <hyperlink ref="G980" r:id="rId916" display="https://github.com/tallcms/tallcms/blob/main/docs/site-templates.md"/>
    <hyperlink ref="G982" r:id="rId917" display="https://developer.wordpress.org/themes/"/>
    <hyperlink ref="G983" r:id="rId918" display="https://www.drupal.org/docs/develop/theming-drupal"/>
    <hyperlink ref="G985" r:id="rId919" display="https://getkirby.com/themes"/>
    <hyperlink ref="G987" r:id="rId920" display="https://docs.octobercms.com/4.x/cms/themes/themes.html"/>
    <hyperlink ref="G988" r:id="rId921" display="https://github.com/getgrav/grav-theme-quark2"/>
    <hyperlink ref="G990" r:id="rId922" display="https://github.com/tallcms/tallcms/blob/main/docs/dev-themes.md"/>
    <hyperlink ref="G991" r:id="rId923" display="https://github.com/lara-zeus/sky/blob/main/src/SkyServiceProvider.php"/>
    <hyperlink ref="G992" r:id="rId924" display="https://developer.wordpress.org/themes/advanced-topics/child-themes/"/>
    <hyperlink ref="G993" r:id="rId925" display="https://www.drupal.org/docs/develop/theming-drupal/creating-sub-themes"/>
    <hyperlink ref="G995" r:id="rId926" display="https://getkirby.com/docs/guide/plugins/plugin-basics"/>
    <hyperlink ref="G997" r:id="rId927" display="https://docs.octobercms.com/4.x/cms/themes/child-themes.html"/>
    <hyperlink ref="G998" r:id="rId928" display="https://learn.getgrav.org/17/basics/grav-configuration"/>
    <hyperlink ref="G1000" r:id="rId929" display="https://github.com/tallcms/tallcms/blob/main/docs/dev-themes.md"/>
    <hyperlink ref="G1001" r:id="rId930" display="https://larazeus.com/docs/sky/v5/advanced/customization"/>
    <hyperlink ref="G1002" r:id="rId931" display="https://wordpress.org/themes/"/>
    <hyperlink ref="G1003" r:id="rId932" display="https://www.acquia.com/blog/pick-your-starting-point-complete-guide-drupal-site-templates-marketplace"/>
    <hyperlink ref="G1004" r:id="rId933" display="https://plugins.craftcms.com/"/>
    <hyperlink ref="G1005" r:id="rId934" display="https://getkirby.com/themes"/>
    <hyperlink ref="G1006" r:id="rId935" display="https://statamic.com/starter-kits"/>
    <hyperlink ref="G1007" r:id="rId936" display="https://octobercms.com/themes"/>
    <hyperlink ref="G1008" r:id="rId937" display="https://www.getgrav.org/downloads/plugins"/>
    <hyperlink ref="G1010" r:id="rId938" display="https://github.com/tallcms/tallcms/blob/main/docs/ref-plugin-licensing.md"/>
    <hyperlink ref="G1011" r:id="rId939" display="https://github.com/lara-zeus/artemis"/>
    <hyperlink ref="G1012" r:id="rId940" display="https://developer.wordpress.org/playground/blueprints/tutorial/what-are-blueprints/"/>
    <hyperlink ref="G1013" r:id="rId941" display="https://www.thedroptimes.com/66243/drupal-cms-20-introduces-canvas-and-site-templates-in-shift-proof-concept"/>
    <hyperlink ref="G1014" r:id="rId942" display="https://github.com/craftcms/craft"/>
    <hyperlink ref="G1015" r:id="rId943" display="https://getkirby.com/docs/guide/quickstart"/>
    <hyperlink ref="G1016" r:id="rId944" display="https://statamic.dev/starter-kits/overview"/>
    <hyperlink ref="G1017" r:id="rId945" display="https://docs.octobercms.com/4.x/cms/themes/seeding-themes.html"/>
    <hyperlink ref="G1018" r:id="rId946" display="https://github.com/getgrav/grav-skeleton-blog-site"/>
    <hyperlink ref="G1019" r:id="rId947" display="https://github.com/payloadcms/payload/tree/main/templates"/>
    <hyperlink ref="G1020" r:id="rId948" display="https://github.com/tallcms/tallcms/tree/main/packages/tallcms/cms/src/Console/Commands"/>
    <hyperlink ref="G1021" r:id="rId949" display="https://larazeus.com/docs/sky/v5/getting-started/installation"/>
    <hyperlink ref="G1022" r:id="rId950" display="https://developer.wordpress.org/rest-api/"/>
    <hyperlink ref="G1023" r:id="rId951" display="https://www.drupal.org/docs/core-modules-and-themes/core-modules/jsonapi-module"/>
    <hyperlink ref="G1024" r:id="rId952" display="https://craftcms.com/docs/5.x/reference/config/general.html"/>
    <hyperlink ref="G1025" r:id="rId953" display="https://github.com/getkirby/kirby/releases/tag/5.2.0"/>
    <hyperlink ref="G1026" r:id="rId954" display="https://statamic.dev/getting-started/licensing"/>
    <hyperlink ref="G1027" r:id="rId955" display="https://docs.octobercms.com/4.x/cms/resources/building-apis.html"/>
    <hyperlink ref="G1028" r:id="rId956" display="https://github.com/getgrav/grav-plugin-api"/>
    <hyperlink ref="G1029" r:id="rId957" display="https://payloadcms.com/docs/getting-started/what-is-payload"/>
    <hyperlink ref="G1030" r:id="rId958" display="https://github.com/tallcms/tallcms/blob/main/docs/dev-api.md"/>
    <hyperlink ref="G1031" r:id="rId959" display="https://github.com/lara-zeus/sky/blob/main/config/zeus-sky.php"/>
    <hyperlink ref="G1032" r:id="rId960" display="https://wordpress.org/plugins/simply-static/"/>
    <hyperlink ref="G1033" r:id="rId961" display="https://www.drupal.org/project/tome"/>
    <hyperlink ref="G1034" r:id="rId962" display="https://plugins.craftcms.com/blitz"/>
    <hyperlink ref="G1035" r:id="rId963" display="https://plugins.getkirby.com/jonathan-reisdorf/static-site-generator"/>
    <hyperlink ref="G1036" r:id="rId964" display="https://github.com/statamic/ssg"/>
    <hyperlink ref="G1037" r:id="rId965" display="https://octobercms.com/plugins?search=static"/>
    <hyperlink ref="G1038" r:id="rId966" display="https://github.com/OleVik/grav-plugin-static-generator"/>
    <hyperlink ref="G1042" r:id="rId967" display="https://developer.wordpress.org/block-editor/reference-guides/packages/packages-scripts/"/>
    <hyperlink ref="G1043" r:id="rId968" display="https://www.drupal.org/blog/drupal-11-4-0"/>
    <hyperlink ref="G1044" r:id="rId969" display="https://plugins.craftcms.com/vite"/>
    <hyperlink ref="G1045" r:id="rId970" display="https://plugins.getkirby.com/topics/assets"/>
    <hyperlink ref="G1046" r:id="rId971" display="https://statamic.dev/addons/vite-tooling"/>
    <hyperlink ref="G1047" r:id="rId972" display="https://docs.octobercms.com/4.x/markup/filter/theme.html"/>
    <hyperlink ref="G1048" r:id="rId973" display="https://learn.getgrav.org/17/basics/grav-configuration"/>
    <hyperlink ref="G1049" r:id="rId974" display="https://payloadcms.com/docs/performance/overview"/>
    <hyperlink ref="G1050" r:id="rId975" display="https://github.com/tallcms/tallcms/blob/main/docs/dev-themes.md"/>
    <hyperlink ref="G1051" r:id="rId976" display="https://larazeus.com/docs/sky/v5/getting-started/assets"/>
    <hyperlink ref="G1052" r:id="rId977" display="https://jetpack.com/support/seo-tools/"/>
    <hyperlink ref="G1053" r:id="rId978" display="https://www.drupal.org/project/metatag"/>
    <hyperlink ref="G1054" r:id="rId979" display="https://plugins.craftcms.com/seomatic"/>
    <hyperlink ref="G1055" r:id="rId980" display="https://getkirby.com/docs/guide/blueprints/extending-blueprints"/>
    <hyperlink ref="G1056" r:id="rId981" display="https://statamic.com/addons/statamic/seo-pro"/>
    <hyperlink ref="G1057" r:id="rId982" display="https://docs.octobercms.com/4.x/cms/themes/pages.html"/>
    <hyperlink ref="G1058" r:id="rId983" display="https://learn.getgrav.org/20/content/headers"/>
    <hyperlink ref="G1059" r:id="rId984" display="https://payloadcms.com/docs/plugins/seo"/>
    <hyperlink ref="G1060" r:id="rId985" display="https://github.com/tallcms/tallcms/blob/main/docs/site-seo.md"/>
    <hyperlink ref="G1061" r:id="rId986" display="https://github.com/lara-zeus/sky/blob/main/src/Filament/Resources/PostResource.php"/>
    <hyperlink ref="G1062" r:id="rId987" display="https://jetpack.com/support/seo-tools/"/>
    <hyperlink ref="G1063" r:id="rId988" display="https://www.drupal.org/project/metatag"/>
    <hyperlink ref="G1064" r:id="rId989" display="https://plugins.craftcms.com/seomatic"/>
    <hyperlink ref="G1065" r:id="rId990" display="https://plugins.getkirby.com/topics/seo"/>
    <hyperlink ref="G1066" r:id="rId991" display="https://statamic.com/addons/statamic/seo-pro"/>
    <hyperlink ref="G1067" r:id="rId992" display="https://github.com/octobercms/october/blob/develop/modules/cms/classes/Page.php"/>
    <hyperlink ref="G1068" r:id="rId993" display="https://learn.getgrav.org/20/content/headers"/>
    <hyperlink ref="G1069" r:id="rId994" display="https://payloadcms.com/docs/plugins/seo"/>
    <hyperlink ref="G1070" r:id="rId995" display="https://github.com/tallcms/tallcms/blob/main/docs/site-seo.md"/>
    <hyperlink ref="G1071" r:id="rId996" display="https://github.com/lara-zeus/sky/blob/main/src/Livewire/Post.php"/>
    <hyperlink ref="G1072" r:id="rId997" display="https://make.wordpress.org/core/2020/07/22/new-xml-sitemaps-functionality-in-wordpress-5-5/"/>
    <hyperlink ref="G1073" r:id="rId998" display="https://www.drupal.org/project/simple_sitemap"/>
    <hyperlink ref="G1074" r:id="rId999" display="https://plugins.craftcms.com/seomatic"/>
    <hyperlink ref="G1075" r:id="rId1000" display="https://plugins.getkirby.com/topics/seo"/>
    <hyperlink ref="G1076" r:id="rId1001" display="https://statamic.com/addons/statamic/seo-pro"/>
    <hyperlink ref="G1077" r:id="rId1002" display="https://octobercms.com/plugin/rainlab-sitemap"/>
    <hyperlink ref="G1078" r:id="rId1003" display="https://github.com/getgrav/grav-plugin-sitemap"/>
    <hyperlink ref="G1079" r:id="rId1004" display="https://github.com/payloadcms/payload/tree/main/templates/website"/>
    <hyperlink ref="G1080" r:id="rId1005" display="https://github.com/tallcms/tallcms/blob/main/docs/site-seo.md"/>
    <hyperlink ref="G1082" r:id="rId1006" display="https://wordpress.org/plugins/wordpress-seo/"/>
    <hyperlink ref="G1083" r:id="rId1007" display="https://www.drupal.org/project/schema_metatag"/>
    <hyperlink ref="G1084" r:id="rId1008" display="https://plugins.craftcms.com/seomatic"/>
    <hyperlink ref="G1085" r:id="rId1009" display="https://plugins.getkirby.com/topics/seo"/>
    <hyperlink ref="G1086" r:id="rId1010" display="https://statamic.com/addons/statamic/seo-pro"/>
    <hyperlink ref="G1087" r:id="rId1011" display="https://octobercms.com/plugins?search=seo"/>
    <hyperlink ref="G1088" r:id="rId1012" display="https://github.com/tranduyhung/grav-plugin-schema"/>
    <hyperlink ref="G1089" r:id="rId1013" display="https://payloadcms.com/docs/plugins/seo"/>
    <hyperlink ref="G1090" r:id="rId1014" display="https://github.com/tallcms/tallcms/blob/main/docs/site-seo.md"/>
    <hyperlink ref="G1092" r:id="rId1015" display="https://developer.wordpress.org/reference/functions/wp_robots/"/>
    <hyperlink ref="G1093" r:id="rId1016" display="https://www.drupal.org/project/robotstxt"/>
    <hyperlink ref="G1094" r:id="rId1017" display="https://plugins.craftcms.com/seomatic"/>
    <hyperlink ref="G1095" r:id="rId1018" display="https://plugins.getkirby.com/topics/seo"/>
    <hyperlink ref="G1096" r:id="rId1019" display="https://statamic.com/addons/statamic/seo-pro"/>
    <hyperlink ref="G1097" r:id="rId1020" display="https://github.com/octobercms/october/blob/develop/modules/cms/classes/page/Fields.php"/>
    <hyperlink ref="G1098" r:id="rId1021" display="https://learn.getgrav.org/20/content/headers"/>
    <hyperlink ref="G1100" r:id="rId1022" display="https://github.com/tallcms/tallcms/blob/main/docs/site-seo.md"/>
    <hyperlink ref="G1102" r:id="rId1023" display="https://wordpress.org/plugins/wordpress-seo/"/>
    <hyperlink ref="G1103" r:id="rId1024" display="https://project.pages.drupalcode.org/drupal_cms/promote/install/"/>
    <hyperlink ref="G1104" r:id="rId1025" display="https://github.com/nystudio107/seomatic/wiki/06.-SEOmetrics-Content-Analysis"/>
    <hyperlink ref="G1105" r:id="rId1026" display="https://plugins.getkirby.com/topics/seo"/>
    <hyperlink ref="G1106" r:id="rId1027" display="https://statamic.com/addons/statamic/seo-pro"/>
    <hyperlink ref="G1107" r:id="rId1028" display="https://octobercms.com/plugins?search=seo"/>
    <hyperlink ref="G1108" r:id="rId1029" display="https://learn.getgrav.org/20/grav-premium/seo-magic"/>
    <hyperlink ref="G1109" r:id="rId1030" display="https://payloadcms.com/docs/plugins/seo"/>
    <hyperlink ref="G1110" r:id="rId1031" display="https://github.com/tallcms/tallcms/tree/main/packages/tallcms/cms/src/Filament/Widgets/ContentHealthWidget.php"/>
    <hyperlink ref="G1112" r:id="rId1032" display="https://polylang.pro/"/>
    <hyperlink ref="G1113" r:id="rId1033" display="https://www.drupal.org/project/hreflang"/>
    <hyperlink ref="G1114" r:id="rId1034" display="https://plugins.craftcms.com/seomatic"/>
    <hyperlink ref="G1115" r:id="rId1035" display="https://plugins.getkirby.com/topics/seo"/>
    <hyperlink ref="G1116" r:id="rId1036" display="https://statamic.com/addons/aerni/advanced-seo"/>
    <hyperlink ref="G1117" r:id="rId1037" display="https://docs.octobercms.com/4.x/cms/components/sitepicker.html"/>
    <hyperlink ref="G1118" r:id="rId1038" display="https://github.com/getgrav/grav-plugin-sitemap"/>
    <hyperlink ref="G1120" r:id="rId1039" display="https://github.com/tallcms/tallcms/blob/main/docs/ref-i18n.md"/>
    <hyperlink ref="G1122" r:id="rId1040" display="https://developer.wordpress.org/rest-api/"/>
    <hyperlink ref="G1123" r:id="rId1041" display="https://www.drupal.org/docs/core-modules-and-themes/core-modules/jsonapi-module"/>
    <hyperlink ref="G1124" r:id="rId1042" display="https://plugins.craftcms.com/element-api"/>
    <hyperlink ref="G1125" r:id="rId1043" display="https://getkirby.com/docs/guide/api/introduction"/>
    <hyperlink ref="G1126" r:id="rId1044" display="https://statamic.dev/frontend/rest-api"/>
    <hyperlink ref="G1127" r:id="rId1045" display="https://docs.octobercms.com/4.x/cms/resources/building-apis.html"/>
    <hyperlink ref="G1128" r:id="rId1046" display="https://github.com/getgrav/grav-plugin-api"/>
    <hyperlink ref="G1129" r:id="rId1047" display="https://payloadcms.com/docs/rest-api/overview"/>
    <hyperlink ref="G1130" r:id="rId1048" display="https://github.com/tallcms/tallcms/blob/main/docs/dev-api.md"/>
    <hyperlink ref="G1131" r:id="rId1049" display="https://larazeus.com/docs/sky/v5/introduction"/>
    <hyperlink ref="G1132" r:id="rId1050" display="https://wordpress.org/plugins/wp-graphql/"/>
    <hyperlink ref="G1133" r:id="rId1051" display="https://www.drupal.org/project/graphql"/>
    <hyperlink ref="G1134" r:id="rId1052" display="https://craftcms.com/docs/5.x/development/graphql.html"/>
    <hyperlink ref="G1135" r:id="rId1053" display="https://github.com/getkirby/kql"/>
    <hyperlink ref="G1136" r:id="rId1054" display="https://statamic.dev/frontend/graphql"/>
    <hyperlink ref="G1137" r:id="rId1055" display="https://octobercms.com/plugins?search=graphql"/>
    <hyperlink ref="G1139" r:id="rId1056" display="https://payloadcms.com/docs/graphql/overview"/>
    <hyperlink ref="G1142" r:id="rId1057" display="https://developer.wordpress.org/rest-api/reference/"/>
    <hyperlink ref="G1143" r:id="rId1058" display="https://www.drupal.org/docs/core-modules-and-themes/core-modules/jsonapi-module"/>
    <hyperlink ref="G1144" r:id="rId1059" display="https://craftcms.com/docs/5.x/development/graphql.html"/>
    <hyperlink ref="G1145" r:id="rId1060" display="https://getkirby.com/docs/reference/api/pages"/>
    <hyperlink ref="G1146" r:id="rId1061" display="https://statamic.dev/frontend/rest-api"/>
    <hyperlink ref="G1147" r:id="rId1062" display="https://docs.octobercms.com/4.x/cms/tailor/models.html"/>
    <hyperlink ref="G1148" r:id="rId1063" display="https://github.com/getgrav/grav-plugin-api"/>
    <hyperlink ref="G1149" r:id="rId1064" display="https://payloadcms.com/docs/local-api/overview"/>
    <hyperlink ref="G1150" r:id="rId1065" display="https://github.com/tallcms/tallcms/blob/main/docs/ref-api-permissions.md"/>
    <hyperlink ref="G1152" r:id="rId1066" display="https://developer.wordpress.org/rest-api/using-the-rest-api/authentication/"/>
    <hyperlink ref="G1153" r:id="rId1067" display="https://www.drupal.org/project/simple_oauth"/>
    <hyperlink ref="G1154" r:id="rId1068" display="https://craftcms.com/docs/5.x/development/graphql.html"/>
    <hyperlink ref="G1155" r:id="rId1069" display="https://getkirby.com/docs/guide/api/introduction"/>
    <hyperlink ref="G1156" r:id="rId1070" display="https://statamic.dev/frontend/rest-api"/>
    <hyperlink ref="G1157" r:id="rId1071" display="https://docs.octobercms.com/4.x/extend/resources/using-laravel-packages.html"/>
    <hyperlink ref="G1158" r:id="rId1072" display="https://github.com/getgrav/grav-plugin-api"/>
    <hyperlink ref="G1159" r:id="rId1073" display="https://payloadcms.com/docs/authentication/overview"/>
    <hyperlink ref="G1160" r:id="rId1074" display="https://github.com/tallcms/tallcms/blob/main/docs/dev-api.md"/>
    <hyperlink ref="G1162" r:id="rId1075" display="https://developer.wordpress.org/rest-api/using-the-rest-api/pagination/"/>
    <hyperlink ref="G1163" r:id="rId1076" display="https://www.drupal.org/docs/core-modules-and-themes/core-modules/jsonapi-module"/>
    <hyperlink ref="G1164" r:id="rId1077" display="https://craftcms.com/docs/5.x/development/graphql.html"/>
    <hyperlink ref="G1165" r:id="rId1078" display="https://github.com/getkirby/kql"/>
    <hyperlink ref="G1166" r:id="rId1079" display="https://statamic.dev/frontend/rest-api"/>
    <hyperlink ref="G1167" r:id="rId1080" display="https://docs.octobercms.com/4.x/cms/resources/building-apis.html"/>
    <hyperlink ref="G1168" r:id="rId1081" display="https://github.com/getgrav/grav-plugin-api"/>
    <hyperlink ref="G1169" r:id="rId1082" display="https://payloadcms.com/docs/queries/overview"/>
    <hyperlink ref="G1170" r:id="rId1083" display="https://github.com/tallcms/tallcms/blob/main/docs/dev-api.md"/>
    <hyperlink ref="G1172" r:id="rId1084" display="https://developer.wordpress.org/block-editor/reference-guides/packages/packages-api-fetch/"/>
    <hyperlink ref="G1173" r:id="rId1085" display="https://project.pages.drupalcode.org/canvas/headless"/>
    <hyperlink ref="G1178" r:id="rId1086" display="https://github.com/getgrav/grav-mcp"/>
    <hyperlink ref="G1179" r:id="rId1087" location="payload-rest-api-sdk" display="https://payloadcms.com/docs/rest-api/overview#payload-rest-api-sdk"/>
    <hyperlink ref="G1180" r:id="rId1088" display="https://github.com/tallcms/tallcms/blob/main/docs/dev-api.md"/>
    <hyperlink ref="G1182" r:id="rId1089" display="https://wordpress.org/plugins/wp-webhooks/"/>
    <hyperlink ref="G1183" r:id="rId1090" display="https://www.drupal.org/project/eca"/>
    <hyperlink ref="G1184" r:id="rId1091" display="https://plugins.craftcms.com/webhooks"/>
    <hyperlink ref="G1185" r:id="rId1092" display="https://plugins.getkirby.com/topics/routing"/>
    <hyperlink ref="G1186" r:id="rId1093" display="https://statamic.com/addons/gydo-makkinga/hooker"/>
    <hyperlink ref="G1188" r:id="rId1094" display="https://github.com/getgrav/grav-plugin-api"/>
    <hyperlink ref="G1189" r:id="rId1095" display="https://payloadcms.com/docs/hooks/collections"/>
    <hyperlink ref="G1190" r:id="rId1096" display="https://github.com/tallcms/tallcms/blob/main/docs/dev-api.md"/>
    <hyperlink ref="G1192" r:id="rId1097" display="https://developer.wordpress.org/rest-api/reference/post-revisions/"/>
    <hyperlink ref="G1193" r:id="rId1098" display="https://project.pages.drupalcode.org/canvas/headless"/>
    <hyperlink ref="G1194" r:id="rId1099" display="https://github.com/craftcms/cms/blob/5.x/CHANGELOG.md"/>
    <hyperlink ref="G1195" r:id="rId1100" display="https://getkirby.com/docs/reference/objects/cms/page-blueprint/preview"/>
    <hyperlink ref="G1196" r:id="rId1101" display="https://statamic.dev/control-panel/live-preview"/>
    <hyperlink ref="G1198" r:id="rId1102" display="https://github.com/getgrav/grav-plugin-api"/>
    <hyperlink ref="G1199" r:id="rId1103" location="draft-api" display="https://payloadcms.com/docs/versions/drafts#draft-api"/>
    <hyperlink ref="G1200" r:id="rId1104" display="https://github.com/tallcms/tallcms/blob/main/docs/dev-api.md"/>
    <hyperlink ref="G1202" r:id="rId1105" display="https://wordpress.org/plugins/woocommerce/"/>
    <hyperlink ref="G1212" r:id="rId1106" display="https://wordpress.org/plugins/woocommerce/"/>
    <hyperlink ref="G1213" r:id="rId1107" display="https://www.drupal.org/project/commerce"/>
    <hyperlink ref="G1214" r:id="rId1108" display="https://craftcms.com/commerce"/>
    <hyperlink ref="G1215" r:id="rId1109" display="https://plugins.getkirby.com/topics/e-commerce"/>
    <hyperlink ref="G1216" r:id="rId1110" display="https://statamic.com/addons/duncanmcclean/cargo"/>
    <hyperlink ref="G1217" r:id="rId1111" display="https://octobercms.com/blog/post/ecommerce-for-october-cms-here"/>
    <hyperlink ref="G1218" r:id="rId1112" display="https://getgrav.org/blog/kahunacart-coming-soon"/>
    <hyperlink ref="G1219" r:id="rId1113" display="https://payloadcms.com/docs/ecommerce/overview"/>
    <hyperlink ref="G1220" r:id="rId1114" display="https://github.com/tallcms/tallcms/blob/main/docs/site-multisite.md"/>
    <hyperlink ref="G1221" r:id="rId1115" display="https://larazeus.com"/>
    <hyperlink ref="G1222" r:id="rId1116" display="https://woocommerce.com/documentation/woocommerce/"/>
    <hyperlink ref="G1223" r:id="rId1117" display="https://www.drupal.org/project/commerce_stripe"/>
    <hyperlink ref="G1224" r:id="rId1118" display="https://craftcms.com/commerce"/>
    <hyperlink ref="G1225" r:id="rId1119" display="https://plugins.getkirby.com/topics/e-commerce"/>
    <hyperlink ref="G1226" r:id="rId1120" display="https://builtwithcargo.dev"/>
    <hyperlink ref="G1227" r:id="rId1121" display="https://octobercms.com/plugin/responsiv-pay"/>
    <hyperlink ref="G1228" r:id="rId1122" display="https://getgrav.org/blog/kahunacart-coming-soon"/>
    <hyperlink ref="G1229" r:id="rId1123" display="https://payloadcms.com/docs/ecommerce/payments"/>
    <hyperlink ref="G1230" r:id="rId1124" display="https://github.com/tallcms/tallcms/blob/main/docs/dev-billing.md"/>
    <hyperlink ref="G1232" r:id="rId1125" display="https://woocommerce.com/products/woocommerce-subscriptions/"/>
    <hyperlink ref="G1233" r:id="rId1126" display="https://www.drupal.org/project/commerce_recurring"/>
    <hyperlink ref="G1234" r:id="rId1127" display="https://craftcms.com/docs/commerce/5.x/system/subscriptions.html"/>
    <hyperlink ref="G1235" r:id="rId1128" display="https://plugins.getkirby.com/topics/e-commerce"/>
    <hyperlink ref="G1236" r:id="rId1129" display="https://builtwithcargo.dev"/>
    <hyperlink ref="G1237" r:id="rId1130" display="https://octobercms.com/plugin/meloncart-shop"/>
    <hyperlink ref="G1238" r:id="rId1131" display="https://getgrav.org/blog/kahunacart-coming-soon"/>
    <hyperlink ref="G1239" r:id="rId1132" display="https://payloadcms.com/docs/ecommerce/overview"/>
    <hyperlink ref="G1240" r:id="rId1133" display="https://github.com/tallcms/tallcms/blob/main/docs/dev-billing.md"/>
    <hyperlink ref="G1242" r:id="rId1134" display="https://woocommerce.com/document/setting-up-taxes-in-woocommerce/"/>
    <hyperlink ref="G1243" r:id="rId1135" display="https://www.drupal.org/project/commerce"/>
    <hyperlink ref="G1244" r:id="rId1136" display="https://craftcms.com/docs/commerce/5.x/system/taxes.html"/>
    <hyperlink ref="G1245" r:id="rId1137" display="https://plugins.getkirby.com/topics/e-commerce"/>
    <hyperlink ref="G1246" r:id="rId1138" display="https://builtwithcargo.dev"/>
    <hyperlink ref="G1247" r:id="rId1139" display="https://octobercms.com/plugin/responsiv-pay"/>
    <hyperlink ref="G1248" r:id="rId1140" display="https://getgrav.org/blog/kahunacart-coming-soon"/>
    <hyperlink ref="G1249" r:id="rId1141" display="https://payloadcms.com/docs/ecommerce/overview"/>
    <hyperlink ref="G1252" r:id="rId1142" display="https://make.wordpress.org/core/handbook/best-practices/coding-standards/accessibility-coding-standards/"/>
    <hyperlink ref="G1253" r:id="rId1143" display="https://www.drupal.org/about/features/accessibility"/>
    <hyperlink ref="G1254" r:id="rId1144" display="https://craftcms.com/docs/5.x/system/control-panel.html"/>
    <hyperlink ref="G1255" r:id="rId1145" display="https://forum.getkirby.com/t/a11y-kirby-panel-wcag-2-1-compatible/30523"/>
    <hyperlink ref="G1258" r:id="rId1146" display="https://github.com/getgrav/grav-plugin-admin2/blob/develop/CHANGELOG.md"/>
    <hyperlink ref="G1259" r:id="rId1147" display="https://payloadcms.com/docs/admin/accessibility"/>
    <hyperlink ref="G1262" r:id="rId1148" display="https://wordpress.org/plugins/accessibility-checker/"/>
    <hyperlink ref="G1263" r:id="rId1149" display="https://project.pages.drupalcode.org/drupal_cms/manage/a11y/editoria11y/"/>
    <hyperlink ref="G1264" r:id="rId1150" display="https://plugins.craftcms.com/editoria11y"/>
    <hyperlink ref="G1265" r:id="rId1151" display="https://packagist.org/packages/medienbaecker/kirby-editoria11y"/>
    <hyperlink ref="G1266" r:id="rId1152" display="https://statamic.com/addons"/>
    <hyperlink ref="G1270" r:id="rId1153" display="https://github.com/tallcms/tallcms/blob/main/docs/site-media.md"/>
    <hyperlink ref="G1272" r:id="rId1154" display="https://make.wordpress.org/themes/handbook/review/accessibility/"/>
    <hyperlink ref="G1273" r:id="rId1155" display="https://www.drupal.org/docs/core-modules-and-themes/core-themes/olivero-theme"/>
    <hyperlink ref="G1282" r:id="rId1156" display="https://make.wordpress.org/core/2026/05/14/wordpress-7-0-field-guide/"/>
    <hyperlink ref="G1283" r:id="rId1157" display="https://www.drupal.org/docs/user_guide/en/structure-fields.html"/>
    <hyperlink ref="G1284" r:id="rId1158" display="https://github.com/craftcms/cms/blob/5.x/CHANGELOG.md"/>
    <hyperlink ref="G1285" r:id="rId1159" display="https://getkirby.com/docs/guide/files/file-metadata"/>
    <hyperlink ref="G1286" r:id="rId1160" display="https://statamic.dev/frontend/assets"/>
    <hyperlink ref="G1288" r:id="rId1161" display="https://github.com/getgrav/grav-plugin-admin2/blob/develop/CHANGELOG.md"/>
    <hyperlink ref="G1289" r:id="rId1162" display="https://payloadcms.com/docs/upload/overview"/>
    <hyperlink ref="G1290" r:id="rId1163" display="https://github.com/tallcms/tallcms/blob/main/docs/site-media.md"/>
    <hyperlink ref="G1291" r:id="rId1164" display="https://github.com/lara-zeus/sky/blob/main/src/Filament/Resources/PostResource.php"/>
    <hyperlink ref="G1292" r:id="rId1165" display="https://developer.wordpress.org/advanced-administration/before-install/howto-install/"/>
    <hyperlink ref="G1293" r:id="rId1166" display="https://www.drupal.org/docs/drupal-apis/database-api"/>
    <hyperlink ref="G1294" r:id="rId1167" display="https://craftcms.com/docs/5.x/requirements.html"/>
    <hyperlink ref="G1295" r:id="rId1168" display="https://getkirby.com/docs/guide/database"/>
    <hyperlink ref="G1296" r:id="rId1169" display="https://github.com/statamic/eloquent-driver"/>
    <hyperlink ref="G1297" r:id="rId1170" display="https://docs.octobercms.com/4.x/setup/installation.html"/>
    <hyperlink ref="G1298" r:id="rId1171" display="https://getgrav.org/blog/grav-2-rc-released"/>
    <hyperlink ref="G1299" r:id="rId1172" display="https://payloadcms.com/docs/database/overview"/>
    <hyperlink ref="G1300" r:id="rId1173" display="https://github.com/tallcms/tallcms/blob/main/docs/gs-installation.md"/>
    <hyperlink ref="G1301" r:id="rId1174" display="https://github.com/lara-zeus/sky/blob/main/src/SkyServiceProvider.php"/>
    <hyperlink ref="G1302" r:id="rId1175" display="https://make.wordpress.org/hosting/handbook/compatibility/version/7-0/"/>
    <hyperlink ref="G1303" r:id="rId1176" display="https://www.drupal.org/docs/getting-started/system-requirements/database-server-requirements"/>
    <hyperlink ref="G1304" r:id="rId1177" display="https://craftcms.com/docs/5.x/requirements.html"/>
    <hyperlink ref="G1305" r:id="rId1178" display="https://getkirby.com/docs/guide/database"/>
    <hyperlink ref="G1306" r:id="rId1179" display="https://github.com/statamic/eloquent-driver"/>
    <hyperlink ref="G1307" r:id="rId1180" display="https://docs.octobercms.com/4.x/setup/database-config.html"/>
    <hyperlink ref="G1308" r:id="rId1181" display="https://learn.getgrav.org/17/basics/grav-configuration"/>
    <hyperlink ref="G1309" r:id="rId1182" display="https://payloadcms.com/docs/database/overview"/>
    <hyperlink ref="G1310" r:id="rId1183" display="https://github.com/tallcms/tallcms/blob/main/docs/gs-installation.md"/>
    <hyperlink ref="G1311" r:id="rId1184" display="https://larazeus.com/docs/sky/v5/getting-started/installation"/>
    <hyperlink ref="G1315" r:id="rId1185" display="https://getkirby.com/docs/guide/content/creating-pages"/>
    <hyperlink ref="G1316" r:id="rId1186" display="https://statamic.dev/advanced-topics/stache"/>
    <hyperlink ref="G1317" r:id="rId1187" display="https://docs.octobercms.com/4.x/cms/themes/themes.html"/>
    <hyperlink ref="G1318" r:id="rId1188" display="https://getgrav.org/blog/grav-2-rc-released"/>
    <hyperlink ref="G1322" r:id="rId1189" display="https://developer.wordpress.org/themes/global-settings-and-styles/"/>
    <hyperlink ref="G1323" r:id="rId1190" display="https://www.drupal.org/docs/configuration-management"/>
    <hyperlink ref="G1324" r:id="rId1191" display="https://craftcms.com/docs/5.x/system/project-config.html"/>
    <hyperlink ref="G1325" r:id="rId1192" display="https://github.com/getkirby/database-storage"/>
    <hyperlink ref="G1326" r:id="rId1193" display="https://github.com/statamic/eloquent-driver"/>
    <hyperlink ref="G1327" r:id="rId1194" display="https://docs.octobercms.com/4.x/cms/themes/database-themes.html"/>
    <hyperlink ref="G1328" r:id="rId1195" display="https://github.com/trilbymedia/grav-plugin-flex-objects"/>
    <hyperlink ref="G1330" r:id="rId1196" display="https://github.com/tallcms/tallcms/blob/main/docs/ref-architecture.md"/>
    <hyperlink ref="G1333" r:id="rId1197" display="https://www.drupal.org/blog/drupal-11-3-0"/>
    <hyperlink ref="G1334" r:id="rId1198" display="https://craftcms.com/docs/5.x/system/project-config.html"/>
    <hyperlink ref="G1335" r:id="rId1199" display="https://getkirby.com/docs/guide/content/creating-pages"/>
    <hyperlink ref="G1336" r:id="rId1200" display="https://statamic.dev/control-panel/git-automation"/>
    <hyperlink ref="G1337" r:id="rId1201" display="https://docs.octobercms.com/4.x/resources/development-workflow.html"/>
    <hyperlink ref="G1338" r:id="rId1202" display="https://github.com/trilbymedia/grav-plugin-git-sync"/>
    <hyperlink ref="G1342" r:id="rId1203" display="https://developer.wordpress.org/block-editor/reference-guides/block-api/block-metadata/"/>
    <hyperlink ref="G1343" r:id="rId1204" display="https://www.drupal.org/docs/configuration-management"/>
    <hyperlink ref="G1344" r:id="rId1205" display="https://craftcms.com/docs/5.x/system/project-config.html"/>
    <hyperlink ref="G1345" r:id="rId1206" display="https://getkirby.com/docs/guide/blueprints/introduction"/>
    <hyperlink ref="G1346" r:id="rId1207" display="https://statamic.dev/content-modeling/blueprints"/>
    <hyperlink ref="G1347" r:id="rId1208" display="https://docs.octobercms.com/4.x/cms/tailor/blueprints.html"/>
    <hyperlink ref="G1348" r:id="rId1209" display="https://learn.getgrav.org/20/forms/blueprints/fields-available"/>
    <hyperlink ref="G1349" r:id="rId1210" display="https://payloadcms.com/docs/configuration/overview"/>
    <hyperlink ref="G1350" r:id="rId1211" display="https://github.com/tallcms/tallcms/blob/main/docs/dev-themes.md"/>
    <hyperlink ref="G1351" r:id="rId1212" display="https://github.com/lara-zeus/sky/blob/main/src/SkyServiceProvider.php"/>
    <hyperlink ref="G1352" r:id="rId1213" display="https://developer.wordpress.org/cli/commands/option/"/>
    <hyperlink ref="G1353" r:id="rId1214" display="https://www.drupal.org/docs/core-modules-and-themes/core-modules/config-module"/>
    <hyperlink ref="G1354" r:id="rId1215" display="https://craftcms.com/docs/5.x/system/project-config.html"/>
    <hyperlink ref="G1355" r:id="rId1216" display="https://getkirby.com/docs/guide/configuration"/>
    <hyperlink ref="G1356" r:id="rId1217" display="https://github.com/statamic/eloquent-driver"/>
    <hyperlink ref="G1357" r:id="rId1218" display="https://octobercms.com/support/article/rn-42"/>
    <hyperlink ref="G1358" r:id="rId1219" display="https://learn.getgrav.org/17/basics/grav-configuration"/>
    <hyperlink ref="G1359" r:id="rId1220" display="https://payloadcms.com/docs/configuration/overview"/>
    <hyperlink ref="G1361" r:id="rId1221" display="https://larazeus.com/docs/sky/v5/getting-started/configuration"/>
    <hyperlink ref="G1362" r:id="rId1222" display="https://developer.wordpress.org/reference/functions/wp_get_environment_type/"/>
    <hyperlink ref="G1363" r:id="rId1223" display="https://www.drupal.org/project/config_split"/>
    <hyperlink ref="G1364" r:id="rId1224" display="https://craftcms.com/docs/5.x/reference/config/general.html"/>
    <hyperlink ref="G1365" r:id="rId1225" display="https://getkirby.com/docs/guide/configuration"/>
    <hyperlink ref="G1366" r:id="rId1226" display="https://statamic.dev/getting-started/configuration"/>
    <hyperlink ref="G1367" r:id="rId1227" display="https://docs.octobercms.com/4.x/setup/configuration.html"/>
    <hyperlink ref="G1368" r:id="rId1228" display="https://github.com/getgrav/grav/blob/develop/CHANGELOG.md"/>
    <hyperlink ref="G1369" r:id="rId1229" display="https://payloadcms.com/docs/configuration/environment-vars"/>
    <hyperlink ref="G1370" r:id="rId1230" display="https://github.com/tallcms/tallcms/blob/main/docs/ref-architecture.md"/>
    <hyperlink ref="G1371" r:id="rId1231" display="https://laravel.com/docs/configuration"/>
    <hyperlink ref="G1372" r:id="rId1232" display="https://wordpress.org/plugins/create-block-theme/"/>
    <hyperlink ref="G1373" r:id="rId1233" display="https://www.drupal.org/docs/configuration-management/managing-your-sites-configuration"/>
    <hyperlink ref="G1374" r:id="rId1234" display="https://craftcms.com/docs/5.x/system/project-config.html"/>
    <hyperlink ref="G1375" r:id="rId1235" display="https://getkirby.com/docs/guide/configuration"/>
    <hyperlink ref="G1376" r:id="rId1236" display="https://statamic.dev/getting-started/configuration"/>
    <hyperlink ref="G1377" r:id="rId1237" display="https://docs.octobercms.com/4.x/element/available-commands.html"/>
    <hyperlink ref="G1378" r:id="rId1238" display="https://github.com/getgrav/grav-plugin-admin2"/>
    <hyperlink ref="G1379" r:id="rId1239" display="https://payloadcms.com/docs/configuration/overview"/>
    <hyperlink ref="G1382" r:id="rId1240" display="https://deliciousbrains.com/wp-migrate/"/>
    <hyperlink ref="G1383" r:id="rId1241" display="https://www.drupal.org/docs/configuration-management/managing-your-sites-configuration"/>
    <hyperlink ref="G1384" r:id="rId1242" display="https://craftcms.com/docs/5.x/system/project-config.html"/>
    <hyperlink ref="G1385" r:id="rId1243" display="https://getkirby.com/docs/guide/configuration"/>
    <hyperlink ref="G1386" r:id="rId1244" display="https://statamic.dev/getting-started/deploying"/>
    <hyperlink ref="G1387" r:id="rId1245" display="https://docs.octobercms.com/4.x/resources/development-workflow.html"/>
    <hyperlink ref="G1388" r:id="rId1246" display="https://github.com/trilbymedia/grav-plugin-git-sync"/>
    <hyperlink ref="G1389" r:id="rId1247" display="https://payloadcms.com/docs/database/migrations"/>
    <hyperlink ref="G1390" r:id="rId1248" display="https://github.com/tallcms/tallcms/blob/main/docs/ref-roles-authorization.md"/>
    <hyperlink ref="G1391" r:id="rId1249" display="https://larazeus.com/docs/sky/v5/getting-started/configuration"/>
    <hyperlink ref="G1392" r:id="rId1250" display="https://wordpress.org/documentation/article/tools-export-screen/"/>
    <hyperlink ref="G1393" r:id="rId1251" display="https://www.drupal.org/docs/drupal-apis/migrate-api"/>
    <hyperlink ref="G1394" r:id="rId1252" display="https://craftcms.com/docs/5.x/extend/migrations.html"/>
    <hyperlink ref="G1395" r:id="rId1253" display="https://plugins.getkirby.com/topics/versioning"/>
    <hyperlink ref="G1396" r:id="rId1254" display="https://statamic.dev/control-panel/git-automation"/>
    <hyperlink ref="G1397" r:id="rId1255" display="https://docs.octobercms.com/4.x/cms/themes/seeding-themes.html"/>
    <hyperlink ref="G1398" r:id="rId1256" display="https://github.com/trilbymedia/grav-plugin-git-sync"/>
    <hyperlink ref="G1399" r:id="rId1257" display="https://payloadcms.com/docs/database/migrations"/>
    <hyperlink ref="G1402" r:id="rId1258" display="https://wordpress.org/plugins/wp-staging/"/>
    <hyperlink ref="G1403" r:id="rId1259" display="https://www.drupal.org/docs/core-modules-and-themes/core-modules/workspaces-module"/>
    <hyperlink ref="G1404" r:id="rId1260" display="https://craftcms.com/cloud"/>
    <hyperlink ref="G1405" r:id="rId1261" display="https://getkirby.com/docs/guide/quickstart"/>
    <hyperlink ref="G1406" r:id="rId1262" display="https://statamic.dev/getting-started/licensing"/>
    <hyperlink ref="G1408" r:id="rId1263" display="https://github.com/getgrav/grav-plugin-admin2"/>
    <hyperlink ref="G1413" r:id="rId1264" display="https://www.drupal.org/docs/configuration-management"/>
    <hyperlink ref="G1414" r:id="rId1265" display="https://craftcms.com/docs/5.x/system/project-config.html"/>
    <hyperlink ref="G1415" r:id="rId1266" display="https://plugins.getkirby.com/topics/versioning"/>
    <hyperlink ref="G1416" r:id="rId1267" display="https://statamic.dev/control-panel/git-automation"/>
    <hyperlink ref="G1417" r:id="rId1268" display="https://docs.octobercms.com/4.x/setup/deployment.html"/>
    <hyperlink ref="G1418" r:id="rId1269" display="https://github.com/trilbymedia/grav-plugin-git-sync"/>
    <hyperlink ref="G1419" r:id="rId1270" display="https://payloadcms.com/docs/database/migrations"/>
    <hyperlink ref="G1420" r:id="rId1271" display="https://github.com/tallcms/tallcms/blob/main/docs/ref-updating.md"/>
    <hyperlink ref="G1422" r:id="rId1272" display="https://developer.wordpress.org/plugins/"/>
    <hyperlink ref="G1423" r:id="rId1273" display="https://www.drupal.org/docs/develop/creating-modules"/>
    <hyperlink ref="G1424" r:id="rId1274" display="https://craftcms.com/docs/5.x/extend/"/>
    <hyperlink ref="G1425" r:id="rId1275" display="https://getkirby.com/docs/reference/plugins/extensions"/>
    <hyperlink ref="G1426" r:id="rId1276" display="https://statamic.dev/addons/building-an-addon"/>
    <hyperlink ref="G1427" r:id="rId1277" display="https://docs.octobercms.com/4.x/extend/system/plugins.html"/>
    <hyperlink ref="G1428" r:id="rId1278" display="https://www.getgrav.org/downloads/plugins"/>
    <hyperlink ref="G1429" r:id="rId1279" display="https://payloadcms.com/docs/plugins/overview"/>
    <hyperlink ref="G1430" r:id="rId1280" display="https://github.com/tallcms/tallcms/blob/main/docs/dev-plugins.md"/>
    <hyperlink ref="G1431" r:id="rId1281" display="https://filamentphp.com/docs/5.x/plugins/getting-started"/>
    <hyperlink ref="G1432" r:id="rId1282" display="https://wordpress.org/plugins/"/>
    <hyperlink ref="G1433" r:id="rId1283" display="https://www.drupal.org/project/project_browser"/>
    <hyperlink ref="G1434" r:id="rId1284" display="https://plugins.craftcms.com/"/>
    <hyperlink ref="G1435" r:id="rId1285" display="https://plugins.getkirby.com/"/>
    <hyperlink ref="G1436" r:id="rId1286" display="https://statamic.com/addons"/>
    <hyperlink ref="G1437" r:id="rId1287" display="https://octobercms.com/plugins"/>
    <hyperlink ref="G1438" r:id="rId1288" display="https://learn.getgrav.org/20/grav-premium"/>
    <hyperlink ref="G1439" r:id="rId1289" display="https://payloadcms.com/docs/plugins/overview"/>
    <hyperlink ref="G1440" r:id="rId1290" display="https://github.com/tallcms/tallcms/blob/main/docs/ref-plugin-licensing.md"/>
    <hyperlink ref="G1441" r:id="rId1291" display="https://larazeus.com/docs/sky/v5/getting-started/editor"/>
    <hyperlink ref="G1442" r:id="rId1292" display="https://developer.wordpress.org/plugins/hooks/"/>
    <hyperlink ref="G1443" r:id="rId1293" display="https://www.drupal.org/blog/drupal-11-1-0"/>
    <hyperlink ref="G1444" r:id="rId1294" display="https://craftcms.com/docs/5.x/extend/events.html"/>
    <hyperlink ref="G1445" r:id="rId1295" display="https://getkirby.com/docs/reference/plugins/hooks"/>
    <hyperlink ref="G1446" r:id="rId1296" display="https://statamic.dev/backend-apis/events"/>
    <hyperlink ref="G1447" r:id="rId1297" display="https://docs.octobercms.com/4.x/extend/extending.html"/>
    <hyperlink ref="G1448" r:id="rId1298" display="https://github.com/getgrav/grav-plugin-api"/>
    <hyperlink ref="G1449" r:id="rId1299" display="https://payloadcms.com/docs/hooks/overview"/>
    <hyperlink ref="G1450" r:id="rId1300" display="https://github.com/tallcms/tallcms/tree/main/packages/tallcms/cms/src/Events"/>
    <hyperlink ref="G1451" r:id="rId1301" display="https://github.com/lara-zeus/sky/blob/main/config/zeus-sky.php"/>
    <hyperlink ref="G1452" r:id="rId1302" display="https://developer.wordpress.org/reference/functions/register_meta/"/>
    <hyperlink ref="G1453" r:id="rId1303" display="https://www.drupal.org/docs/drupal-apis/entity-api/fieldtypes-fieldwidgets-and-fieldformatters"/>
    <hyperlink ref="G1454" r:id="rId1304" display="https://craftcms.com/docs/5.x/extend/field-types.html"/>
    <hyperlink ref="G1455" r:id="rId1305" display="https://getkirby.com/docs/reference/plugins/extensions"/>
    <hyperlink ref="G1456" r:id="rId1306" display="https://statamic.dev/fieldtypes/build-a-fieldtype"/>
    <hyperlink ref="G1457" r:id="rId1307" display="https://docs.octobercms.com/4.x/extend/tailor-fields.html"/>
    <hyperlink ref="G1458" r:id="rId1308" display="https://getgrav.org/blog/grav-2-rc-released"/>
    <hyperlink ref="G1459" r:id="rId1309" display="https://payloadcms.com/docs/fields/ui"/>
    <hyperlink ref="G1460" r:id="rId1310" display="https://github.com/tallcms/tallcms/blob/main/docs/dev-blocks.md"/>
    <hyperlink ref="G1461" r:id="rId1311" display="https://github.com/lara-zeus/sky/blob/main/src/Configuration.php"/>
    <hyperlink ref="G1462" r:id="rId1312" display="https://make.wordpress.org/core/2026/05/14/wordpress-7-0-field-guide/"/>
    <hyperlink ref="G1463" r:id="rId1313" display="https://www.drupal.org/docs/drupal-apis/form-api"/>
    <hyperlink ref="G1464" r:id="rId1314" display="https://craftcms.com/docs/5.x/extend/"/>
    <hyperlink ref="G1465" r:id="rId1315" display="https://getkirby.com/docs/reference/system/options/panel"/>
    <hyperlink ref="G1466" r:id="rId1316" display="https://statamic.dev/control-panel/customizing-the-cp-nav"/>
    <hyperlink ref="G1467" r:id="rId1317" display="https://docs.octobercms.com/4.x/extend/forms/form-controller.html"/>
    <hyperlink ref="G1468" r:id="rId1318" display="https://getgrav.org/blog/grav-2-rc-released"/>
    <hyperlink ref="G1469" r:id="rId1319" display="https://payloadcms.com/docs/custom-components/overview"/>
    <hyperlink ref="G1470" r:id="rId1320" display="https://github.com/tallcms/tallcms/blob/main/docs/ref-i18n.md"/>
    <hyperlink ref="G1471" r:id="rId1321" display="https://larazeus.com/docs/sky/v5/getting-started/configuration"/>
    <hyperlink ref="G1472" r:id="rId1322" display="https://developer.wordpress.org/apis/dashboard-widgets/"/>
    <hyperlink ref="G1473" r:id="rId1323" display="https://www.drupal.org/project/dashboard"/>
    <hyperlink ref="G1474" r:id="rId1324" display="https://craftcms.com/docs/5.x/system/control-panel.html"/>
    <hyperlink ref="G1475" r:id="rId1325" display="https://getkirby.com/docs/reference/panel/sections/stats"/>
    <hyperlink ref="G1476" r:id="rId1326" display="https://statamic.dev/widgets/building-a-widget"/>
    <hyperlink ref="G1477" r:id="rId1327" display="https://docs.octobercms.com/4.x/extend/dashboards/report-widgets.html"/>
    <hyperlink ref="G1478" r:id="rId1328" display="https://github.com/getgrav/grav-plugin-admin2"/>
    <hyperlink ref="G1479" r:id="rId1329" display="https://payloadcms.com/docs/custom-components/dashboard"/>
    <hyperlink ref="G1480" r:id="rId1330" display="https://github.com/tallcms/tallcms/tree/main/packages/tallcms/cms/src/Filament/Widgets"/>
    <hyperlink ref="G1481" r:id="rId1331" display="https://filamentphp.com/docs/5.x/widgets/overview"/>
    <hyperlink ref="G1482" r:id="rId1332" display="https://developer.wordpress.org/plugins/administration-menus/"/>
    <hyperlink ref="G1483" r:id="rId1333" display="https://www.drupal.org/docs/drupal-apis/routing-system"/>
    <hyperlink ref="G1484" r:id="rId1334" display="https://craftcms.com/docs/5.x/extend/cp-section.html"/>
    <hyperlink ref="G1485" r:id="rId1335" display="https://getkirby.com/docs/reference/plugins/extensions/panel-areas"/>
    <hyperlink ref="G1486" r:id="rId1336" display="https://statamic.dev/control-panel/utilities"/>
    <hyperlink ref="G1487" r:id="rId1337" display="https://docs.octobercms.com/4.x/extend/system/controllers.html"/>
    <hyperlink ref="G1488" r:id="rId1338" display="https://github.com/getgrav/grav-plugin-admin2/blob/develop/CHANGELOG.md"/>
    <hyperlink ref="G1489" r:id="rId1339" display="https://payloadcms.com/docs/custom-components/custom-views"/>
    <hyperlink ref="G1490" r:id="rId1340" display="https://github.com/tallcms/tallcms/blob/main/docs/dev-plugins.md"/>
    <hyperlink ref="G1491" r:id="rId1341" display="https://filamentphp.com/docs/5.x/navigation/custom-pages"/>
    <hyperlink ref="G1492" r:id="rId1342" display="https://wordpress.org/plugins/wp-super-cache/"/>
    <hyperlink ref="G1493" r:id="rId1343" display="https://www.drupal.org/docs/core-modules-and-themes/core-modules/internal-page-cache-module"/>
    <hyperlink ref="G1494" r:id="rId1344" display="https://plugins.craftcms.com/blitz"/>
    <hyperlink ref="G1495" r:id="rId1345" display="https://getkirby.com/docs/guide/cache"/>
    <hyperlink ref="G1496" r:id="rId1346" display="https://statamic.dev/advanced-topics/static-caching"/>
    <hyperlink ref="G1497" r:id="rId1347" display="https://octobercms.com/plugins?search=static"/>
    <hyperlink ref="G1498" r:id="rId1348" display="https://learn.getgrav.org/17/basics/grav-configuration"/>
    <hyperlink ref="G1502" r:id="rId1349" display="https://developer.wordpress.org/reference/classes/wp_object_cache/"/>
    <hyperlink ref="G1503" r:id="rId1350" display="https://www.drupal.org/docs/drupal-apis/cache-api"/>
    <hyperlink ref="G1504" r:id="rId1351" display="https://craftcms.com/docs/5.x/reference/twig/tags.html"/>
    <hyperlink ref="G1505" r:id="rId1352" display="https://getkirby.com/docs/guide/cache"/>
    <hyperlink ref="G1506" r:id="rId1353" display="https://statamic.dev/advanced-topics/caching"/>
    <hyperlink ref="G1507" r:id="rId1354" display="https://docs.octobercms.com/4.x/markup/tag/cache.html"/>
    <hyperlink ref="G1508" r:id="rId1355" display="https://github.com/getgrav/grav/releases"/>
    <hyperlink ref="G1509" r:id="rId1356" display="https://payloadcms.com/docs/performance/overview"/>
    <hyperlink ref="G1510" r:id="rId1357" display="https://github.com/tallcms/tallcms/tree/main/packages/tallcms/cms/src/Support/MenuCache.php"/>
    <hyperlink ref="G1511" r:id="rId1358" display="https://laravel.com/docs/cache"/>
    <hyperlink ref="G1512" r:id="rId1359" display="https://wordpress.org/plugins/wp-super-cache/"/>
    <hyperlink ref="G1513" r:id="rId1360" display="https://www.drupal.org/project/tome"/>
    <hyperlink ref="G1514" r:id="rId1361" display="https://plugins.craftcms.com/blitz"/>
    <hyperlink ref="G1515" r:id="rId1362" display="https://github.com/getkirby/staticache"/>
    <hyperlink ref="G1516" r:id="rId1363" display="https://statamic.dev/advanced-topics/static-caching"/>
    <hyperlink ref="G1517" r:id="rId1364" display="https://octobercms.com/plugins?search=static"/>
    <hyperlink ref="G1518" r:id="rId1365" display="https://github.com/OleVik/grav-plugin-static-generator"/>
    <hyperlink ref="G1522" r:id="rId1366" display="https://wordpress.org/plugins/wp-super-cache/"/>
    <hyperlink ref="G1523" r:id="rId1367" display="https://www.drupal.org/docs/drupal-apis/cache-api/cache-tags"/>
    <hyperlink ref="G1524" r:id="rId1368" display="https://craftcms.com/docs/5.x/reference/twig/tags.html"/>
    <hyperlink ref="G1525" r:id="rId1369" display="https://github.com/getkirby/staticache"/>
    <hyperlink ref="G1526" r:id="rId1370" display="https://statamic.dev/advanced-topics/static-caching"/>
    <hyperlink ref="G1527" r:id="rId1371" display="https://docs.octobercms.com/4.x/markup/tag/cache.html"/>
    <hyperlink ref="G1528" r:id="rId1372" display="https://learn.getgrav.org/17/basics/grav-configuration"/>
    <hyperlink ref="G1529" r:id="rId1373" display="https://github.com/payloadcms/payload/tree/main/templates/website"/>
    <hyperlink ref="G1530" r:id="rId1374" display="https://github.com/tallcms/tallcms/tree/main/packages/tallcms/cms/src/Support/MenuCache.php"/>
    <hyperlink ref="G1532" r:id="rId1375" display="https://make.wordpress.org/core/2020/07/14/lazy-loading-images-in-5-5/"/>
    <hyperlink ref="G1533" r:id="rId1376" display="https://www.drupal.org/docs/user_guide/en/structure-fields.html"/>
    <hyperlink ref="G1534" r:id="rId1377" display="https://craftcms.com/docs/5.x/development/image-transforms.html"/>
    <hyperlink ref="G1536" r:id="rId1378" display="https://statamic.dev/tags/glide"/>
    <hyperlink ref="G1538" r:id="rId1379" display="https://learn.getgrav.org/20/content/media"/>
    <hyperlink ref="G1540" r:id="rId1380" display="https://github.com/tallcms/tallcms/tree/main/packages/tallcms/cms/resources/views/components/responsive-image.blade.php"/>
    <hyperlink ref="G1542" r:id="rId1381" display="https://wordpress.org/plugins/jetpack-boost/"/>
    <hyperlink ref="G1543" r:id="rId1382" display="https://www.drupal.org/project/cdn"/>
    <hyperlink ref="G1544" r:id="rId1383" display="https://craftcms.com/docs/5.x/reference/element-types/assets.html"/>
    <hyperlink ref="G1545" r:id="rId1384" display="https://getkirby.com/docs/reference/plugins/extensions/core-components"/>
    <hyperlink ref="G1546" r:id="rId1385" display="https://statamic.dev/frontend/image-manipulation"/>
    <hyperlink ref="G1547" r:id="rId1386" display="https://docs.octobercms.com/4.x/cms/themes/database-themes.html"/>
    <hyperlink ref="G1548" r:id="rId1387" display="https://toolradar.com/tools/grav/pricing"/>
    <hyperlink ref="G1549" r:id="rId1388" display="https://payloadcms.com/docs/upload/storage-adapters"/>
    <hyperlink ref="G1550" r:id="rId1389" display="https://github.com/tallcms/tallcms/blob/main/docs/site-media.md"/>
    <hyperlink ref="G1551" r:id="rId1390" display="https://larazeus.com/docs/sky/v5/getting-started/configuration"/>
    <hyperlink ref="G1552" r:id="rId1391" display="https://developer.wordpress.org/reference/functions/_prime_post_caches/"/>
    <hyperlink ref="G1553" r:id="rId1392" display="https://www.drupal.org/blog/drupal-11-4-0"/>
    <hyperlink ref="G1554" r:id="rId1393" display="https://craftcms.com/docs/5.x/development/eager-loading.html"/>
    <hyperlink ref="G1555" r:id="rId1394" display="https://getkirby.com/docs/guide/uuids"/>
    <hyperlink ref="G1556" r:id="rId1395" display="https://statamic.dev/advanced-topics/stache"/>
    <hyperlink ref="G1557" r:id="rId1396" display="https://docs.octobercms.com/4.x/cms/tailor/models.html"/>
    <hyperlink ref="G1558" r:id="rId1397" display="https://github.com/getgrav/grav/blob/develop/CHANGELOG.md"/>
    <hyperlink ref="G1559" r:id="rId1398" display="https://payloadcms.com/docs/queries/select"/>
    <hyperlink ref="G1560" r:id="rId1399" display="https://github.com/tallcms/tallcms/blob/main/docs/dev-api.md"/>
    <hyperlink ref="G1561" r:id="rId1400" display="https://github.com/lara-zeus/sky/blob/main/src/Livewire/Posts.php"/>
    <hyperlink ref="G1562" r:id="rId1401" display="https://developer.wordpress.org/plugins/cron/"/>
    <hyperlink ref="G1563" r:id="rId1402" display="https://www.drupal.org/docs/administering-a-drupal-site/cron-automated-tasks"/>
    <hyperlink ref="G1564" r:id="rId1403" display="https://craftcms.com/docs/5.x/system/queue.html"/>
    <hyperlink ref="G1565" r:id="rId1404" display="https://plugins.getkirby.com/bnomei/janitor"/>
    <hyperlink ref="G1566" r:id="rId1405" display="https://statamic.dev/advanced-topics/scheduling"/>
    <hyperlink ref="G1567" r:id="rId1406" display="https://docs.octobercms.com/4.x/extend/system/scheduling.html"/>
    <hyperlink ref="G1568" r:id="rId1407" display="https://learn.getgrav.org/17/advanced/scheduler"/>
    <hyperlink ref="G1569" r:id="rId1408" display="https://payloadcms.com/docs/jobs-queue/schedules"/>
    <hyperlink ref="G1570" r:id="rId1409" display="https://github.com/tallcms/tallcms/tree/main/packages/tallcms/cms/src/Console/Commands/CleanExpiredPreviewTokens.php"/>
    <hyperlink ref="G1571" r:id="rId1410" display="https://laravel.com/docs/scheduling"/>
    <hyperlink ref="G1572" r:id="rId1411" display="https://actionscheduler.org/"/>
    <hyperlink ref="G1573" r:id="rId1412" display="https://api.drupal.org/api/drupal/core!core.api.php/group/queue/11.x"/>
    <hyperlink ref="G1574" r:id="rId1413" display="https://craftcms.com/docs/5.x/system/queue.html"/>
    <hyperlink ref="G1576" r:id="rId1414" display="https://statamic.dev/frontend/search"/>
    <hyperlink ref="G1577" r:id="rId1415" display="https://docs.octobercms.com/4.x/extend/services/queue.html"/>
    <hyperlink ref="G1578" r:id="rId1416" display="https://github.com/getgrav/grav/blob/develop/CHANGELOG.md"/>
    <hyperlink ref="G1579" r:id="rId1417" display="https://payloadcms.com/docs/jobs-queue/overview"/>
    <hyperlink ref="G1580" r:id="rId1418" display="https://github.com/tallcms/tallcms/tree/main/packages/tallcms/cms/src/Jobs"/>
    <hyperlink ref="G1581" r:id="rId1419" display="https://laravel.com/docs/queues"/>
    <hyperlink ref="G1582" r:id="rId1420" display="https://wordpress.org/news/2026/08/mary-lou/"/>
    <hyperlink ref="G1583" r:id="rId1421" display="https://www.drupal.org/docs/drupal-apis/batch-api"/>
    <hyperlink ref="G1584" r:id="rId1422" display="https://craftcms.com/docs/5.x/system/queue.html"/>
    <hyperlink ref="G1585" r:id="rId1423" display="https://getkirby.com/docs/guide/files/resize-images-on-the-fly"/>
    <hyperlink ref="G1586" r:id="rId1424" display="https://statamic.dev/frontend/search"/>
    <hyperlink ref="G1587" r:id="rId1425" display="https://docs.octobercms.com/4.x/markup/filter/resize.html"/>
    <hyperlink ref="G1588" r:id="rId1426" display="https://learn.getgrav.org/20/grav-premium/ai-pro"/>
    <hyperlink ref="G1589" r:id="rId1427" display="https://payloadcms.com/docs/jobs-queue/overview"/>
    <hyperlink ref="G1590" r:id="rId1428" display="https://github.com/tallcms/tallcms/blob/main/docs/site-media.md"/>
    <hyperlink ref="G1591" r:id="rId1429" display="https://spatie.be/docs/laravel-medialibrary/v11/converting-images/defining-conversions"/>
    <hyperlink ref="G1592" r:id="rId1430" display="https://wordpress.org/about/security/"/>
    <hyperlink ref="G1593" r:id="rId1431" display="https://www.drupal.org/drupal-security-team"/>
    <hyperlink ref="G1594" r:id="rId1432" display="https://github.com/craftcms/cms/security/policy"/>
    <hyperlink ref="G1595" r:id="rId1433" display="https://getkirby.com/security"/>
    <hyperlink ref="G1596" r:id="rId1434" display="https://statamic.dev/knowledge-base/release-schedule-support-policy"/>
    <hyperlink ref="G1597" r:id="rId1435" display="https://octobercms.com/changelog"/>
    <hyperlink ref="G1598" r:id="rId1436" display="https://github.com/getgrav/grav/releases"/>
    <hyperlink ref="G1599" r:id="rId1437" display="https://github.com/payloadcms/payload/security"/>
    <hyperlink ref="G1600" r:id="rId1438" display="https://github.com/tallcms/tallcms/blob/main/SECURITY.md"/>
    <hyperlink ref="G1601" r:id="rId1439" display="https://github.com/lara-zeus/sky/blob/main/README.md"/>
    <hyperlink ref="G1602" r:id="rId1440" display="https://developer.wordpress.org/apis/security/"/>
    <hyperlink ref="G1603" r:id="rId1441" display="https://www.drupal.org/docs/administering-a-drupal-site/security-in-drupal"/>
    <hyperlink ref="G1604" r:id="rId1442" display="https://craftcms.com/docs/5.x/reference/config/general.html"/>
    <hyperlink ref="G1605" r:id="rId1443" display="https://getkirby.com/docs/reference/templates/helpers"/>
    <hyperlink ref="G1606" r:id="rId1444" display="https://statamic.dev/advanced-topics/static-caching"/>
    <hyperlink ref="G1607" r:id="rId1445" display="https://docs.octobercms.com/4.x/setup/configuration.html"/>
    <hyperlink ref="G1608" r:id="rId1446" display="https://github.com/getgrav/grav/blob/develop/CHANGELOG.md"/>
    <hyperlink ref="G1609" r:id="rId1447" display="https://payloadcms.com/docs/production/preventing-abuse"/>
    <hyperlink ref="G1610" r:id="rId1448" display="https://github.com/tallcms/tallcms/tree/main/packages/tallcms/cms/src/Services/HtmlSanitizerService.php"/>
    <hyperlink ref="G1611" r:id="rId1449" display="https://github.com/lara-zeus/sky/blob/main/src/Editors/RichEditor.php"/>
    <hyperlink ref="G1612" r:id="rId1450" display="https://jetpack.com/support/protect/"/>
    <hyperlink ref="G1613" r:id="rId1451" display="https://www.drupal.org/docs/administering-a-drupal-site/security-in-drupal"/>
    <hyperlink ref="G1614" r:id="rId1452" display="https://craftcms.com/docs/5.x/system/user-management.html"/>
    <hyperlink ref="G1615" r:id="rId1453" display="https://getkirby.com/docs/reference/system/options/auth"/>
    <hyperlink ref="G1616" r:id="rId1454" display="https://statamic.dev/control-panel/users"/>
    <hyperlink ref="G1617" r:id="rId1455" display="https://github.com/octobercms/october/blob/develop/modules/backend/models/UserThrottle.php"/>
    <hyperlink ref="G1618" r:id="rId1456" display="https://github.com/getgrav/grav-plugin-login"/>
    <hyperlink ref="G1619" r:id="rId1457" display="https://payloadcms.com/docs/authentication/overview"/>
    <hyperlink ref="G1620" r:id="rId1458" display="https://github.com/tallcms/tallcms/blob/main/docs/dev-api.md"/>
    <hyperlink ref="G1621" r:id="rId1459" display="https://filamentphp.com/docs/5.x/users/overview"/>
    <hyperlink ref="G1622" r:id="rId1460" display="https://jetpack.com/support/activity-log/"/>
    <hyperlink ref="G1623" r:id="rId1461" display="https://www.drupal.org/project/admin_audit_trail"/>
    <hyperlink ref="G1624" r:id="rId1462" display="https://packagist.org/packages/webdna/auditor"/>
    <hyperlink ref="G1625" r:id="rId1463" display="https://getkirby.com/plugins/michnhokn/logger"/>
    <hyperlink ref="G1626" r:id="rId1464" display="https://statamic.com/addons/emran-alhaddad/statamic-logbook"/>
    <hyperlink ref="G1627" r:id="rId1465" display="https://github.com/octobercms/october/blob/develop/modules/backend/models/AccessLog.php"/>
    <hyperlink ref="G1628" r:id="rId1466" display="https://github.com/getgrav/grav-plugin-api/blob/develop/CHANGELOG.md"/>
    <hyperlink ref="G1629" r:id="rId1467" display="https://payloadcms.com/enterprise"/>
    <hyperlink ref="G1630" r:id="rId1468" display="https://github.com/tallcms/tallcms/blob/main/docs/ref-filament-ecosystem.md"/>
    <hyperlink ref="G1631" r:id="rId1469" display="https://spatie.be/docs/laravel-activitylog"/>
    <hyperlink ref="G1632" r:id="rId1470" display="https://wordpress.org/documentation/article/password-best-practices/"/>
    <hyperlink ref="G1633" r:id="rId1471" display="https://www.drupal.org/project/password_policy"/>
    <hyperlink ref="G1634" r:id="rId1472" display="https://craftcms.com/docs/5.x/reference/config/general.html"/>
    <hyperlink ref="G1635" r:id="rId1473" display="https://getkirby.com/releases/6"/>
    <hyperlink ref="G1636" r:id="rId1474" display="https://statamic.dev/control-panel/users"/>
    <hyperlink ref="G1637" r:id="rId1475" display="https://github.com/octobercms/october/blob/develop/config/backend.php"/>
    <hyperlink ref="G1638" r:id="rId1476" display="https://github.com/getgrav/grav-plugin-admin2"/>
    <hyperlink ref="G1640" r:id="rId1477" display="https://github.com/tallcms/tallcms/tree/main/packages/tallcms/cms/src/Filament/Resources/Users/Schemas/UserForm.php"/>
    <hyperlink ref="G1641" r:id="rId1478" location="validating-passwords" display="https://laravel.com/docs/validation#validating-passwords"/>
    <hyperlink ref="G1642" r:id="rId1479" display="https://developer.wordpress.org/reference/functions/send_frame_options_header/"/>
    <hyperlink ref="G1643" r:id="rId1480" display="https://www.drupal.org/project/seckit"/>
    <hyperlink ref="G1644" r:id="rId1481" display="https://craftcms.com/docs/5.x/reference/twig/tags.html"/>
    <hyperlink ref="G1645" r:id="rId1482" display="https://getkirby.com/docs/reference/system/options/panel"/>
    <hyperlink ref="G1648" r:id="rId1483" display="https://github.com/getgrav/grav/blob/develop/CHANGELOG.md"/>
    <hyperlink ref="G1652" r:id="rId1484" display="https://developer.wordpress.org/reference/functions/wp_check_filetype_and_ext/"/>
    <hyperlink ref="G1653" r:id="rId1485" display="https://www.drupal.org/docs/administering-a-drupal-site/security-in-drupal"/>
    <hyperlink ref="G1654" r:id="rId1486" display="https://craftcms.com/docs/5.x/reference/config/general.html"/>
    <hyperlink ref="G1655" r:id="rId1487" display="https://getkirby.com/docs/guide/files/file-metadata"/>
    <hyperlink ref="G1656" r:id="rId1488" display="https://statamic.dev/frontend/assets"/>
    <hyperlink ref="G1657" r:id="rId1489" display="https://octobercms.com/support/article/rn-43"/>
    <hyperlink ref="G1658" r:id="rId1490" display="https://github.com/getgrav/grav/blob/develop/CHANGELOG.md"/>
    <hyperlink ref="G1659" r:id="rId1491" location="restricted-file-types" display="https://payloadcms.com/docs/upload/overview#restricted-file-types"/>
    <hyperlink ref="G1660" r:id="rId1492" display="https://github.com/tallcms/tallcms/blob/main/docs/dev-plugins.md"/>
    <hyperlink ref="G1661" r:id="rId1493" display="https://github.com/lara-zeus/sky/blob/main/src/Filament/Resources/PostResource.php"/>
    <hyperlink ref="G1662" r:id="rId1494" display="https://wp-cli.org/"/>
    <hyperlink ref="G1663" r:id="rId1495" display="https://www.drupal.org/blog/drupal-11-4-0"/>
    <hyperlink ref="G1664" r:id="rId1496" display="https://craftcms.com/docs/5.x/reference/cli.html"/>
    <hyperlink ref="G1665" r:id="rId1497" display="https://github.com/getkirby/cli"/>
    <hyperlink ref="G1666" r:id="rId1498" display="https://statamic.dev/advanced-topics/cli"/>
    <hyperlink ref="G1667" r:id="rId1499" display="https://docs.octobercms.com/4.x/element/available-commands.html"/>
    <hyperlink ref="G1668" r:id="rId1500" display="https://learn.getgrav.org/17/advanced/scheduler"/>
    <hyperlink ref="G1669" r:id="rId1501" display="https://payloadcms.com/docs/database/migrations"/>
    <hyperlink ref="G1670" r:id="rId1502" display="https://github.com/tallcms/tallcms/blob/main/docs/dev-cli-commands.md"/>
    <hyperlink ref="G1671" r:id="rId1503" display="https://github.com/lara-zeus/sky/blob/main/src/SkyServiceProvider.php"/>
    <hyperlink ref="G1672" r:id="rId1504" display="https://developer.wordpress.org/block-editor/reference-guides/packages/packages-create-block/"/>
    <hyperlink ref="G1673" r:id="rId1505" display="https://www.drush.org/latest/generators/all/"/>
    <hyperlink ref="G1674" r:id="rId1506" display="https://craftcms.com/docs/5.x/extend/generator.html"/>
    <hyperlink ref="G1675" r:id="rId1507" display="https://github.com/getkirby/cli"/>
    <hyperlink ref="G1676" r:id="rId1508" display="https://statamic.dev/advanced-topics/cli"/>
    <hyperlink ref="G1677" r:id="rId1509" display="https://docs.octobercms.com/4.x/element/available-commands.html"/>
    <hyperlink ref="G1678" r:id="rId1510" display="https://github.com/getgrav/grav-plugin-devtools"/>
    <hyperlink ref="G1679" r:id="rId1511" display="https://payloadcms.com/docs/getting-started/installation"/>
    <hyperlink ref="G1680" r:id="rId1512" display="https://github.com/tallcms/tallcms/blob/main/docs/dev-cli-commands.md"/>
    <hyperlink ref="G1681" r:id="rId1513" display="https://github.com/lara-zeus/sky/blob/main/src/Console/ZeusEditorCommand.php"/>
    <hyperlink ref="G1682" r:id="rId1514" display="https://developer.wordpress.org/reference/functions/dbdelta/"/>
    <hyperlink ref="G1683" r:id="rId1515" display="https://www.drupal.org/docs/drupal-apis/update-api"/>
    <hyperlink ref="G1684" r:id="rId1516" display="https://craftcms.com/docs/5.x/extend/migrations.html"/>
    <hyperlink ref="G1686" r:id="rId1517" display="https://statamic.dev/advanced-topics/cli"/>
    <hyperlink ref="G1687" r:id="rId1518" display="https://docs.octobercms.com/4.x/extend/database/structure.html"/>
    <hyperlink ref="G1689" r:id="rId1519" display="https://payloadcms.com/docs/database/migrations"/>
    <hyperlink ref="G1690" r:id="rId1520" display="https://github.com/tallcms/tallcms/blob/main/docs/dev-cli-commands.md"/>
    <hyperlink ref="G1691" r:id="rId1521" display="https://larazeus.com/docs/sky/v5/getting-started/installation"/>
    <hyperlink ref="G1692" r:id="rId1522" display="https://developer.wordpress.org/cli/commands/post/generate/"/>
    <hyperlink ref="G1693" r:id="rId1523" display="https://www.drupal.org/project/devel"/>
    <hyperlink ref="G1694" r:id="rId1524" display="https://craftcms.com/docs/4.x/testing/"/>
    <hyperlink ref="G1697" r:id="rId1525" display="https://docs.octobercms.com/4.x/element/available-commands.html"/>
    <hyperlink ref="G1698" r:id="rId1526" display="https://github.com/trilbymedia/grav-plugin-flex-objects"/>
    <hyperlink ref="G1699" r:id="rId1527" display="https://github.com/payloadcms/payload/tree/main/templates/website"/>
    <hyperlink ref="G1700" r:id="rId1528" display="https://github.com/tallcms/tallcms/blob/main/docs/ref-roles-authorization.md"/>
    <hyperlink ref="G1701" r:id="rId1529" display="https://github.com/lara-zeus/sky/blob/main/database/seeders/SkySeeder.php"/>
    <hyperlink ref="G1702" r:id="rId1530" display="https://developer.wordpress.org/block-editor/reference-guides/packages/packages-env/"/>
    <hyperlink ref="G1703" r:id="rId1531" display="https://www.drupal.org/docs/develop/automated-testing"/>
    <hyperlink ref="G1704" r:id="rId1532" display="https://docs.craftcms.com/api/v5/craft-test-craft.html"/>
    <hyperlink ref="G1706" r:id="rId1533" display="https://statamic.dev/addons/testing"/>
    <hyperlink ref="G1707" r:id="rId1534" display="https://docs.octobercms.com/4.x/extend/system/unit-testing.html"/>
    <hyperlink ref="G1708" r:id="rId1535" display="https://github.com/getgrav/grav"/>
    <hyperlink ref="G1709" r:id="rId1536" display="https://github.com/payloadcms/payload/tree/main/templates/website"/>
    <hyperlink ref="G1710" r:id="rId1537" display="https://github.com/tallcms/tallcms/tree/main/packages/tallcms/cms/tests"/>
    <hyperlink ref="G1711" r:id="rId1538" display="https://github.com/lara-zeus/sky/blob/main/tests/TestCase.php"/>
    <hyperlink ref="G1712" r:id="rId1539" display="https://developer.wordpress.org/advanced-administration/debug/debug-wordpress/"/>
    <hyperlink ref="G1713" r:id="rId1540" display="https://www.drupal.org/project/webprofiler"/>
    <hyperlink ref="G1714" r:id="rId1541" display="https://github.com/craftcms/cms/blob/5.x/CHANGELOG.md"/>
    <hyperlink ref="G1715" r:id="rId1542" display="https://plugins.getkirby.com/topics/analytics"/>
    <hyperlink ref="G1716" r:id="rId1543" display="https://statamic.dev/advanced-topics/debugging"/>
    <hyperlink ref="G1717" r:id="rId1544" display="https://docs.octobercms.com/4.x/resources/debugbar.html"/>
    <hyperlink ref="G1718" r:id="rId1545" display="https://github.com/getgrav/grav/blob/develop/composer.json"/>
    <hyperlink ref="G1719" r:id="rId1546" display="https://payloadcms.com/docs/plugins/sentry"/>
    <hyperlink ref="G1721" r:id="rId1547" display="https://laravel.com/docs/telescope"/>
    <hyperlink ref="G1723" r:id="rId1548" display="https://github.com/mglaman/phpstan-drupal"/>
    <hyperlink ref="G1724" r:id="rId1549" display="https://github.com/craftcms/phpstan"/>
    <hyperlink ref="G1725" r:id="rId1550" display="https://getkirby.com/releases/5"/>
    <hyperlink ref="G1728" r:id="rId1551" display="https://github.com/getgrav/grav/blob/develop/composer.json"/>
    <hyperlink ref="G1729" r:id="rId1552" display="https://payloadcms.com/docs/typescript/generating-types"/>
    <hyperlink ref="G1731" r:id="rId1553" display="https://github.com/lara-zeus/sky/blob/main/src/Models/Post.php"/>
    <hyperlink ref="G1732" r:id="rId1554" display="https://developer.wordpress.org"/>
    <hyperlink ref="G1733" r:id="rId1555" display="https://api.drupal.org"/>
    <hyperlink ref="G1734" r:id="rId1556" display="https://craftcms.com/docs/5.x/"/>
    <hyperlink ref="G1735" r:id="rId1557" display="https://getkirby.com/docs/"/>
    <hyperlink ref="G1736" r:id="rId1558" display="https://statamic.dev/"/>
    <hyperlink ref="G1737" r:id="rId1559" display="https://docs.octobercms.com/4.x/"/>
    <hyperlink ref="G1738" r:id="rId1560" display="https://learn.getgrav.org/20/grav-premium"/>
    <hyperlink ref="G1739" r:id="rId1561" display="https://payloadcms.com/docs/"/>
    <hyperlink ref="G1740" r:id="rId1562" display="https://github.com/tallcms/tallcms/blob/main/docs/README.md"/>
    <hyperlink ref="G1741" r:id="rId1563" display="https://larazeus.com/docs/sky/v5/introduction"/>
    <hyperlink ref="G1742" r:id="rId1564" display="https://developer.wordpress.org/advanced-administration/before-install/howto-install/"/>
    <hyperlink ref="G1743" r:id="rId1565" display="https://project.pages.drupalcode.org/drupal_cms/get-started/install/"/>
    <hyperlink ref="G1744" r:id="rId1566" display="https://craftcms.com/docs/5.x/install.html"/>
    <hyperlink ref="G1745" r:id="rId1567" display="https://getkirby.com/docs/guide/quickstart"/>
    <hyperlink ref="G1746" r:id="rId1568" display="https://statamic.dev/getting-started/installing"/>
    <hyperlink ref="G1747" r:id="rId1569" display="https://docs.octobercms.com/4.x/setup/installation.html"/>
    <hyperlink ref="G1748" r:id="rId1570" display="https://github.com/getgrav/grav-plugin-admin2"/>
    <hyperlink ref="G1750" r:id="rId1571" display="https://github.com/tallcms/tallcms/blob/main/docs/gs-installation.md"/>
    <hyperlink ref="G1751" r:id="rId1572" display="https://larazeus.com/docs/sky/v5/getting-started/installation"/>
    <hyperlink ref="G1752" r:id="rId1573" display="https://developer.wordpress.org/cli/commands/core/"/>
    <hyperlink ref="G1753" r:id="rId1574" display="https://www.drupal.org/docs/getting-started/installing-drupal"/>
    <hyperlink ref="G1754" r:id="rId1575" display="https://craftcms.com/docs/5.x/install.html"/>
    <hyperlink ref="G1755" r:id="rId1576" display="https://getkirby.com/docs/guide/quickstart"/>
    <hyperlink ref="G1756" r:id="rId1577" display="https://statamic.dev/getting-started/installing"/>
    <hyperlink ref="G1757" r:id="rId1578" display="https://docs.octobercms.com/4.x/setup/installation.html"/>
    <hyperlink ref="G1758" r:id="rId1579" display="https://github.com/getgrav/grav/blob/develop/composer.json"/>
    <hyperlink ref="G1759" r:id="rId1580" display="https://payloadcms.com/docs/getting-started/installation"/>
    <hyperlink ref="G1760" r:id="rId1581" display="https://github.com/tallcms/tallcms/blob/main/docs/gs-installation.md"/>
    <hyperlink ref="G1761" r:id="rId1582" display="https://larazeus.com/docs/sky/v5/getting-started/installation"/>
    <hyperlink ref="G1762" r:id="rId1583" display="https://wordpress.org/documentation/article/updating-wordpress/"/>
    <hyperlink ref="G1763" r:id="rId1584" display="https://www.drupal.org/project/automatic_updates"/>
    <hyperlink ref="G1764" r:id="rId1585" display="https://craftcms.com/docs/5.x/reference/config/general.html"/>
    <hyperlink ref="G1765" r:id="rId1586" display="https://getkirby.com/docs/reference/system/options/updates"/>
    <hyperlink ref="G1766" r:id="rId1587" display="https://statamic.dev/getting-started/updating"/>
    <hyperlink ref="G1767" r:id="rId1588" display="https://docs.octobercms.com/4.x/resources/updating-october.html"/>
    <hyperlink ref="G1768" r:id="rId1589" display="https://github.com/getgrav/grav-plugin-admin2"/>
    <hyperlink ref="G1770" r:id="rId1590" display="https://github.com/tallcms/tallcms/blob/main/docs/ref-updating.md"/>
    <hyperlink ref="G1772" r:id="rId1591" display="https://wordpress.org/documentation/article/plugins-themes-auto-updates/"/>
    <hyperlink ref="G1773" r:id="rId1592" display="https://www.drupal.org/project/automatic_updates"/>
    <hyperlink ref="G1776" r:id="rId1593" display="https://statamic.dev/getting-started/updating"/>
    <hyperlink ref="G1780" r:id="rId1594" display="https://github.com/tallcms/tallcms/blob/main/docs/ref-updating.md"/>
    <hyperlink ref="G1782" r:id="rId1595" display="https://developer.wordpress.org/reference/functions/wp_maintenance/"/>
    <hyperlink ref="G1783" r:id="rId1596" display="https://www.drupal.org/docs/user_guide/en/extend-maintenance.html"/>
    <hyperlink ref="G1784" r:id="rId1597" display="https://craftcms.com/docs/5.x/reference/config/general.html"/>
    <hyperlink ref="G1785" r:id="rId1598" display="https://plugins.getkirby.com/topics/routing"/>
    <hyperlink ref="G1787" r:id="rId1599" display="https://docs.octobercms.com/4.x/cms/multisite/multisite.html"/>
    <hyperlink ref="G1788" r:id="rId1600" display="https://github.com/getgrav/grav-plugin-maintenance"/>
    <hyperlink ref="G1790" r:id="rId1601" display="https://github.com/tallcms/tallcms/blob/main/docs/site-settings.md"/>
    <hyperlink ref="G1791" r:id="rId1602" location="maintenance-mode" display="https://laravel.com/docs/configuration#maintenance-mode"/>
    <hyperlink ref="G1792" r:id="rId1603" display="https://wordpress.org/about/requirements/"/>
    <hyperlink ref="G1793" r:id="rId1604" display="https://project.pages.drupalcode.org/drupal_cms/customize/hosting/"/>
    <hyperlink ref="G1794" r:id="rId1605" display="https://craftcms.com/docs/5.x/requirements.html"/>
    <hyperlink ref="G1795" r:id="rId1606" display="https://getkirby.com/docs/guide/migration"/>
    <hyperlink ref="G1796" r:id="rId1607" display="https://statamic.dev/knowledge-base/recommended-hosts"/>
    <hyperlink ref="G1797" r:id="rId1608" display="https://docs.octobercms.com/4.x/setup/installation.html"/>
    <hyperlink ref="G1798" r:id="rId1609" display="https://github.com/getgrav/grav-plugin-api"/>
    <hyperlink ref="G1799" r:id="rId1610" display="https://payloadcms.com/docs/production/deployment"/>
    <hyperlink ref="G1800" r:id="rId1611" display="https://github.com/tallcms/tallcms/blob/main/docs/gs-installation.md"/>
    <hyperlink ref="G1801" r:id="rId1612" display="https://larazeus.com/docs/sky/v5/getting-started/installation"/>
    <hyperlink ref="G1802" r:id="rId1613" display="https://wordpress.org/plugins/ai/"/>
    <hyperlink ref="G1803" r:id="rId1614" display="https://www.drupal.org/project/ai"/>
    <hyperlink ref="G1804" r:id="rId1615" display="https://plugins.craftcms.com/categories/ai"/>
    <hyperlink ref="G1805" r:id="rId1616" display="https://plugins.getkirby.com/topics/ai"/>
    <hyperlink ref="G1806" r:id="rId1617" display="https://statamic.com/newsletter/2026-08"/>
    <hyperlink ref="G1807" r:id="rId1618" display="https://octobercms.com/plugins?search=ai"/>
    <hyperlink ref="G1808" r:id="rId1619" display="https://learn.getgrav.org/20/grav-premium/ai-pro"/>
    <hyperlink ref="G1809" r:id="rId1620" display="https://payloadcms.com/enterprise"/>
    <hyperlink ref="G1812" r:id="rId1621" display="https://wordpress.org/plugins/ai/"/>
    <hyperlink ref="G1813" r:id="rId1622" display="https://www.drupal.org/project/ai"/>
    <hyperlink ref="G1814" r:id="rId1623" display="https://packagist.org/packages/digitalpulsebe/craft-deepl-translator"/>
    <hyperlink ref="G1815" r:id="rId1624" display="https://plugins.getkirby.com/johannschopplich/content-translator"/>
    <hyperlink ref="G1816" r:id="rId1625" display="https://statamic.com/addons/awl/deepl"/>
    <hyperlink ref="G1818" r:id="rId1626" display="https://learn.getgrav.org/20/grav-premium"/>
    <hyperlink ref="G1819" r:id="rId1627" display="https://payloadcms.com/enterprise"/>
    <hyperlink ref="G1820" r:id="rId1628" display="https://github.com/tallcms/tallcms/tree/main/packages/tallcms/cms/src/Filament/Concerns/HasTranslationCopying.php"/>
    <hyperlink ref="G1822" r:id="rId1629" display="https://wordpress.org/plugins/ai/"/>
    <hyperlink ref="G1823" r:id="rId1630" display="https://project.pages.drupalcode.org/drupal_cms/customize/ai-tools/"/>
    <hyperlink ref="G1824" r:id="rId1631" display="https://plugins.craftcms.com/altpilot"/>
    <hyperlink ref="G1825" r:id="rId1632" display="https://plugins.getkirby.com/topics/ai"/>
    <hyperlink ref="G1826" r:id="rId1633" display="https://statamic.com/addons/croox/ai-alt-text"/>
    <hyperlink ref="G1827" r:id="rId1634" display="https://octobercms.com/plugins?search=openai"/>
    <hyperlink ref="G1830" r:id="rId1635" display="https://github.com/tallcms/tallcms/blob/main/docs/site-media.md"/>
    <hyperlink ref="G1832" r:id="rId1636" display="https://wordpress.org/plugins/vecpost/"/>
    <hyperlink ref="G1833" r:id="rId1637" display="https://www.drupal.org/project/ai"/>
    <hyperlink ref="G1834" r:id="rId1638" display="https://www.viget.com/articles/ai-powered-craft-search-with-meilisearch/"/>
    <hyperlink ref="G1835" r:id="rId1639" display="https://plugins.getkirby.com/topics/ai"/>
    <hyperlink ref="G1837" r:id="rId1640" display="https://octobercms.com/plugins?search=search"/>
    <hyperlink ref="G1838" r:id="rId1641" display="https://learn.getgrav.org/20/grav-premium/yetisearch-pro"/>
    <hyperlink ref="G1839" r:id="rId1642" display="https://payloadcms.com/enterprise"/>
    <hyperlink ref="G1840" r:id="rId1643" display="https://github.com/tallcms/tallcms/blob/main/docs/ref-search.md"/>
    <hyperlink ref="G1842" r:id="rId1644" display="https://make.wordpress.org/ai/tag/mcp-release/"/>
    <hyperlink ref="G1843" r:id="rId1645" display="https://www.drupal.org/project/mcp_server"/>
    <hyperlink ref="G1844" r:id="rId1646" display="https://plugins.craftcms.com/mcp"/>
    <hyperlink ref="G1845" r:id="rId1647" display="https://plugins.getkirby.com/bnomei/kirby-mcp"/>
    <hyperlink ref="G1846" r:id="rId1648" display="https://packagist.org/packages/cboxdk/statamic-mcp"/>
    <hyperlink ref="G1847" r:id="rId1649" display="https://docs.octobercms.com/4.x/resources/ai-boost.html"/>
    <hyperlink ref="G1848" r:id="rId1650" display="https://github.com/getgrav/grav-mcp"/>
    <hyperlink ref="G1849" r:id="rId1651" display="https://payloadcms.com/docs/plugins/mcp"/>
    <hyperlink ref="G1850" r:id="rId1652" display="https://github.com/tallcms/tallcms/tree/main/packages/tallcms/cms/src/Http/Controllers/LlmsTxtController.php"/>
    <hyperlink ref="G1852" r:id="rId1653" display="https://wordpress.org/documentation/article/tools-export-personal-data-screen/"/>
    <hyperlink ref="G1853" r:id="rId1654" display="https://www.drupal.org/project/gdpr"/>
    <hyperlink ref="G1854" r:id="rId1655" display="https://craftcms.com/docs/5.x/system/user-management.html"/>
    <hyperlink ref="G1856" r:id="rId1656" display="https://packagist.org/packages/steetshub/statamic-forms-gdpr"/>
    <hyperlink ref="G1857" r:id="rId1657" display="https://octobercms.com/plugin/offline-gdpr"/>
    <hyperlink ref="G1858" r:id="rId1658" display="https://learn.getgrav.org/20/grav-premium/mailroom"/>
    <hyperlink ref="G1862" r:id="rId1659" display="https://wordpress.org/plugins/wp-consent-api/"/>
    <hyperlink ref="G1863" r:id="rId1660" display="https://project.pages.drupalcode.org/drupal_cms/customize/consent/"/>
    <hyperlink ref="G1864" r:id="rId1661" display="https://plugins.craftcms.com/cookie-banner"/>
    <hyperlink ref="G1865" r:id="rId1662" display="https://plugins.getkirby.com/topics/privacy"/>
    <hyperlink ref="G1866" r:id="rId1663" display="https://statamic.com/marketplace/addons/cookie-notice"/>
    <hyperlink ref="G1867" r:id="rId1664" display="https://octobercms.com/plugin/offline-gdpr"/>
    <hyperlink ref="G1868" r:id="rId1665" display="https://github.com/naucon/grav-plugin-cookieconsent"/>
    <hyperlink ref="G1870" r:id="rId1666" display="https://github.com/tallcms/tallcms/blob/main/docs/site-code-injection.md"/>
    <hyperlink ref="G1872" r:id="rId1667" display="https://wordpress.org/documentation/article/settings-privacy-screen/"/>
    <hyperlink ref="G1873" r:id="rId1668" display="https://project.pages.drupalcode.org/drupal_cms/customize/privacy-policy/"/>
    <hyperlink ref="G1881" r:id="rId1669" display="https://github.com/lara-zeus/sky/blob/main/src/Filament/Resources/PageResource.php"/>
    <hyperlink ref="G1882" r:id="rId1670" display="https://developer.wordpress.org/reference/functions/wp_privacy_anonymize_data/"/>
    <hyperlink ref="G1883" r:id="rId1671" display="https://www.drupal.org/docs/user_guide/en/user-cancel.html"/>
    <hyperlink ref="G1888" r:id="rId1672" display="https://learn.getgrav.org/17/basics/grav-configuration"/>
    <hyperlink ref="G1893" r:id="rId1673" display="https://www.drupal.org/docs/core-modules-and-themes/core-modules/dblog-module"/>
    <hyperlink ref="G1894" r:id="rId1674" display="https://craftcms.com/docs/5.x/reference/config/general.html"/>
    <hyperlink ref="G1896" r:id="rId1675" display="https://statamic.dev/frontend/forms"/>
    <hyperlink ref="G1897" r:id="rId1676" display="https://docs.octobercms.com/4.x/cms/tailor/blueprints.html"/>
    <hyperlink ref="G1898" r:id="rId1677" display="https://learn.getgrav.org/20/grav-premium/revisions-pro"/>
    <hyperlink ref="G1899" r:id="rId1678" display="https://payloadcms.com/docs/versions/overview"/>
    <hyperlink ref="G1900" r:id="rId1679" display="https://github.com/tallcms/tallcms/blob/main/docs/ref-publishing.md"/>
    <hyperlink ref="G1902" r:id="rId1680" display="https://wordpress.org/documentation/article/dashboard-screen/"/>
    <hyperlink ref="G1903" r:id="rId1681" display="https://www.drupal.org/project/dashboard"/>
    <hyperlink ref="G1904" r:id="rId1682" display="https://craftcms.com/docs/5.x/system/control-panel.html"/>
    <hyperlink ref="G1905" r:id="rId1683" display="https://getkirby.com/docs/reference/panel/sections/stats"/>
    <hyperlink ref="G1906" r:id="rId1684" display="https://statamic.dev/control-panel/dashboard"/>
    <hyperlink ref="G1907" r:id="rId1685" display="https://docs.octobercms.com/4.x/extend/dashboards/dash-controller.html"/>
    <hyperlink ref="G1908" r:id="rId1686" display="https://github.com/getgrav/grav-plugin-admin2"/>
    <hyperlink ref="G1909" r:id="rId1687" display="https://payloadcms.com/docs/custom-components/dashboard"/>
    <hyperlink ref="G1910" r:id="rId1688" display="https://github.com/tallcms/tallcms/tree/main/packages/tallcms/cms/src/Filament/Widgets"/>
    <hyperlink ref="G1911" r:id="rId1689" display="https://larazeus.com/docs/sky/v5/getting-started/configuration"/>
    <hyperlink ref="G1912" r:id="rId1690" display="https://jetpack.com/support/jetpack-stats/"/>
    <hyperlink ref="G1913" r:id="rId1691" display="https://www.thedroptimes.com/node/40259"/>
    <hyperlink ref="G1914" r:id="rId1692" display="https://plugins.craftcms.com/insights"/>
    <hyperlink ref="G1915" r:id="rId1693" display="https://plugins.getkirby.com/topics/analytics"/>
    <hyperlink ref="G1916" r:id="rId1694" display="https://statamic.com/newsletter/2026-08"/>
    <hyperlink ref="G1917" r:id="rId1695" display="https://octobercms.com/support/article/rn-40"/>
    <hyperlink ref="G1920" r:id="rId1696" display="https://github.com/tallcms/tallcms/blob/main/docs/ref-pro-plugin-changelog.md"/>
    <hyperlink ref="G1922" r:id="rId1697" display="https://wordpress.org/plugins/google-site-kit/"/>
    <hyperlink ref="G1923" r:id="rId1698" display="https://project.pages.drupalcode.org/drupal_cms/promote/google-analytics/"/>
    <hyperlink ref="G1924" r:id="rId1699" display="https://plugins.craftcms.com/seomatic"/>
    <hyperlink ref="G1925" r:id="rId1700" display="https://plugins.getkirby.com/topics/analytics"/>
    <hyperlink ref="G1926" r:id="rId1701" display="https://statamic.com/addons"/>
    <hyperlink ref="G1927" r:id="rId1702" display="https://octobercms.com/author/RainLab"/>
    <hyperlink ref="G1928" r:id="rId1703" display="https://github.com/escopecz/grav-ganalytics"/>
    <hyperlink ref="G1930" r:id="rId1704" display="https://github.com/tallcms/tallcms/blob/main/docs/site-code-injection.md"/>
    <hyperlink ref="G1932" r:id="rId1705" display="https://wordpress.org/plugins/broken-link-checker/"/>
    <hyperlink ref="G1933" r:id="rId1706" display="https://www.drupal.org/project/linkchecker"/>
    <hyperlink ref="G1934" r:id="rId1707" display="https://plugins.craftcms.com/brokenlinks"/>
    <hyperlink ref="G1935" r:id="rId1708" display="https://plugins.getkirby.com/topics/media"/>
    <hyperlink ref="G1936" r:id="rId1709" display="https://statamic.com/addons/statamic/seo-pro"/>
    <hyperlink ref="G1938" r:id="rId1710" display="https://learn.getgrav.org/20/grav-premium/seo-magic"/>
    <hyperlink ref="G1940" r:id="rId1711" display="https://github.com/tallcms/tallcms/tree/main/packages/tallcms/cms/src/Filament/Widgets/ContentHealthWidget.php"/>
    <hyperlink ref="G1942" r:id="rId1712" display="https://wordpress.org/documentation/article/administration-screens/"/>
    <hyperlink ref="G1943" r:id="rId1713" display="https://www.drupal.org/docs/core-modules-and-themes/core-themes/claro-theme"/>
    <hyperlink ref="G1944" r:id="rId1714" display="https://github.com/craftcms/cms/blob/5.x/CHANGELOG.md"/>
    <hyperlink ref="G1945" r:id="rId1715" display="https://getkirby.com/docs/guide/quickstart"/>
    <hyperlink ref="G1946" r:id="rId1716" display="https://statamic.dev/control-panel/dashboard"/>
    <hyperlink ref="G1947" r:id="rId1717" display="https://github.com/octobercms/october/tree/develop/modules/backend/layouts"/>
    <hyperlink ref="G1948" r:id="rId1718" display="https://github.com/getgrav/grav-plugin-admin2/blob/develop/CHANGELOG.md"/>
    <hyperlink ref="G1949" r:id="rId1719" display="https://payloadcms.com/docs/admin/overview"/>
    <hyperlink ref="G1951" r:id="rId1720" display="https://filamentphp.com/docs/5.x/introduction/overview"/>
    <hyperlink ref="G1952" r:id="rId1721" display="https://wordpress.org/news/2026/08/mary-lou/"/>
    <hyperlink ref="G1953" r:id="rId1722" display="https://www.drupal.org/blog/drupal-11-4-0"/>
    <hyperlink ref="G1954" r:id="rId1723" display="https://plugins.craftcms.com/nightshift"/>
    <hyperlink ref="G1955" r:id="rId1724" display="https://getkirby.com/releases/5"/>
    <hyperlink ref="G1956" r:id="rId1725" display="https://statamic.dev/control-panel/command-palette"/>
    <hyperlink ref="G1957" r:id="rId1726" display="https://github.com/octobercms/october/blob/develop/modules/backend/models/brandsetting/fields.yaml"/>
    <hyperlink ref="G1958" r:id="rId1727" display="https://github.com/getgrav/grav-plugin-admin2"/>
    <hyperlink ref="G1959" r:id="rId1728" display="https://payloadcms.com/docs/admin/overview"/>
    <hyperlink ref="G1960" r:id="rId1729" display="https://github.com/tallcms/tallcms/blob/main/docs/ref-rich-editor.md"/>
    <hyperlink ref="G1961" r:id="rId1730" display="https://filamentphp.com/docs/5.x/styling/overview"/>
    <hyperlink ref="G1963" r:id="rId1731" display="https://www.drupal.org/project/gin"/>
    <hyperlink ref="G1964" r:id="rId1732" display="https://craftcms.com/pricing"/>
    <hyperlink ref="G1965" r:id="rId1733" display="https://getkirby.com/docs/reference/system/options/panel"/>
    <hyperlink ref="G1966" r:id="rId1734" display="https://statamic.dev/control-panel/white-labeling"/>
    <hyperlink ref="G1967" r:id="rId1735" display="https://github.com/octobercms/october/blob/develop/config/backend.php"/>
    <hyperlink ref="G1968" r:id="rId1736" display="https://github.com/getgrav/grav-plugin-admin2/blob/develop/CHANGELOG.md"/>
    <hyperlink ref="G1969" r:id="rId1737" display="https://payloadcms.com/docs/admin/customizing-css"/>
    <hyperlink ref="G1970" r:id="rId1738" display="https://github.com/tallcms/tallcms/blob/main/docs/ref-i18n.md"/>
    <hyperlink ref="G1971" r:id="rId1739" display="https://filamentphp.com/docs/5.x/panel-configuration"/>
    <hyperlink ref="G1972" r:id="rId1740" display="https://translate.wordpress.org/"/>
    <hyperlink ref="G1973" r:id="rId1741" display="https://localize.drupal.org/translate/languages/fr"/>
    <hyperlink ref="G1974" r:id="rId1742" display="https://craftcms.com/docs/5.x/reference/config/general.html"/>
    <hyperlink ref="G1975" r:id="rId1743" display="https://getkirby.com/docs/reference/system/options/panel"/>
    <hyperlink ref="G1976" r:id="rId1744" display="https://statamic.dev/control-panel/cp-translations"/>
    <hyperlink ref="G1977" r:id="rId1745" display="https://github.com/octobercms/october/tree/develop/modules/backend/lang"/>
    <hyperlink ref="G1978" r:id="rId1746" display="https://github.com/getgrav/grav/blob/develop/system/languages/fr.yaml"/>
    <hyperlink ref="G1979" r:id="rId1747" display="https://payloadcms.com/docs/configuration/i18n"/>
    <hyperlink ref="G1980" r:id="rId1748" display="https://github.com/tallcms/tallcms/blob/main/docs/ref-i18n.md"/>
    <hyperlink ref="G1981" r:id="rId1749" display="https://github.com/lara-zeus/sky/blob/main/resources/lang"/>
    <hyperlink ref="G1982" r:id="rId1750" display="https://developer.wordpress.org/reference/functions/remove_menu_page/"/>
    <hyperlink ref="G1983" r:id="rId1751" display="https://www.drupal.org/blog/drupal-11-3-0"/>
    <hyperlink ref="G1984" r:id="rId1752" display="https://github.com/craftcms/cms/blob/5.x/CHANGELOG.md"/>
    <hyperlink ref="G1985" r:id="rId1753" display="https://getkirby.com/docs/reference/system/options/panel"/>
    <hyperlink ref="G1986" r:id="rId1754" display="https://statamic.dev/control-panel/customizing-the-cp-nav"/>
    <hyperlink ref="G1987" r:id="rId1755" display="https://docs.octobercms.com/4.x/cms/tailor/navigation.html"/>
    <hyperlink ref="G1988" r:id="rId1756" display="https://github.com/getgrav/grav-plugin-admin2/blob/develop/CHANGELOG.md"/>
    <hyperlink ref="G1989" r:id="rId1757" display="https://payloadcms.com/docs/custom-components/root-components"/>
    <hyperlink ref="G1990" r:id="rId1758" display="https://github.com/tallcms/tallcms/blob/main/docs/ref-i18n.md"/>
    <hyperlink ref="G1991" r:id="rId1759" display="https://larazeus.com/docs/sky/v5/getting-started/configuration"/>
    <hyperlink ref="G1992" r:id="rId1760" display="https://make.wordpress.org/core/2026/05/14/wordpress-7-0-field-guide/"/>
    <hyperlink ref="G1993" r:id="rId1761" display="https://www.drupal.org/project/coffee"/>
    <hyperlink ref="G1995" r:id="rId1762" display="https://getkirby.com/releases/4"/>
    <hyperlink ref="G1996" r:id="rId1763" display="https://statamic.dev/control-panel/command-palette"/>
    <hyperlink ref="G2000" r:id="rId1764" display="https://github.com/tallcms/tallcms/blob/main/docs/ref-search.md"/>
    <hyperlink ref="G2001" r:id="rId1765" display="https://filamentphp.com/docs/5.x/resources/global-search"/>
    <hyperlink ref="G2002" r:id="rId1766" display="https://wordpress.org/documentation/article/posts-screen/"/>
    <hyperlink ref="G2003" r:id="rId1767" display="https://www.drupal.org/docs/core-modules-and-themes/core-modules/views-module"/>
    <hyperlink ref="G2004" r:id="rId1768" display="https://craftcms.com/docs/5.x/system/elements.html"/>
    <hyperlink ref="G2005" r:id="rId1769" display="https://getkirby.com/releases/5"/>
    <hyperlink ref="G2006" r:id="rId1770" display="https://statamic.dev/backend-apis/actions"/>
    <hyperlink ref="G2007" r:id="rId1771" display="https://github.com/octobercms/october/blob/develop/modules/tailor/controllers/Entries.php"/>
    <hyperlink ref="G2008" r:id="rId1772" display="https://github.com/getgrav/grav-plugin-api"/>
    <hyperlink ref="G2009" r:id="rId1773" display="https://payloadcms.com/docs/configuration/collections"/>
    <hyperlink ref="G2010" r:id="rId1774" display="https://github.com/tallcms/tallcms/blob/main/docs/site-pages-posts.md"/>
    <hyperlink ref="G2011" r:id="rId1775" display="https://github.com/lara-zeus/sky/blob/main/src/Filament/Resources/PostResource.php"/>
    <hyperlink ref="G2012" r:id="rId1776" display="https://wordpress.org/documentation/article/tools-export-screen/"/>
    <hyperlink ref="G2013" r:id="rId1777" display="https://www.drupal.org/docs/drupal-apis/migrate-api"/>
    <hyperlink ref="G2014" r:id="rId1778" display="https://plugins.craftcms.com/feed-me"/>
    <hyperlink ref="G2015" r:id="rId1779" display="https://getkirby.com/docs/guide/migration"/>
    <hyperlink ref="G2016" r:id="rId1780" display="https://github.com/statamic/importer"/>
    <hyperlink ref="G2017" r:id="rId1781" display="https://docs.octobercms.com/4.x/extend/importexport/importexport-controller.html"/>
    <hyperlink ref="G2019" r:id="rId1782" display="https://payloadcms.com/docs/plugins/import-export"/>
    <hyperlink ref="G2020" r:id="rId1783" display="https://github.com/tallcms/tallcms/blob/main/docs/ref-filament-ecosystem.md"/>
    <hyperlink ref="G2022" r:id="rId1784" display="https://wordpress.org/documentation/article/tools-import-screen/"/>
    <hyperlink ref="G2023" r:id="rId1785" display="https://www.drupal.org/project/wordpress_migrate"/>
    <hyperlink ref="G2024" r:id="rId1786" display="https://github.com/craftcms/wp-import"/>
    <hyperlink ref="G2025" r:id="rId1787" display="https://getkirby.com/docs/guide/migration"/>
    <hyperlink ref="G2026" r:id="rId1788" display="https://github.com/statamic/importer"/>
    <hyperlink ref="G2027" r:id="rId1789" display="https://octobercms.com/plugins?search=wordpress"/>
    <hyperlink ref="G2028" r:id="rId1790" display="https://getgrav.org/blog/grav-2-rc-released"/>
    <hyperlink ref="G2031" r:id="rId1791" display="https://github.com/lara-zeus/rhea"/>
    <hyperlink ref="G2032" r:id="rId1792" display="https://wordpress.org/about/license/"/>
    <hyperlink ref="G2033" r:id="rId1793" display="https://www.drupal.org/about/licensing"/>
    <hyperlink ref="G2034" r:id="rId1794" display="https://github.com/craftcms/cms/blob/5.x/LICENSE.md"/>
    <hyperlink ref="G2035" r:id="rId1795" display="https://getkirby.com/license"/>
    <hyperlink ref="G2036" r:id="rId1796" display="https://github.com/statamic/cms/blob/6.x/LICENSE.md"/>
    <hyperlink ref="G2037" r:id="rId1797" display="https://github.com/octobercms/october/blob/develop/LICENSE.md"/>
    <hyperlink ref="G2038" r:id="rId1798" display="https://github.com/getgrav/grav/blob/develop/composer.json"/>
    <hyperlink ref="G2039" r:id="rId1799" display="https://github.com/payloadcms/payload/blob/main/LICENSE.md"/>
    <hyperlink ref="G2040" r:id="rId1800" display="https://filamentphp.com/plugins/tallcms-core"/>
    <hyperlink ref="G2041" r:id="rId1801" display="https://github.com/lara-zeus/sky/blob/main/LICENSE.md"/>
    <hyperlink ref="G2042" r:id="rId1802" display="https://wordpress.org/about/"/>
    <hyperlink ref="G2043" r:id="rId1803" display="https://www.drupal.org/about/licensing"/>
    <hyperlink ref="G2044" r:id="rId1804" display="https://craftcms.com/pricing"/>
    <hyperlink ref="G2045" r:id="rId1805" display="https://getkirby.com/buy"/>
    <hyperlink ref="G2046" r:id="rId1806" display="https://statamic.com/pricing"/>
    <hyperlink ref="G2047" r:id="rId1807" display="https://octobercms.com/pricing"/>
    <hyperlink ref="G2048" r:id="rId1808" display="https://toolradar.com/tools/grav/pricing"/>
    <hyperlink ref="G2049" r:id="rId1809" display="https://payloadcms.com/payload-has-joined-figma"/>
    <hyperlink ref="G2050" r:id="rId1810" display="https://filamentphp.com/plugins/tallcms-core"/>
    <hyperlink ref="G2051" r:id="rId1811" display="https://larazeus.com"/>
    <hyperlink ref="G2052" r:id="rId1812" display="https://wordpress.org/plugins/"/>
    <hyperlink ref="G2053" r:id="rId1813" display="https://www.drupal.org/project/project_module"/>
    <hyperlink ref="G2054" r:id="rId1814" display="https://plugins.craftcms.com/"/>
    <hyperlink ref="G2055" r:id="rId1815" display="https://plugins.getkirby.com/"/>
    <hyperlink ref="G2056" r:id="rId1816" display="https://statamic.com/addons"/>
    <hyperlink ref="G2057" r:id="rId1817" display="https://octobercms.com/plugins/all/popular?p=1"/>
    <hyperlink ref="G2058" r:id="rId1818" display="https://www.getgrav.org/downloads/plugins"/>
    <hyperlink ref="G2059" r:id="rId1819" display="https://www.npmjs.com/search?q=keywords:payload-plugin"/>
    <hyperlink ref="G2060" r:id="rId1820" display="https://github.com/tallcms/tallcms/blob/main/docs/ref-filament-ecosystem.md"/>
    <hyperlink ref="G2061" r:id="rId1821" display="https://larazeus.com"/>
    <hyperlink ref="G2062" r:id="rId1822" display="https://github.com/WordPress/gutenberg"/>
    <hyperlink ref="G2063" r:id="rId1823" display="https://github.com/drupal/drupal"/>
    <hyperlink ref="G2064" r:id="rId1824" display="https://github.com/craftcms/cms"/>
    <hyperlink ref="G2065" r:id="rId1825" display="https://github.com/getkirby/kirby"/>
    <hyperlink ref="G2066" r:id="rId1826" display="https://github.com/statamic/cms"/>
    <hyperlink ref="G2067" r:id="rId1827" display="https://github.com/octobercms/october"/>
    <hyperlink ref="G2068" r:id="rId1828" display="https://ossinsight.io/analyze/getgrav/grav"/>
    <hyperlink ref="G2069" r:id="rId1829" display="https://github.com/payloadcms/payload"/>
    <hyperlink ref="G2070" r:id="rId1830" display="https://packagist.org/packages/tallcms/tallcms"/>
    <hyperlink ref="G2071" r:id="rId1831" display="https://packagist.org/packages/lara-zeus/sky"/>
    <hyperlink ref="G2072" r:id="rId1832" display="https://make.wordpress.org/core/2026/09/02/wordpress-7-1-1-release-schedule/"/>
    <hyperlink ref="G2073" r:id="rId1833" display="https://www.thedroptimes.com/node/70355"/>
    <hyperlink ref="G2074" r:id="rId1834" display="https://github.com/craftcms/cms/blob/5.x/CHANGELOG.md"/>
    <hyperlink ref="G2075" r:id="rId1835" display="https://getkirby.com/releases"/>
    <hyperlink ref="G2076" r:id="rId1836" display="https://statamic.com/release-notes"/>
    <hyperlink ref="G2077" r:id="rId1837" display="https://octobercms.com/changelog"/>
    <hyperlink ref="G2078" r:id="rId1838" display="https://github.com/getgrav/grav/blob/develop/CHANGELOG.md"/>
    <hyperlink ref="G2079" r:id="rId1839" display="https://www.npmjs.com/package/payload?activeTab=versions"/>
    <hyperlink ref="G2080" r:id="rId1840" display="https://github.com/tallcms/tallcms/tags"/>
    <hyperlink ref="G2081" r:id="rId1841" display="https://github.com/lara-zeus/sky/releases"/>
    <hyperlink ref="G2082" r:id="rId1842" display="https://developer.wordpress.org"/>
    <hyperlink ref="G2083" r:id="rId1843" display="https://www.drupal.org/docs"/>
    <hyperlink ref="G2084" r:id="rId1844" display="https://craftcms.com/docs/5.x/"/>
    <hyperlink ref="G2085" r:id="rId1845" display="https://getkirby.com/docs/"/>
    <hyperlink ref="G2086" r:id="rId1846" display="https://statamic.dev/"/>
    <hyperlink ref="G2087" r:id="rId1847" display="https://docs.octobercms.com/4.x/"/>
    <hyperlink ref="G2088" r:id="rId1848" display="https://learn.getgrav.org/20/grav-premium"/>
    <hyperlink ref="G2089" r:id="rId1849" display="https://payloadcms.com/docs/"/>
    <hyperlink ref="G2090" r:id="rId1850" display="https://github.com/tallcms/tallcms/blob/main/docs/README.md"/>
    <hyperlink ref="G2091" r:id="rId1851" display="https://larazeus.com/docs/sky/v5/introduction"/>
    <hyperlink ref="G2092" r:id="rId1852" display="https://wpvip.com/"/>
    <hyperlink ref="G2093" r:id="rId1853" display="https://www.drupal.org/drupal-services"/>
    <hyperlink ref="G2094" r:id="rId1854" display="https://craftcms.com/pricing"/>
    <hyperlink ref="G2095" r:id="rId1855" display="https://getkirby.com/partners"/>
    <hyperlink ref="G2096" r:id="rId1856" display="https://statamic.com/enterprise"/>
    <hyperlink ref="G2097" r:id="rId1857" display="https://octobercms.com/pricing"/>
    <hyperlink ref="G2098" r:id="rId1858" display="https://learn.getgrav.org/20/grav-premium"/>
    <hyperlink ref="G2099" r:id="rId1859" display="https://payloadcms.com/enterprise"/>
    <hyperlink ref="G2100" r:id="rId1860" display="https://tallcms.com"/>
    <hyperlink ref="G2101" r:id="rId1861" display="https://larazeus.com/contact-us"/>
    <hyperlink ref="G2102" r:id="rId1862" display="https://make.wordpress.org/chat/"/>
    <hyperlink ref="G2103" r:id="rId1863" display="https://www.drupal.org/community"/>
    <hyperlink ref="G2104" r:id="rId1864" display="https://craftcms.com/community"/>
    <hyperlink ref="G2105" r:id="rId1865" display="https://community.getkirby.com/"/>
    <hyperlink ref="G2106" r:id="rId1866" display="https://statamic.com/about"/>
    <hyperlink ref="G2107" r:id="rId1867" display="https://talk.octobercms.com"/>
    <hyperlink ref="G2108" r:id="rId1868" display="https://getgrav.org/forum"/>
    <hyperlink ref="G2109" r:id="rId1869" display="https://payloadcms.com/community-help"/>
    <hyperlink ref="G2110" r:id="rId1870" display="https://tallcms.com"/>
    <hyperlink ref="G2111" r:id="rId1871" display="https://github.com/lara-zeus/sky/blob/main/README.md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87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70"/>
    <col collapsed="false" customWidth="true" hidden="false" outlineLevel="0" max="6" min="6" style="0" width="45"/>
  </cols>
  <sheetData>
    <row r="1" customFormat="false" ht="15" hidden="false" customHeight="false" outlineLevel="0" collapsed="false">
      <c r="A1" s="108" t="s">
        <v>31</v>
      </c>
      <c r="B1" s="108" t="s">
        <v>83</v>
      </c>
      <c r="C1" s="108" t="s">
        <v>129</v>
      </c>
      <c r="D1" s="108" t="s">
        <v>826</v>
      </c>
      <c r="E1" s="108" t="s">
        <v>827</v>
      </c>
      <c r="F1" s="108" t="s">
        <v>828</v>
      </c>
    </row>
    <row r="2" customFormat="false" ht="23.85" hidden="false" customHeight="false" outlineLevel="0" collapsed="false">
      <c r="A2" s="109" t="s">
        <v>35</v>
      </c>
      <c r="B2" s="109" t="s">
        <v>109</v>
      </c>
      <c r="C2" s="109" t="s">
        <v>3885</v>
      </c>
      <c r="D2" s="112" t="s">
        <v>16</v>
      </c>
      <c r="E2" s="109" t="s">
        <v>3886</v>
      </c>
      <c r="F2" s="111" t="s">
        <v>1082</v>
      </c>
    </row>
    <row r="3" customFormat="false" ht="23.85" hidden="false" customHeight="false" outlineLevel="0" collapsed="false">
      <c r="A3" s="109" t="s">
        <v>35</v>
      </c>
      <c r="B3" s="109" t="s">
        <v>115</v>
      </c>
      <c r="C3" s="109" t="s">
        <v>3887</v>
      </c>
      <c r="D3" s="112" t="s">
        <v>16</v>
      </c>
      <c r="E3" s="109" t="s">
        <v>3888</v>
      </c>
      <c r="F3" s="111" t="s">
        <v>1082</v>
      </c>
    </row>
    <row r="4" customFormat="false" ht="23.85" hidden="false" customHeight="false" outlineLevel="0" collapsed="false">
      <c r="A4" s="109" t="s">
        <v>35</v>
      </c>
      <c r="B4" s="109" t="s">
        <v>87</v>
      </c>
      <c r="C4" s="109" t="s">
        <v>3889</v>
      </c>
      <c r="D4" s="112" t="s">
        <v>16</v>
      </c>
      <c r="E4" s="109" t="s">
        <v>3890</v>
      </c>
      <c r="F4" s="111" t="s">
        <v>3891</v>
      </c>
    </row>
    <row r="5" customFormat="false" ht="23.85" hidden="false" customHeight="false" outlineLevel="0" collapsed="false">
      <c r="A5" s="109" t="s">
        <v>35</v>
      </c>
      <c r="B5" s="109" t="s">
        <v>87</v>
      </c>
      <c r="C5" s="109" t="s">
        <v>3892</v>
      </c>
      <c r="D5" s="112" t="s">
        <v>16</v>
      </c>
      <c r="E5" s="109" t="s">
        <v>3893</v>
      </c>
      <c r="F5" s="111" t="s">
        <v>1082</v>
      </c>
    </row>
    <row r="6" customFormat="false" ht="15" hidden="false" customHeight="false" outlineLevel="0" collapsed="false">
      <c r="A6" s="109" t="s">
        <v>35</v>
      </c>
      <c r="B6" s="109" t="s">
        <v>87</v>
      </c>
      <c r="C6" s="109" t="s">
        <v>3894</v>
      </c>
      <c r="D6" s="112" t="s">
        <v>16</v>
      </c>
      <c r="E6" s="109" t="s">
        <v>3895</v>
      </c>
      <c r="F6" s="111" t="s">
        <v>1082</v>
      </c>
    </row>
    <row r="7" customFormat="false" ht="23.85" hidden="false" customHeight="false" outlineLevel="0" collapsed="false">
      <c r="A7" s="109" t="s">
        <v>35</v>
      </c>
      <c r="B7" s="109" t="s">
        <v>100</v>
      </c>
      <c r="C7" s="109" t="s">
        <v>3896</v>
      </c>
      <c r="D7" s="112" t="s">
        <v>16</v>
      </c>
      <c r="E7" s="109" t="s">
        <v>3897</v>
      </c>
      <c r="F7" s="111" t="s">
        <v>2763</v>
      </c>
    </row>
    <row r="8" customFormat="false" ht="15" hidden="false" customHeight="false" outlineLevel="0" collapsed="false">
      <c r="A8" s="109" t="s">
        <v>35</v>
      </c>
      <c r="B8" s="109" t="s">
        <v>100</v>
      </c>
      <c r="C8" s="109" t="s">
        <v>3898</v>
      </c>
      <c r="D8" s="112" t="s">
        <v>16</v>
      </c>
      <c r="E8" s="109" t="s">
        <v>3899</v>
      </c>
      <c r="F8" s="111" t="s">
        <v>1179</v>
      </c>
    </row>
    <row r="9" customFormat="false" ht="23.85" hidden="false" customHeight="false" outlineLevel="0" collapsed="false">
      <c r="A9" s="109" t="s">
        <v>35</v>
      </c>
      <c r="B9" s="109" t="s">
        <v>100</v>
      </c>
      <c r="C9" s="109" t="s">
        <v>3900</v>
      </c>
      <c r="D9" s="112" t="s">
        <v>16</v>
      </c>
      <c r="E9" s="109" t="s">
        <v>3901</v>
      </c>
      <c r="F9" s="111" t="s">
        <v>1082</v>
      </c>
    </row>
    <row r="10" customFormat="false" ht="15" hidden="false" customHeight="false" outlineLevel="0" collapsed="false">
      <c r="A10" s="109" t="s">
        <v>35</v>
      </c>
      <c r="B10" s="109" t="s">
        <v>100</v>
      </c>
      <c r="C10" s="109" t="s">
        <v>3902</v>
      </c>
      <c r="D10" s="112" t="s">
        <v>16</v>
      </c>
      <c r="E10" s="109" t="s">
        <v>3903</v>
      </c>
      <c r="F10" s="111" t="s">
        <v>3904</v>
      </c>
    </row>
    <row r="11" customFormat="false" ht="15" hidden="false" customHeight="false" outlineLevel="0" collapsed="false">
      <c r="A11" s="109" t="s">
        <v>35</v>
      </c>
      <c r="B11" s="109" t="s">
        <v>87</v>
      </c>
      <c r="C11" s="109" t="s">
        <v>3905</v>
      </c>
      <c r="D11" s="112" t="s">
        <v>16</v>
      </c>
      <c r="E11" s="109" t="s">
        <v>3906</v>
      </c>
      <c r="F11" s="111" t="s">
        <v>3907</v>
      </c>
    </row>
    <row r="12" customFormat="false" ht="15" hidden="false" customHeight="false" outlineLevel="0" collapsed="false">
      <c r="A12" s="109" t="s">
        <v>35</v>
      </c>
      <c r="B12" s="109" t="s">
        <v>85</v>
      </c>
      <c r="C12" s="109" t="s">
        <v>803</v>
      </c>
      <c r="D12" s="112" t="s">
        <v>16</v>
      </c>
      <c r="E12" s="109" t="s">
        <v>3908</v>
      </c>
      <c r="F12" s="111" t="s">
        <v>3909</v>
      </c>
    </row>
    <row r="13" customFormat="false" ht="15" hidden="false" customHeight="false" outlineLevel="0" collapsed="false">
      <c r="A13" s="109" t="s">
        <v>35</v>
      </c>
      <c r="B13" s="109" t="s">
        <v>85</v>
      </c>
      <c r="C13" s="109" t="s">
        <v>3910</v>
      </c>
      <c r="D13" s="112" t="s">
        <v>16</v>
      </c>
      <c r="E13" s="109" t="s">
        <v>3911</v>
      </c>
      <c r="F13" s="111" t="s">
        <v>3912</v>
      </c>
    </row>
    <row r="14" customFormat="false" ht="23.85" hidden="false" customHeight="false" outlineLevel="0" collapsed="false">
      <c r="A14" s="109" t="s">
        <v>35</v>
      </c>
      <c r="B14" s="109" t="s">
        <v>88</v>
      </c>
      <c r="C14" s="109" t="s">
        <v>3913</v>
      </c>
      <c r="D14" s="112" t="s">
        <v>16</v>
      </c>
      <c r="E14" s="109" t="s">
        <v>3914</v>
      </c>
      <c r="F14" s="111" t="s">
        <v>3915</v>
      </c>
    </row>
    <row r="15" customFormat="false" ht="23.85" hidden="false" customHeight="false" outlineLevel="0" collapsed="false">
      <c r="A15" s="109" t="s">
        <v>35</v>
      </c>
      <c r="B15" s="109" t="s">
        <v>88</v>
      </c>
      <c r="C15" s="109" t="s">
        <v>3916</v>
      </c>
      <c r="D15" s="112" t="s">
        <v>16</v>
      </c>
      <c r="E15" s="109" t="s">
        <v>3917</v>
      </c>
      <c r="F15" s="111" t="s">
        <v>1179</v>
      </c>
    </row>
    <row r="16" customFormat="false" ht="15" hidden="false" customHeight="false" outlineLevel="0" collapsed="false">
      <c r="A16" s="109" t="s">
        <v>35</v>
      </c>
      <c r="B16" s="109" t="s">
        <v>88</v>
      </c>
      <c r="C16" s="109" t="s">
        <v>3918</v>
      </c>
      <c r="D16" s="112" t="s">
        <v>16</v>
      </c>
      <c r="E16" s="109" t="s">
        <v>3919</v>
      </c>
      <c r="F16" s="111" t="s">
        <v>1082</v>
      </c>
    </row>
    <row r="17" customFormat="false" ht="23.85" hidden="false" customHeight="false" outlineLevel="0" collapsed="false">
      <c r="A17" s="109" t="s">
        <v>35</v>
      </c>
      <c r="B17" s="109" t="s">
        <v>112</v>
      </c>
      <c r="C17" s="109" t="s">
        <v>3920</v>
      </c>
      <c r="D17" s="112" t="s">
        <v>16</v>
      </c>
      <c r="E17" s="109" t="s">
        <v>3921</v>
      </c>
      <c r="F17" s="111" t="s">
        <v>3922</v>
      </c>
    </row>
    <row r="18" customFormat="false" ht="23.85" hidden="false" customHeight="false" outlineLevel="0" collapsed="false">
      <c r="A18" s="109" t="s">
        <v>35</v>
      </c>
      <c r="B18" s="109" t="s">
        <v>114</v>
      </c>
      <c r="C18" s="109" t="s">
        <v>3923</v>
      </c>
      <c r="D18" s="112" t="s">
        <v>16</v>
      </c>
      <c r="E18" s="109" t="s">
        <v>3924</v>
      </c>
      <c r="F18" s="111" t="s">
        <v>3925</v>
      </c>
    </row>
    <row r="19" customFormat="false" ht="15" hidden="false" customHeight="false" outlineLevel="0" collapsed="false">
      <c r="A19" s="109" t="s">
        <v>35</v>
      </c>
      <c r="B19" s="109" t="s">
        <v>109</v>
      </c>
      <c r="C19" s="109" t="s">
        <v>3926</v>
      </c>
      <c r="D19" s="112" t="s">
        <v>16</v>
      </c>
      <c r="E19" s="109" t="s">
        <v>3927</v>
      </c>
      <c r="F19" s="111" t="s">
        <v>3928</v>
      </c>
    </row>
    <row r="20" customFormat="false" ht="23.85" hidden="false" customHeight="false" outlineLevel="0" collapsed="false">
      <c r="A20" s="109" t="s">
        <v>35</v>
      </c>
      <c r="B20" s="109" t="s">
        <v>118</v>
      </c>
      <c r="C20" s="109" t="s">
        <v>3929</v>
      </c>
      <c r="D20" s="112" t="s">
        <v>16</v>
      </c>
      <c r="E20" s="109" t="s">
        <v>3930</v>
      </c>
      <c r="F20" s="111" t="s">
        <v>3931</v>
      </c>
    </row>
    <row r="21" customFormat="false" ht="23.85" hidden="false" customHeight="false" outlineLevel="0" collapsed="false">
      <c r="A21" s="109" t="s">
        <v>35</v>
      </c>
      <c r="B21" s="109" t="s">
        <v>110</v>
      </c>
      <c r="C21" s="109" t="s">
        <v>3932</v>
      </c>
      <c r="D21" s="112" t="s">
        <v>16</v>
      </c>
      <c r="E21" s="109" t="s">
        <v>3933</v>
      </c>
      <c r="F21" s="111" t="s">
        <v>3934</v>
      </c>
    </row>
    <row r="22" customFormat="false" ht="23.85" hidden="false" customHeight="false" outlineLevel="0" collapsed="false">
      <c r="A22" s="109" t="s">
        <v>35</v>
      </c>
      <c r="B22" s="109" t="s">
        <v>113</v>
      </c>
      <c r="C22" s="109" t="s">
        <v>3935</v>
      </c>
      <c r="D22" s="110" t="s">
        <v>18</v>
      </c>
      <c r="E22" s="109" t="s">
        <v>3936</v>
      </c>
      <c r="F22" s="111" t="s">
        <v>3937</v>
      </c>
    </row>
    <row r="23" customFormat="false" ht="23.85" hidden="false" customHeight="false" outlineLevel="0" collapsed="false">
      <c r="A23" s="109" t="s">
        <v>35</v>
      </c>
      <c r="B23" s="109" t="s">
        <v>119</v>
      </c>
      <c r="C23" s="109" t="s">
        <v>3938</v>
      </c>
      <c r="D23" s="112" t="s">
        <v>16</v>
      </c>
      <c r="E23" s="109" t="s">
        <v>3939</v>
      </c>
      <c r="F23" s="111" t="s">
        <v>1082</v>
      </c>
    </row>
    <row r="24" customFormat="false" ht="15" hidden="false" customHeight="false" outlineLevel="0" collapsed="false">
      <c r="A24" s="109" t="s">
        <v>35</v>
      </c>
      <c r="B24" s="109" t="s">
        <v>89</v>
      </c>
      <c r="C24" s="109" t="s">
        <v>3940</v>
      </c>
      <c r="D24" s="112" t="s">
        <v>16</v>
      </c>
      <c r="E24" s="109" t="s">
        <v>3941</v>
      </c>
      <c r="F24" s="111" t="s">
        <v>1179</v>
      </c>
    </row>
    <row r="25" customFormat="false" ht="23.85" hidden="false" customHeight="false" outlineLevel="0" collapsed="false">
      <c r="A25" s="109" t="s">
        <v>35</v>
      </c>
      <c r="B25" s="109" t="s">
        <v>87</v>
      </c>
      <c r="C25" s="109" t="s">
        <v>3942</v>
      </c>
      <c r="D25" s="112" t="s">
        <v>16</v>
      </c>
      <c r="E25" s="109" t="s">
        <v>3943</v>
      </c>
      <c r="F25" s="111" t="s">
        <v>1082</v>
      </c>
    </row>
    <row r="26" customFormat="false" ht="23.85" hidden="false" customHeight="false" outlineLevel="0" collapsed="false">
      <c r="A26" s="109" t="s">
        <v>35</v>
      </c>
      <c r="B26" s="109" t="s">
        <v>87</v>
      </c>
      <c r="C26" s="109" t="s">
        <v>3944</v>
      </c>
      <c r="D26" s="112" t="s">
        <v>16</v>
      </c>
      <c r="E26" s="109" t="s">
        <v>3945</v>
      </c>
      <c r="F26" s="111" t="s">
        <v>3946</v>
      </c>
    </row>
    <row r="27" customFormat="false" ht="15" hidden="false" customHeight="false" outlineLevel="0" collapsed="false">
      <c r="A27" s="109" t="s">
        <v>35</v>
      </c>
      <c r="B27" s="109" t="s">
        <v>109</v>
      </c>
      <c r="C27" s="109" t="s">
        <v>3947</v>
      </c>
      <c r="D27" s="112" t="s">
        <v>16</v>
      </c>
      <c r="E27" s="109" t="s">
        <v>3948</v>
      </c>
      <c r="F27" s="111" t="s">
        <v>1179</v>
      </c>
    </row>
    <row r="28" customFormat="false" ht="15" hidden="false" customHeight="false" outlineLevel="0" collapsed="false">
      <c r="A28" s="109" t="s">
        <v>35</v>
      </c>
      <c r="B28" s="109" t="s">
        <v>100</v>
      </c>
      <c r="C28" s="109" t="s">
        <v>3949</v>
      </c>
      <c r="D28" s="112" t="s">
        <v>16</v>
      </c>
      <c r="E28" s="109" t="s">
        <v>3950</v>
      </c>
      <c r="F28" s="111" t="s">
        <v>1082</v>
      </c>
    </row>
    <row r="29" customFormat="false" ht="15" hidden="false" customHeight="false" outlineLevel="0" collapsed="false">
      <c r="A29" s="109" t="s">
        <v>35</v>
      </c>
      <c r="B29" s="109" t="s">
        <v>109</v>
      </c>
      <c r="C29" s="109" t="s">
        <v>3951</v>
      </c>
      <c r="D29" s="112" t="s">
        <v>16</v>
      </c>
      <c r="E29" s="109" t="s">
        <v>3952</v>
      </c>
      <c r="F29" s="111" t="s">
        <v>3953</v>
      </c>
    </row>
    <row r="30" customFormat="false" ht="15" hidden="false" customHeight="false" outlineLevel="0" collapsed="false">
      <c r="A30" s="109" t="s">
        <v>35</v>
      </c>
      <c r="B30" s="109" t="s">
        <v>119</v>
      </c>
      <c r="C30" s="109" t="s">
        <v>3954</v>
      </c>
      <c r="D30" s="110" t="s">
        <v>18</v>
      </c>
      <c r="E30" s="109" t="s">
        <v>3955</v>
      </c>
      <c r="F30" s="111" t="s">
        <v>3956</v>
      </c>
    </row>
    <row r="31" customFormat="false" ht="23.85" hidden="false" customHeight="false" outlineLevel="0" collapsed="false">
      <c r="A31" s="109" t="s">
        <v>39</v>
      </c>
      <c r="B31" s="109" t="s">
        <v>86</v>
      </c>
      <c r="C31" s="109" t="s">
        <v>3957</v>
      </c>
      <c r="D31" s="112" t="s">
        <v>16</v>
      </c>
      <c r="E31" s="109" t="s">
        <v>3958</v>
      </c>
      <c r="F31" s="111" t="s">
        <v>3719</v>
      </c>
    </row>
    <row r="32" customFormat="false" ht="15" hidden="false" customHeight="false" outlineLevel="0" collapsed="false">
      <c r="A32" s="109" t="s">
        <v>39</v>
      </c>
      <c r="B32" s="109" t="s">
        <v>86</v>
      </c>
      <c r="C32" s="109" t="s">
        <v>3959</v>
      </c>
      <c r="D32" s="112" t="s">
        <v>16</v>
      </c>
      <c r="E32" s="109" t="s">
        <v>3960</v>
      </c>
      <c r="F32" s="111" t="s">
        <v>2111</v>
      </c>
    </row>
    <row r="33" customFormat="false" ht="23.85" hidden="false" customHeight="false" outlineLevel="0" collapsed="false">
      <c r="A33" s="109" t="s">
        <v>39</v>
      </c>
      <c r="B33" s="109" t="s">
        <v>107</v>
      </c>
      <c r="C33" s="109" t="s">
        <v>3961</v>
      </c>
      <c r="D33" s="112" t="s">
        <v>16</v>
      </c>
      <c r="E33" s="109" t="s">
        <v>3962</v>
      </c>
      <c r="F33" s="111" t="s">
        <v>3963</v>
      </c>
    </row>
    <row r="34" customFormat="false" ht="23.85" hidden="false" customHeight="false" outlineLevel="0" collapsed="false">
      <c r="A34" s="109" t="s">
        <v>39</v>
      </c>
      <c r="B34" s="109" t="s">
        <v>100</v>
      </c>
      <c r="C34" s="109" t="s">
        <v>3964</v>
      </c>
      <c r="D34" s="110" t="s">
        <v>18</v>
      </c>
      <c r="E34" s="109" t="s">
        <v>3965</v>
      </c>
      <c r="F34" s="111" t="s">
        <v>2327</v>
      </c>
    </row>
    <row r="35" customFormat="false" ht="23.85" hidden="false" customHeight="false" outlineLevel="0" collapsed="false">
      <c r="A35" s="109" t="s">
        <v>39</v>
      </c>
      <c r="B35" s="109" t="s">
        <v>87</v>
      </c>
      <c r="C35" s="109" t="s">
        <v>3966</v>
      </c>
      <c r="D35" s="110" t="s">
        <v>18</v>
      </c>
      <c r="E35" s="109" t="s">
        <v>3967</v>
      </c>
      <c r="F35" s="111" t="s">
        <v>2287</v>
      </c>
    </row>
    <row r="36" customFormat="false" ht="23.85" hidden="false" customHeight="false" outlineLevel="0" collapsed="false">
      <c r="A36" s="109" t="s">
        <v>39</v>
      </c>
      <c r="B36" s="109" t="s">
        <v>87</v>
      </c>
      <c r="C36" s="109" t="s">
        <v>3968</v>
      </c>
      <c r="D36" s="110" t="s">
        <v>18</v>
      </c>
      <c r="E36" s="109" t="s">
        <v>3969</v>
      </c>
      <c r="F36" s="111" t="s">
        <v>3970</v>
      </c>
    </row>
    <row r="37" customFormat="false" ht="15" hidden="false" customHeight="false" outlineLevel="0" collapsed="false">
      <c r="A37" s="109" t="s">
        <v>39</v>
      </c>
      <c r="B37" s="109" t="s">
        <v>87</v>
      </c>
      <c r="C37" s="109" t="s">
        <v>3971</v>
      </c>
      <c r="D37" s="110" t="s">
        <v>18</v>
      </c>
      <c r="E37" s="109" t="s">
        <v>3972</v>
      </c>
      <c r="F37" s="111" t="s">
        <v>3973</v>
      </c>
    </row>
    <row r="38" customFormat="false" ht="23.85" hidden="false" customHeight="false" outlineLevel="0" collapsed="false">
      <c r="A38" s="109" t="s">
        <v>39</v>
      </c>
      <c r="B38" s="109" t="s">
        <v>89</v>
      </c>
      <c r="C38" s="109" t="s">
        <v>3974</v>
      </c>
      <c r="D38" s="110" t="s">
        <v>18</v>
      </c>
      <c r="E38" s="109" t="s">
        <v>3975</v>
      </c>
      <c r="F38" s="111" t="s">
        <v>1181</v>
      </c>
    </row>
    <row r="39" customFormat="false" ht="15" hidden="false" customHeight="false" outlineLevel="0" collapsed="false">
      <c r="A39" s="109" t="s">
        <v>39</v>
      </c>
      <c r="B39" s="109" t="s">
        <v>110</v>
      </c>
      <c r="C39" s="109" t="s">
        <v>3976</v>
      </c>
      <c r="D39" s="112" t="s">
        <v>16</v>
      </c>
      <c r="E39" s="109" t="s">
        <v>3977</v>
      </c>
      <c r="F39" s="111" t="s">
        <v>3024</v>
      </c>
    </row>
    <row r="40" customFormat="false" ht="15" hidden="false" customHeight="false" outlineLevel="0" collapsed="false">
      <c r="A40" s="109" t="s">
        <v>39</v>
      </c>
      <c r="B40" s="109" t="s">
        <v>109</v>
      </c>
      <c r="C40" s="109" t="s">
        <v>3978</v>
      </c>
      <c r="D40" s="112" t="s">
        <v>16</v>
      </c>
      <c r="E40" s="109" t="s">
        <v>3979</v>
      </c>
      <c r="F40" s="111" t="s">
        <v>2777</v>
      </c>
    </row>
    <row r="41" customFormat="false" ht="15" hidden="false" customHeight="false" outlineLevel="0" collapsed="false">
      <c r="A41" s="109" t="s">
        <v>39</v>
      </c>
      <c r="B41" s="109" t="s">
        <v>93</v>
      </c>
      <c r="C41" s="109" t="s">
        <v>3980</v>
      </c>
      <c r="D41" s="112" t="s">
        <v>16</v>
      </c>
      <c r="E41" s="109" t="s">
        <v>3981</v>
      </c>
      <c r="F41" s="111" t="s">
        <v>1689</v>
      </c>
    </row>
    <row r="42" customFormat="false" ht="23.85" hidden="false" customHeight="false" outlineLevel="0" collapsed="false">
      <c r="A42" s="109" t="s">
        <v>39</v>
      </c>
      <c r="B42" s="109" t="s">
        <v>109</v>
      </c>
      <c r="C42" s="109" t="s">
        <v>3982</v>
      </c>
      <c r="D42" s="112" t="s">
        <v>16</v>
      </c>
      <c r="E42" s="109" t="s">
        <v>3983</v>
      </c>
      <c r="F42" s="111" t="s">
        <v>3984</v>
      </c>
    </row>
    <row r="43" customFormat="false" ht="15" hidden="false" customHeight="false" outlineLevel="0" collapsed="false">
      <c r="A43" s="109" t="s">
        <v>39</v>
      </c>
      <c r="B43" s="109" t="s">
        <v>102</v>
      </c>
      <c r="C43" s="109" t="s">
        <v>3985</v>
      </c>
      <c r="D43" s="112" t="s">
        <v>16</v>
      </c>
      <c r="E43" s="109" t="s">
        <v>3986</v>
      </c>
      <c r="F43" s="111" t="s">
        <v>1294</v>
      </c>
    </row>
    <row r="44" customFormat="false" ht="15" hidden="false" customHeight="false" outlineLevel="0" collapsed="false">
      <c r="A44" s="109" t="s">
        <v>39</v>
      </c>
      <c r="B44" s="109" t="s">
        <v>109</v>
      </c>
      <c r="C44" s="109" t="s">
        <v>3987</v>
      </c>
      <c r="D44" s="112" t="s">
        <v>16</v>
      </c>
      <c r="E44" s="109" t="s">
        <v>3988</v>
      </c>
      <c r="F44" s="111" t="s">
        <v>2925</v>
      </c>
    </row>
    <row r="45" customFormat="false" ht="15" hidden="false" customHeight="false" outlineLevel="0" collapsed="false">
      <c r="A45" s="109" t="s">
        <v>39</v>
      </c>
      <c r="B45" s="109" t="s">
        <v>119</v>
      </c>
      <c r="C45" s="109" t="s">
        <v>3989</v>
      </c>
      <c r="D45" s="112" t="s">
        <v>16</v>
      </c>
      <c r="E45" s="109" t="s">
        <v>3990</v>
      </c>
      <c r="F45" s="111" t="s">
        <v>3991</v>
      </c>
    </row>
    <row r="46" customFormat="false" ht="15" hidden="false" customHeight="false" outlineLevel="0" collapsed="false">
      <c r="A46" s="109" t="s">
        <v>39</v>
      </c>
      <c r="B46" s="109" t="s">
        <v>98</v>
      </c>
      <c r="C46" s="109" t="s">
        <v>3992</v>
      </c>
      <c r="D46" s="112" t="s">
        <v>16</v>
      </c>
      <c r="E46" s="109" t="s">
        <v>3993</v>
      </c>
      <c r="F46" s="111" t="s">
        <v>3994</v>
      </c>
    </row>
    <row r="47" customFormat="false" ht="23.85" hidden="false" customHeight="false" outlineLevel="0" collapsed="false">
      <c r="A47" s="109" t="s">
        <v>39</v>
      </c>
      <c r="B47" s="109" t="s">
        <v>94</v>
      </c>
      <c r="C47" s="109" t="s">
        <v>3995</v>
      </c>
      <c r="D47" s="115" t="s">
        <v>20</v>
      </c>
      <c r="E47" s="109" t="s">
        <v>3996</v>
      </c>
      <c r="F47" s="111" t="s">
        <v>1959</v>
      </c>
    </row>
    <row r="48" customFormat="false" ht="15" hidden="false" customHeight="false" outlineLevel="0" collapsed="false">
      <c r="A48" s="109" t="s">
        <v>39</v>
      </c>
      <c r="B48" s="109" t="s">
        <v>88</v>
      </c>
      <c r="C48" s="109" t="s">
        <v>3997</v>
      </c>
      <c r="D48" s="112" t="s">
        <v>16</v>
      </c>
      <c r="E48" s="109" t="s">
        <v>3998</v>
      </c>
      <c r="F48" s="111" t="s">
        <v>3999</v>
      </c>
    </row>
    <row r="49" customFormat="false" ht="23.85" hidden="false" customHeight="false" outlineLevel="0" collapsed="false">
      <c r="A49" s="109" t="s">
        <v>39</v>
      </c>
      <c r="B49" s="109" t="s">
        <v>109</v>
      </c>
      <c r="C49" s="109" t="s">
        <v>4000</v>
      </c>
      <c r="D49" s="110" t="s">
        <v>18</v>
      </c>
      <c r="E49" s="109" t="s">
        <v>4001</v>
      </c>
      <c r="F49" s="111" t="s">
        <v>2911</v>
      </c>
    </row>
    <row r="50" customFormat="false" ht="15" hidden="false" customHeight="false" outlineLevel="0" collapsed="false">
      <c r="A50" s="109" t="s">
        <v>39</v>
      </c>
      <c r="B50" s="109" t="s">
        <v>112</v>
      </c>
      <c r="C50" s="109" t="s">
        <v>4002</v>
      </c>
      <c r="D50" s="112" t="s">
        <v>16</v>
      </c>
      <c r="E50" s="109" t="s">
        <v>4003</v>
      </c>
      <c r="F50" s="111" t="s">
        <v>2111</v>
      </c>
    </row>
    <row r="51" customFormat="false" ht="15" hidden="false" customHeight="false" outlineLevel="0" collapsed="false">
      <c r="A51" s="109" t="s">
        <v>39</v>
      </c>
      <c r="B51" s="109" t="s">
        <v>110</v>
      </c>
      <c r="C51" s="109" t="s">
        <v>4004</v>
      </c>
      <c r="D51" s="112" t="s">
        <v>16</v>
      </c>
      <c r="E51" s="109" t="s">
        <v>4005</v>
      </c>
      <c r="F51" s="111" t="s">
        <v>2111</v>
      </c>
    </row>
    <row r="52" customFormat="false" ht="15" hidden="false" customHeight="false" outlineLevel="0" collapsed="false">
      <c r="A52" s="109" t="s">
        <v>39</v>
      </c>
      <c r="B52" s="109" t="s">
        <v>114</v>
      </c>
      <c r="C52" s="109" t="s">
        <v>4006</v>
      </c>
      <c r="D52" s="110" t="s">
        <v>18</v>
      </c>
      <c r="E52" s="109" t="s">
        <v>4007</v>
      </c>
      <c r="F52" s="111" t="s">
        <v>4008</v>
      </c>
    </row>
    <row r="53" customFormat="false" ht="15" hidden="false" customHeight="false" outlineLevel="0" collapsed="false">
      <c r="A53" s="109" t="s">
        <v>39</v>
      </c>
      <c r="B53" s="109" t="s">
        <v>116</v>
      </c>
      <c r="C53" s="109" t="s">
        <v>4009</v>
      </c>
      <c r="D53" s="110" t="s">
        <v>18</v>
      </c>
      <c r="E53" s="109" t="s">
        <v>4010</v>
      </c>
      <c r="F53" s="111" t="s">
        <v>4011</v>
      </c>
    </row>
    <row r="54" customFormat="false" ht="23.85" hidden="false" customHeight="false" outlineLevel="0" collapsed="false">
      <c r="A54" s="109" t="s">
        <v>39</v>
      </c>
      <c r="B54" s="109" t="s">
        <v>86</v>
      </c>
      <c r="C54" s="109" t="s">
        <v>4012</v>
      </c>
      <c r="D54" s="115" t="s">
        <v>20</v>
      </c>
      <c r="E54" s="109" t="s">
        <v>4013</v>
      </c>
      <c r="F54" s="111" t="s">
        <v>4014</v>
      </c>
    </row>
    <row r="55" customFormat="false" ht="15" hidden="false" customHeight="false" outlineLevel="0" collapsed="false">
      <c r="A55" s="109" t="s">
        <v>39</v>
      </c>
      <c r="B55" s="109" t="s">
        <v>97</v>
      </c>
      <c r="C55" s="109" t="s">
        <v>4015</v>
      </c>
      <c r="D55" s="112" t="s">
        <v>16</v>
      </c>
      <c r="E55" s="109" t="s">
        <v>4016</v>
      </c>
      <c r="F55" s="111" t="s">
        <v>1975</v>
      </c>
    </row>
    <row r="56" customFormat="false" ht="15" hidden="false" customHeight="false" outlineLevel="0" collapsed="false">
      <c r="A56" s="109" t="s">
        <v>39</v>
      </c>
      <c r="B56" s="109" t="s">
        <v>113</v>
      </c>
      <c r="C56" s="109" t="s">
        <v>4017</v>
      </c>
      <c r="D56" s="112" t="s">
        <v>16</v>
      </c>
      <c r="E56" s="109" t="s">
        <v>4018</v>
      </c>
      <c r="F56" s="111" t="s">
        <v>2111</v>
      </c>
    </row>
    <row r="57" customFormat="false" ht="15" hidden="false" customHeight="false" outlineLevel="0" collapsed="false">
      <c r="A57" s="109" t="s">
        <v>39</v>
      </c>
      <c r="B57" s="109" t="s">
        <v>109</v>
      </c>
      <c r="C57" s="109" t="s">
        <v>4019</v>
      </c>
      <c r="D57" s="115" t="s">
        <v>20</v>
      </c>
      <c r="E57" s="109" t="s">
        <v>4020</v>
      </c>
      <c r="F57" s="111" t="s">
        <v>4021</v>
      </c>
    </row>
    <row r="58" customFormat="false" ht="23.85" hidden="false" customHeight="false" outlineLevel="0" collapsed="false">
      <c r="A58" s="109" t="s">
        <v>43</v>
      </c>
      <c r="B58" s="109" t="s">
        <v>86</v>
      </c>
      <c r="C58" s="109" t="s">
        <v>4022</v>
      </c>
      <c r="D58" s="112" t="s">
        <v>16</v>
      </c>
      <c r="E58" s="109" t="s">
        <v>4023</v>
      </c>
      <c r="F58" s="111" t="s">
        <v>834</v>
      </c>
    </row>
    <row r="59" customFormat="false" ht="23.85" hidden="false" customHeight="false" outlineLevel="0" collapsed="false">
      <c r="A59" s="109" t="s">
        <v>43</v>
      </c>
      <c r="B59" s="109" t="s">
        <v>86</v>
      </c>
      <c r="C59" s="109" t="s">
        <v>4024</v>
      </c>
      <c r="D59" s="112" t="s">
        <v>16</v>
      </c>
      <c r="E59" s="109" t="s">
        <v>4025</v>
      </c>
      <c r="F59" s="111" t="s">
        <v>1019</v>
      </c>
    </row>
    <row r="60" customFormat="false" ht="23.85" hidden="false" customHeight="false" outlineLevel="0" collapsed="false">
      <c r="A60" s="109" t="s">
        <v>43</v>
      </c>
      <c r="B60" s="109" t="s">
        <v>86</v>
      </c>
      <c r="C60" s="109" t="s">
        <v>4026</v>
      </c>
      <c r="D60" s="112" t="s">
        <v>16</v>
      </c>
      <c r="E60" s="109" t="s">
        <v>4027</v>
      </c>
      <c r="F60" s="111" t="s">
        <v>4028</v>
      </c>
    </row>
    <row r="61" customFormat="false" ht="23.85" hidden="false" customHeight="false" outlineLevel="0" collapsed="false">
      <c r="A61" s="109" t="s">
        <v>43</v>
      </c>
      <c r="B61" s="109" t="s">
        <v>86</v>
      </c>
      <c r="C61" s="109" t="s">
        <v>4029</v>
      </c>
      <c r="D61" s="112" t="s">
        <v>16</v>
      </c>
      <c r="E61" s="109" t="s">
        <v>4030</v>
      </c>
      <c r="F61" s="111" t="s">
        <v>4031</v>
      </c>
    </row>
    <row r="62" customFormat="false" ht="23.85" hidden="false" customHeight="false" outlineLevel="0" collapsed="false">
      <c r="A62" s="109" t="s">
        <v>43</v>
      </c>
      <c r="B62" s="109" t="s">
        <v>86</v>
      </c>
      <c r="C62" s="109" t="s">
        <v>4032</v>
      </c>
      <c r="D62" s="112" t="s">
        <v>16</v>
      </c>
      <c r="E62" s="109" t="s">
        <v>4033</v>
      </c>
      <c r="F62" s="111" t="s">
        <v>871</v>
      </c>
    </row>
    <row r="63" customFormat="false" ht="23.85" hidden="false" customHeight="false" outlineLevel="0" collapsed="false">
      <c r="A63" s="109" t="s">
        <v>43</v>
      </c>
      <c r="B63" s="109" t="s">
        <v>86</v>
      </c>
      <c r="C63" s="109" t="s">
        <v>4034</v>
      </c>
      <c r="D63" s="112" t="s">
        <v>16</v>
      </c>
      <c r="E63" s="109" t="s">
        <v>4035</v>
      </c>
      <c r="F63" s="111" t="s">
        <v>834</v>
      </c>
    </row>
    <row r="64" customFormat="false" ht="23.85" hidden="false" customHeight="false" outlineLevel="0" collapsed="false">
      <c r="A64" s="109" t="s">
        <v>43</v>
      </c>
      <c r="B64" s="109" t="s">
        <v>86</v>
      </c>
      <c r="C64" s="109" t="s">
        <v>4036</v>
      </c>
      <c r="D64" s="112" t="s">
        <v>16</v>
      </c>
      <c r="E64" s="109" t="s">
        <v>4037</v>
      </c>
      <c r="F64" s="111" t="s">
        <v>1035</v>
      </c>
    </row>
    <row r="65" customFormat="false" ht="23.85" hidden="false" customHeight="false" outlineLevel="0" collapsed="false">
      <c r="A65" s="109" t="s">
        <v>43</v>
      </c>
      <c r="B65" s="109" t="s">
        <v>86</v>
      </c>
      <c r="C65" s="109" t="s">
        <v>4038</v>
      </c>
      <c r="D65" s="112" t="s">
        <v>16</v>
      </c>
      <c r="E65" s="109" t="s">
        <v>4039</v>
      </c>
      <c r="F65" s="111" t="s">
        <v>1035</v>
      </c>
    </row>
    <row r="66" customFormat="false" ht="23.85" hidden="false" customHeight="false" outlineLevel="0" collapsed="false">
      <c r="A66" s="109" t="s">
        <v>43</v>
      </c>
      <c r="B66" s="109" t="s">
        <v>119</v>
      </c>
      <c r="C66" s="109" t="s">
        <v>4040</v>
      </c>
      <c r="D66" s="112" t="s">
        <v>16</v>
      </c>
      <c r="E66" s="109" t="s">
        <v>4041</v>
      </c>
      <c r="F66" s="111" t="s">
        <v>1564</v>
      </c>
    </row>
    <row r="67" customFormat="false" ht="23.85" hidden="false" customHeight="false" outlineLevel="0" collapsed="false">
      <c r="A67" s="109" t="s">
        <v>43</v>
      </c>
      <c r="B67" s="109" t="s">
        <v>119</v>
      </c>
      <c r="C67" s="109" t="s">
        <v>4042</v>
      </c>
      <c r="D67" s="112" t="s">
        <v>16</v>
      </c>
      <c r="E67" s="109" t="s">
        <v>4043</v>
      </c>
      <c r="F67" s="111" t="s">
        <v>1564</v>
      </c>
    </row>
    <row r="68" customFormat="false" ht="23.85" hidden="false" customHeight="false" outlineLevel="0" collapsed="false">
      <c r="A68" s="109" t="s">
        <v>43</v>
      </c>
      <c r="B68" s="109" t="s">
        <v>119</v>
      </c>
      <c r="C68" s="109" t="s">
        <v>4044</v>
      </c>
      <c r="D68" s="112" t="s">
        <v>16</v>
      </c>
      <c r="E68" s="109" t="s">
        <v>4045</v>
      </c>
      <c r="F68" s="111" t="s">
        <v>1564</v>
      </c>
    </row>
    <row r="69" customFormat="false" ht="15" hidden="false" customHeight="false" outlineLevel="0" collapsed="false">
      <c r="A69" s="109" t="s">
        <v>43</v>
      </c>
      <c r="B69" s="109" t="s">
        <v>119</v>
      </c>
      <c r="C69" s="109" t="s">
        <v>4046</v>
      </c>
      <c r="D69" s="112" t="s">
        <v>16</v>
      </c>
      <c r="E69" s="109" t="s">
        <v>4047</v>
      </c>
      <c r="F69" s="111" t="s">
        <v>1035</v>
      </c>
    </row>
    <row r="70" customFormat="false" ht="23.85" hidden="false" customHeight="false" outlineLevel="0" collapsed="false">
      <c r="A70" s="109" t="s">
        <v>43</v>
      </c>
      <c r="B70" s="109" t="s">
        <v>119</v>
      </c>
      <c r="C70" s="109" t="s">
        <v>4048</v>
      </c>
      <c r="D70" s="112" t="s">
        <v>16</v>
      </c>
      <c r="E70" s="109" t="s">
        <v>4049</v>
      </c>
      <c r="F70" s="111" t="s">
        <v>1035</v>
      </c>
    </row>
    <row r="71" customFormat="false" ht="23.85" hidden="false" customHeight="false" outlineLevel="0" collapsed="false">
      <c r="A71" s="109" t="s">
        <v>43</v>
      </c>
      <c r="B71" s="109" t="s">
        <v>119</v>
      </c>
      <c r="C71" s="109" t="s">
        <v>4050</v>
      </c>
      <c r="D71" s="112" t="s">
        <v>16</v>
      </c>
      <c r="E71" s="109" t="s">
        <v>4051</v>
      </c>
      <c r="F71" s="111" t="s">
        <v>1196</v>
      </c>
    </row>
    <row r="72" customFormat="false" ht="23.85" hidden="false" customHeight="false" outlineLevel="0" collapsed="false">
      <c r="A72" s="109" t="s">
        <v>43</v>
      </c>
      <c r="B72" s="109" t="s">
        <v>113</v>
      </c>
      <c r="C72" s="109" t="s">
        <v>4052</v>
      </c>
      <c r="D72" s="112" t="s">
        <v>16</v>
      </c>
      <c r="E72" s="109" t="s">
        <v>4053</v>
      </c>
      <c r="F72" s="111" t="s">
        <v>1196</v>
      </c>
    </row>
    <row r="73" customFormat="false" ht="15" hidden="false" customHeight="false" outlineLevel="0" collapsed="false">
      <c r="A73" s="109" t="s">
        <v>43</v>
      </c>
      <c r="B73" s="109" t="s">
        <v>113</v>
      </c>
      <c r="C73" s="109" t="s">
        <v>4054</v>
      </c>
      <c r="D73" s="112" t="s">
        <v>16</v>
      </c>
      <c r="E73" s="109" t="s">
        <v>4055</v>
      </c>
      <c r="F73" s="111" t="s">
        <v>4056</v>
      </c>
    </row>
    <row r="74" customFormat="false" ht="15" hidden="false" customHeight="false" outlineLevel="0" collapsed="false">
      <c r="A74" s="109" t="s">
        <v>43</v>
      </c>
      <c r="B74" s="109" t="s">
        <v>113</v>
      </c>
      <c r="C74" s="109" t="s">
        <v>4057</v>
      </c>
      <c r="D74" s="112" t="s">
        <v>16</v>
      </c>
      <c r="E74" s="109" t="s">
        <v>4058</v>
      </c>
      <c r="F74" s="111" t="s">
        <v>3253</v>
      </c>
    </row>
    <row r="75" customFormat="false" ht="23.85" hidden="false" customHeight="false" outlineLevel="0" collapsed="false">
      <c r="A75" s="109" t="s">
        <v>43</v>
      </c>
      <c r="B75" s="109" t="s">
        <v>113</v>
      </c>
      <c r="C75" s="109" t="s">
        <v>4059</v>
      </c>
      <c r="D75" s="112" t="s">
        <v>16</v>
      </c>
      <c r="E75" s="109" t="s">
        <v>4060</v>
      </c>
      <c r="F75" s="111" t="s">
        <v>2231</v>
      </c>
    </row>
    <row r="76" customFormat="false" ht="15" hidden="false" customHeight="false" outlineLevel="0" collapsed="false">
      <c r="A76" s="109" t="s">
        <v>43</v>
      </c>
      <c r="B76" s="109" t="s">
        <v>113</v>
      </c>
      <c r="C76" s="109" t="s">
        <v>4061</v>
      </c>
      <c r="D76" s="112" t="s">
        <v>16</v>
      </c>
      <c r="E76" s="109" t="s">
        <v>4062</v>
      </c>
      <c r="F76" s="111" t="s">
        <v>1035</v>
      </c>
    </row>
    <row r="77" customFormat="false" ht="23.85" hidden="false" customHeight="false" outlineLevel="0" collapsed="false">
      <c r="A77" s="109" t="s">
        <v>43</v>
      </c>
      <c r="B77" s="109" t="s">
        <v>112</v>
      </c>
      <c r="C77" s="109" t="s">
        <v>4063</v>
      </c>
      <c r="D77" s="112" t="s">
        <v>16</v>
      </c>
      <c r="E77" s="109" t="s">
        <v>4064</v>
      </c>
      <c r="F77" s="111" t="s">
        <v>1691</v>
      </c>
    </row>
    <row r="78" customFormat="false" ht="23.85" hidden="false" customHeight="false" outlineLevel="0" collapsed="false">
      <c r="A78" s="109" t="s">
        <v>43</v>
      </c>
      <c r="B78" s="109" t="s">
        <v>112</v>
      </c>
      <c r="C78" s="109" t="s">
        <v>4065</v>
      </c>
      <c r="D78" s="112" t="s">
        <v>16</v>
      </c>
      <c r="E78" s="109" t="s">
        <v>4066</v>
      </c>
      <c r="F78" s="111" t="s">
        <v>1035</v>
      </c>
    </row>
    <row r="79" customFormat="false" ht="15" hidden="false" customHeight="false" outlineLevel="0" collapsed="false">
      <c r="A79" s="109" t="s">
        <v>43</v>
      </c>
      <c r="B79" s="109" t="s">
        <v>112</v>
      </c>
      <c r="C79" s="109" t="s">
        <v>402</v>
      </c>
      <c r="D79" s="112" t="s">
        <v>16</v>
      </c>
      <c r="E79" s="109" t="s">
        <v>4067</v>
      </c>
      <c r="F79" s="111" t="s">
        <v>2366</v>
      </c>
    </row>
    <row r="80" customFormat="false" ht="23.85" hidden="false" customHeight="false" outlineLevel="0" collapsed="false">
      <c r="A80" s="109" t="s">
        <v>43</v>
      </c>
      <c r="B80" s="109" t="s">
        <v>89</v>
      </c>
      <c r="C80" s="109" t="s">
        <v>4068</v>
      </c>
      <c r="D80" s="112" t="s">
        <v>16</v>
      </c>
      <c r="E80" s="109" t="s">
        <v>4069</v>
      </c>
      <c r="F80" s="111" t="s">
        <v>834</v>
      </c>
    </row>
    <row r="81" customFormat="false" ht="23.85" hidden="false" customHeight="false" outlineLevel="0" collapsed="false">
      <c r="A81" s="109" t="s">
        <v>43</v>
      </c>
      <c r="B81" s="109" t="s">
        <v>89</v>
      </c>
      <c r="C81" s="109" t="s">
        <v>4070</v>
      </c>
      <c r="D81" s="112" t="s">
        <v>16</v>
      </c>
      <c r="E81" s="109" t="s">
        <v>4071</v>
      </c>
      <c r="F81" s="111" t="s">
        <v>1035</v>
      </c>
    </row>
    <row r="82" customFormat="false" ht="15" hidden="false" customHeight="false" outlineLevel="0" collapsed="false">
      <c r="A82" s="109" t="s">
        <v>43</v>
      </c>
      <c r="B82" s="109" t="s">
        <v>96</v>
      </c>
      <c r="C82" s="109" t="s">
        <v>4072</v>
      </c>
      <c r="D82" s="112" t="s">
        <v>16</v>
      </c>
      <c r="E82" s="109" t="s">
        <v>4073</v>
      </c>
      <c r="F82" s="111" t="s">
        <v>1003</v>
      </c>
    </row>
    <row r="83" customFormat="false" ht="15" hidden="false" customHeight="false" outlineLevel="0" collapsed="false">
      <c r="A83" s="109" t="s">
        <v>43</v>
      </c>
      <c r="B83" s="109" t="s">
        <v>97</v>
      </c>
      <c r="C83" s="109" t="s">
        <v>4074</v>
      </c>
      <c r="D83" s="112" t="s">
        <v>16</v>
      </c>
      <c r="E83" s="109" t="s">
        <v>4075</v>
      </c>
      <c r="F83" s="111" t="s">
        <v>1908</v>
      </c>
    </row>
    <row r="84" customFormat="false" ht="15" hidden="false" customHeight="false" outlineLevel="0" collapsed="false">
      <c r="A84" s="109" t="s">
        <v>43</v>
      </c>
      <c r="B84" s="109" t="s">
        <v>97</v>
      </c>
      <c r="C84" s="109" t="s">
        <v>4076</v>
      </c>
      <c r="D84" s="112" t="s">
        <v>16</v>
      </c>
      <c r="E84" s="109" t="s">
        <v>4077</v>
      </c>
      <c r="F84" s="111" t="s">
        <v>1691</v>
      </c>
    </row>
    <row r="85" customFormat="false" ht="23.85" hidden="false" customHeight="false" outlineLevel="0" collapsed="false">
      <c r="A85" s="109" t="s">
        <v>43</v>
      </c>
      <c r="B85" s="109" t="s">
        <v>120</v>
      </c>
      <c r="C85" s="109" t="s">
        <v>4078</v>
      </c>
      <c r="D85" s="110" t="s">
        <v>18</v>
      </c>
      <c r="E85" s="109" t="s">
        <v>4079</v>
      </c>
      <c r="F85" s="111" t="s">
        <v>2871</v>
      </c>
    </row>
    <row r="86" customFormat="false" ht="23.85" hidden="false" customHeight="false" outlineLevel="0" collapsed="false">
      <c r="A86" s="109" t="s">
        <v>43</v>
      </c>
      <c r="B86" s="109" t="s">
        <v>120</v>
      </c>
      <c r="C86" s="109" t="s">
        <v>4080</v>
      </c>
      <c r="D86" s="109" t="s">
        <v>28</v>
      </c>
      <c r="E86" s="109" t="s">
        <v>4081</v>
      </c>
      <c r="F86" s="111" t="s">
        <v>4082</v>
      </c>
    </row>
    <row r="87" customFormat="false" ht="23.85" hidden="false" customHeight="false" outlineLevel="0" collapsed="false">
      <c r="A87" s="109" t="s">
        <v>43</v>
      </c>
      <c r="B87" s="109" t="s">
        <v>103</v>
      </c>
      <c r="C87" s="109" t="s">
        <v>4083</v>
      </c>
      <c r="D87" s="110" t="s">
        <v>18</v>
      </c>
      <c r="E87" s="109" t="s">
        <v>4084</v>
      </c>
      <c r="F87" s="111" t="s">
        <v>2616</v>
      </c>
    </row>
    <row r="88" customFormat="false" ht="23.85" hidden="false" customHeight="false" outlineLevel="0" collapsed="false">
      <c r="A88" s="109" t="s">
        <v>47</v>
      </c>
      <c r="B88" s="109" t="s">
        <v>86</v>
      </c>
      <c r="C88" s="109" t="s">
        <v>4085</v>
      </c>
      <c r="D88" s="112" t="s">
        <v>16</v>
      </c>
      <c r="E88" s="109" t="s">
        <v>4086</v>
      </c>
      <c r="F88" s="111" t="s">
        <v>922</v>
      </c>
    </row>
    <row r="89" customFormat="false" ht="23.85" hidden="false" customHeight="false" outlineLevel="0" collapsed="false">
      <c r="A89" s="109" t="s">
        <v>47</v>
      </c>
      <c r="B89" s="109" t="s">
        <v>86</v>
      </c>
      <c r="C89" s="109" t="s">
        <v>4087</v>
      </c>
      <c r="D89" s="112" t="s">
        <v>16</v>
      </c>
      <c r="E89" s="109" t="s">
        <v>4088</v>
      </c>
      <c r="F89" s="111" t="s">
        <v>4089</v>
      </c>
    </row>
    <row r="90" customFormat="false" ht="15" hidden="false" customHeight="false" outlineLevel="0" collapsed="false">
      <c r="A90" s="109" t="s">
        <v>47</v>
      </c>
      <c r="B90" s="109" t="s">
        <v>86</v>
      </c>
      <c r="C90" s="109" t="s">
        <v>4090</v>
      </c>
      <c r="D90" s="112" t="s">
        <v>16</v>
      </c>
      <c r="E90" s="109" t="s">
        <v>4091</v>
      </c>
      <c r="F90" s="111" t="s">
        <v>4092</v>
      </c>
    </row>
    <row r="91" customFormat="false" ht="23.85" hidden="false" customHeight="false" outlineLevel="0" collapsed="false">
      <c r="A91" s="109" t="s">
        <v>47</v>
      </c>
      <c r="B91" s="109" t="s">
        <v>86</v>
      </c>
      <c r="C91" s="109" t="s">
        <v>4093</v>
      </c>
      <c r="D91" s="112" t="s">
        <v>16</v>
      </c>
      <c r="E91" s="109" t="s">
        <v>4094</v>
      </c>
      <c r="F91" s="111" t="s">
        <v>4095</v>
      </c>
    </row>
    <row r="92" customFormat="false" ht="15" hidden="false" customHeight="false" outlineLevel="0" collapsed="false">
      <c r="A92" s="109" t="s">
        <v>47</v>
      </c>
      <c r="B92" s="109" t="s">
        <v>86</v>
      </c>
      <c r="C92" s="109" t="s">
        <v>4096</v>
      </c>
      <c r="D92" s="112" t="s">
        <v>16</v>
      </c>
      <c r="E92" s="109" t="s">
        <v>4097</v>
      </c>
      <c r="F92" s="111" t="s">
        <v>956</v>
      </c>
    </row>
    <row r="93" customFormat="false" ht="15" hidden="false" customHeight="false" outlineLevel="0" collapsed="false">
      <c r="A93" s="109" t="s">
        <v>47</v>
      </c>
      <c r="B93" s="109" t="s">
        <v>86</v>
      </c>
      <c r="C93" s="109" t="s">
        <v>4098</v>
      </c>
      <c r="D93" s="112" t="s">
        <v>16</v>
      </c>
      <c r="E93" s="109" t="s">
        <v>4099</v>
      </c>
      <c r="F93" s="111" t="s">
        <v>971</v>
      </c>
    </row>
    <row r="94" customFormat="false" ht="15" hidden="false" customHeight="false" outlineLevel="0" collapsed="false">
      <c r="A94" s="109" t="s">
        <v>47</v>
      </c>
      <c r="B94" s="109" t="s">
        <v>87</v>
      </c>
      <c r="C94" s="109" t="s">
        <v>4100</v>
      </c>
      <c r="D94" s="112" t="s">
        <v>16</v>
      </c>
      <c r="E94" s="109" t="s">
        <v>4101</v>
      </c>
      <c r="F94" s="111" t="s">
        <v>1379</v>
      </c>
    </row>
    <row r="95" customFormat="false" ht="15" hidden="false" customHeight="false" outlineLevel="0" collapsed="false">
      <c r="A95" s="109" t="s">
        <v>47</v>
      </c>
      <c r="B95" s="109" t="s">
        <v>87</v>
      </c>
      <c r="C95" s="109" t="s">
        <v>4102</v>
      </c>
      <c r="D95" s="112" t="s">
        <v>16</v>
      </c>
      <c r="E95" s="109" t="s">
        <v>4103</v>
      </c>
      <c r="F95" s="111" t="s">
        <v>1166</v>
      </c>
    </row>
    <row r="96" customFormat="false" ht="15" hidden="false" customHeight="false" outlineLevel="0" collapsed="false">
      <c r="A96" s="109" t="s">
        <v>47</v>
      </c>
      <c r="B96" s="109" t="s">
        <v>87</v>
      </c>
      <c r="C96" s="109" t="s">
        <v>4104</v>
      </c>
      <c r="D96" s="112" t="s">
        <v>16</v>
      </c>
      <c r="E96" s="109" t="s">
        <v>4105</v>
      </c>
      <c r="F96" s="111" t="s">
        <v>4106</v>
      </c>
    </row>
    <row r="97" customFormat="false" ht="23.85" hidden="false" customHeight="false" outlineLevel="0" collapsed="false">
      <c r="A97" s="109" t="s">
        <v>47</v>
      </c>
      <c r="B97" s="109" t="s">
        <v>87</v>
      </c>
      <c r="C97" s="109" t="s">
        <v>4107</v>
      </c>
      <c r="D97" s="112" t="s">
        <v>16</v>
      </c>
      <c r="E97" s="109" t="s">
        <v>4108</v>
      </c>
      <c r="F97" s="111" t="s">
        <v>1213</v>
      </c>
    </row>
    <row r="98" customFormat="false" ht="15" hidden="false" customHeight="false" outlineLevel="0" collapsed="false">
      <c r="A98" s="109" t="s">
        <v>47</v>
      </c>
      <c r="B98" s="109" t="s">
        <v>88</v>
      </c>
      <c r="C98" s="109" t="s">
        <v>4109</v>
      </c>
      <c r="D98" s="112" t="s">
        <v>16</v>
      </c>
      <c r="E98" s="109" t="s">
        <v>4110</v>
      </c>
      <c r="F98" s="111" t="s">
        <v>1213</v>
      </c>
    </row>
    <row r="99" customFormat="false" ht="23.85" hidden="false" customHeight="false" outlineLevel="0" collapsed="false">
      <c r="A99" s="109" t="s">
        <v>47</v>
      </c>
      <c r="B99" s="109" t="s">
        <v>88</v>
      </c>
      <c r="C99" s="109" t="s">
        <v>4111</v>
      </c>
      <c r="D99" s="112" t="s">
        <v>16</v>
      </c>
      <c r="E99" s="109" t="s">
        <v>4112</v>
      </c>
      <c r="F99" s="111" t="s">
        <v>956</v>
      </c>
    </row>
    <row r="100" customFormat="false" ht="15" hidden="false" customHeight="false" outlineLevel="0" collapsed="false">
      <c r="A100" s="109" t="s">
        <v>47</v>
      </c>
      <c r="B100" s="109" t="s">
        <v>88</v>
      </c>
      <c r="C100" s="109" t="s">
        <v>4113</v>
      </c>
      <c r="D100" s="112" t="s">
        <v>16</v>
      </c>
      <c r="E100" s="109" t="s">
        <v>4114</v>
      </c>
      <c r="F100" s="111" t="s">
        <v>1213</v>
      </c>
    </row>
    <row r="101" customFormat="false" ht="15" hidden="false" customHeight="false" outlineLevel="0" collapsed="false">
      <c r="A101" s="109" t="s">
        <v>47</v>
      </c>
      <c r="B101" s="109" t="s">
        <v>88</v>
      </c>
      <c r="C101" s="109" t="s">
        <v>4115</v>
      </c>
      <c r="D101" s="112" t="s">
        <v>16</v>
      </c>
      <c r="E101" s="109" t="s">
        <v>4116</v>
      </c>
      <c r="F101" s="111" t="s">
        <v>956</v>
      </c>
    </row>
    <row r="102" customFormat="false" ht="15" hidden="false" customHeight="false" outlineLevel="0" collapsed="false">
      <c r="A102" s="109" t="s">
        <v>47</v>
      </c>
      <c r="B102" s="109" t="s">
        <v>98</v>
      </c>
      <c r="C102" s="109" t="s">
        <v>4117</v>
      </c>
      <c r="D102" s="112" t="s">
        <v>16</v>
      </c>
      <c r="E102" s="109" t="s">
        <v>4118</v>
      </c>
      <c r="F102" s="111" t="s">
        <v>2217</v>
      </c>
    </row>
    <row r="103" customFormat="false" ht="15" hidden="false" customHeight="false" outlineLevel="0" collapsed="false">
      <c r="A103" s="109" t="s">
        <v>47</v>
      </c>
      <c r="B103" s="109" t="s">
        <v>98</v>
      </c>
      <c r="C103" s="109" t="s">
        <v>4119</v>
      </c>
      <c r="D103" s="112" t="s">
        <v>16</v>
      </c>
      <c r="E103" s="109" t="s">
        <v>4120</v>
      </c>
      <c r="F103" s="111" t="s">
        <v>1149</v>
      </c>
    </row>
    <row r="104" customFormat="false" ht="15" hidden="false" customHeight="false" outlineLevel="0" collapsed="false">
      <c r="A104" s="109" t="s">
        <v>47</v>
      </c>
      <c r="B104" s="109" t="s">
        <v>99</v>
      </c>
      <c r="C104" s="109" t="s">
        <v>4121</v>
      </c>
      <c r="D104" s="112" t="s">
        <v>16</v>
      </c>
      <c r="E104" s="109" t="s">
        <v>4122</v>
      </c>
      <c r="F104" s="111" t="s">
        <v>1213</v>
      </c>
    </row>
    <row r="105" customFormat="false" ht="15" hidden="false" customHeight="false" outlineLevel="0" collapsed="false">
      <c r="A105" s="109" t="s">
        <v>47</v>
      </c>
      <c r="B105" s="109" t="s">
        <v>99</v>
      </c>
      <c r="C105" s="109" t="s">
        <v>4123</v>
      </c>
      <c r="D105" s="112" t="s">
        <v>16</v>
      </c>
      <c r="E105" s="109" t="s">
        <v>4124</v>
      </c>
      <c r="F105" s="111" t="s">
        <v>1149</v>
      </c>
    </row>
    <row r="106" customFormat="false" ht="23.85" hidden="false" customHeight="false" outlineLevel="0" collapsed="false">
      <c r="A106" s="109" t="s">
        <v>47</v>
      </c>
      <c r="B106" s="109" t="s">
        <v>109</v>
      </c>
      <c r="C106" s="109" t="s">
        <v>4125</v>
      </c>
      <c r="D106" s="112" t="s">
        <v>16</v>
      </c>
      <c r="E106" s="109" t="s">
        <v>4126</v>
      </c>
      <c r="F106" s="111" t="s">
        <v>3076</v>
      </c>
    </row>
    <row r="107" customFormat="false" ht="15" hidden="false" customHeight="false" outlineLevel="0" collapsed="false">
      <c r="A107" s="109" t="s">
        <v>47</v>
      </c>
      <c r="B107" s="109" t="s">
        <v>109</v>
      </c>
      <c r="C107" s="109" t="s">
        <v>4127</v>
      </c>
      <c r="D107" s="112" t="s">
        <v>16</v>
      </c>
      <c r="E107" s="109" t="s">
        <v>4128</v>
      </c>
      <c r="F107" s="111" t="s">
        <v>1213</v>
      </c>
    </row>
    <row r="108" customFormat="false" ht="23.85" hidden="false" customHeight="false" outlineLevel="0" collapsed="false">
      <c r="A108" s="109" t="s">
        <v>47</v>
      </c>
      <c r="B108" s="109" t="s">
        <v>109</v>
      </c>
      <c r="C108" s="109" t="s">
        <v>4129</v>
      </c>
      <c r="D108" s="112" t="s">
        <v>16</v>
      </c>
      <c r="E108" s="109" t="s">
        <v>4130</v>
      </c>
      <c r="F108" s="111" t="s">
        <v>956</v>
      </c>
    </row>
    <row r="109" customFormat="false" ht="15" hidden="false" customHeight="false" outlineLevel="0" collapsed="false">
      <c r="A109" s="109" t="s">
        <v>47</v>
      </c>
      <c r="B109" s="109" t="s">
        <v>109</v>
      </c>
      <c r="C109" s="109" t="s">
        <v>4131</v>
      </c>
      <c r="D109" s="112" t="s">
        <v>16</v>
      </c>
      <c r="E109" s="109" t="s">
        <v>4132</v>
      </c>
      <c r="F109" s="111" t="s">
        <v>1149</v>
      </c>
    </row>
    <row r="110" customFormat="false" ht="15" hidden="false" customHeight="false" outlineLevel="0" collapsed="false">
      <c r="A110" s="109" t="s">
        <v>47</v>
      </c>
      <c r="B110" s="109" t="s">
        <v>112</v>
      </c>
      <c r="C110" s="109" t="s">
        <v>4133</v>
      </c>
      <c r="D110" s="112" t="s">
        <v>16</v>
      </c>
      <c r="E110" s="109" t="s">
        <v>4134</v>
      </c>
      <c r="F110" s="111" t="s">
        <v>1751</v>
      </c>
    </row>
    <row r="111" customFormat="false" ht="15" hidden="false" customHeight="false" outlineLevel="0" collapsed="false">
      <c r="A111" s="109" t="s">
        <v>47</v>
      </c>
      <c r="B111" s="109" t="s">
        <v>112</v>
      </c>
      <c r="C111" s="109" t="s">
        <v>4135</v>
      </c>
      <c r="D111" s="112" t="s">
        <v>16</v>
      </c>
      <c r="E111" s="109" t="s">
        <v>4136</v>
      </c>
      <c r="F111" s="111" t="s">
        <v>1149</v>
      </c>
    </row>
    <row r="112" customFormat="false" ht="15" hidden="false" customHeight="false" outlineLevel="0" collapsed="false">
      <c r="A112" s="109" t="s">
        <v>47</v>
      </c>
      <c r="B112" s="109" t="s">
        <v>112</v>
      </c>
      <c r="C112" s="109" t="s">
        <v>4137</v>
      </c>
      <c r="D112" s="112" t="s">
        <v>16</v>
      </c>
      <c r="E112" s="109" t="s">
        <v>4138</v>
      </c>
      <c r="F112" s="111" t="s">
        <v>1379</v>
      </c>
    </row>
    <row r="113" customFormat="false" ht="15" hidden="false" customHeight="false" outlineLevel="0" collapsed="false">
      <c r="A113" s="109" t="s">
        <v>47</v>
      </c>
      <c r="B113" s="109" t="s">
        <v>93</v>
      </c>
      <c r="C113" s="109" t="s">
        <v>4139</v>
      </c>
      <c r="D113" s="112" t="s">
        <v>16</v>
      </c>
      <c r="E113" s="109" t="s">
        <v>4140</v>
      </c>
      <c r="F113" s="111" t="s">
        <v>1675</v>
      </c>
    </row>
    <row r="114" customFormat="false" ht="15" hidden="false" customHeight="false" outlineLevel="0" collapsed="false">
      <c r="A114" s="109" t="s">
        <v>47</v>
      </c>
      <c r="B114" s="109" t="s">
        <v>97</v>
      </c>
      <c r="C114" s="109" t="s">
        <v>4141</v>
      </c>
      <c r="D114" s="112" t="s">
        <v>16</v>
      </c>
      <c r="E114" s="109" t="s">
        <v>4142</v>
      </c>
      <c r="F114" s="111" t="s">
        <v>1979</v>
      </c>
    </row>
    <row r="115" customFormat="false" ht="15" hidden="false" customHeight="false" outlineLevel="0" collapsed="false">
      <c r="A115" s="109" t="s">
        <v>47</v>
      </c>
      <c r="B115" s="109" t="s">
        <v>97</v>
      </c>
      <c r="C115" s="109" t="s">
        <v>447</v>
      </c>
      <c r="D115" s="112" t="s">
        <v>16</v>
      </c>
      <c r="E115" s="109" t="s">
        <v>4143</v>
      </c>
      <c r="F115" s="111" t="s">
        <v>1979</v>
      </c>
    </row>
    <row r="116" customFormat="false" ht="15" hidden="false" customHeight="false" outlineLevel="0" collapsed="false">
      <c r="A116" s="109" t="s">
        <v>47</v>
      </c>
      <c r="B116" s="109" t="s">
        <v>110</v>
      </c>
      <c r="C116" s="109" t="s">
        <v>655</v>
      </c>
      <c r="D116" s="112" t="s">
        <v>16</v>
      </c>
      <c r="E116" s="109" t="s">
        <v>4144</v>
      </c>
      <c r="F116" s="111" t="s">
        <v>1213</v>
      </c>
    </row>
    <row r="117" customFormat="false" ht="15" hidden="false" customHeight="false" outlineLevel="0" collapsed="false">
      <c r="A117" s="109" t="s">
        <v>47</v>
      </c>
      <c r="B117" s="109" t="s">
        <v>107</v>
      </c>
      <c r="C117" s="109" t="s">
        <v>4145</v>
      </c>
      <c r="D117" s="112" t="s">
        <v>16</v>
      </c>
      <c r="E117" s="109" t="s">
        <v>4146</v>
      </c>
      <c r="F117" s="111" t="s">
        <v>4147</v>
      </c>
    </row>
    <row r="118" customFormat="false" ht="15" hidden="false" customHeight="false" outlineLevel="0" collapsed="false">
      <c r="A118" s="109" t="s">
        <v>47</v>
      </c>
      <c r="B118" s="109" t="s">
        <v>114</v>
      </c>
      <c r="C118" s="109" t="s">
        <v>4148</v>
      </c>
      <c r="D118" s="112" t="s">
        <v>16</v>
      </c>
      <c r="E118" s="109" t="s">
        <v>4149</v>
      </c>
      <c r="F118" s="111" t="s">
        <v>2349</v>
      </c>
    </row>
    <row r="119" customFormat="false" ht="15" hidden="false" customHeight="false" outlineLevel="0" collapsed="false">
      <c r="A119" s="109" t="s">
        <v>47</v>
      </c>
      <c r="B119" s="109" t="s">
        <v>102</v>
      </c>
      <c r="C119" s="109" t="s">
        <v>4150</v>
      </c>
      <c r="D119" s="112" t="s">
        <v>16</v>
      </c>
      <c r="E119" s="109" t="s">
        <v>4151</v>
      </c>
      <c r="F119" s="111" t="s">
        <v>2368</v>
      </c>
    </row>
    <row r="120" customFormat="false" ht="15" hidden="false" customHeight="false" outlineLevel="0" collapsed="false">
      <c r="A120" s="109" t="s">
        <v>47</v>
      </c>
      <c r="B120" s="109" t="s">
        <v>120</v>
      </c>
      <c r="C120" s="109" t="s">
        <v>789</v>
      </c>
      <c r="D120" s="109" t="s">
        <v>28</v>
      </c>
      <c r="E120" s="109" t="s">
        <v>4152</v>
      </c>
      <c r="F120" s="111" t="s">
        <v>4153</v>
      </c>
    </row>
    <row r="121" customFormat="false" ht="23.85" hidden="false" customHeight="false" outlineLevel="0" collapsed="false">
      <c r="A121" s="109" t="s">
        <v>51</v>
      </c>
      <c r="B121" s="109" t="s">
        <v>86</v>
      </c>
      <c r="C121" s="109" t="s">
        <v>4154</v>
      </c>
      <c r="D121" s="112" t="s">
        <v>16</v>
      </c>
      <c r="E121" s="109" t="s">
        <v>4155</v>
      </c>
      <c r="F121" s="111" t="s">
        <v>4156</v>
      </c>
    </row>
    <row r="122" customFormat="false" ht="23.85" hidden="false" customHeight="false" outlineLevel="0" collapsed="false">
      <c r="A122" s="109" t="s">
        <v>51</v>
      </c>
      <c r="B122" s="109" t="s">
        <v>86</v>
      </c>
      <c r="C122" s="109" t="s">
        <v>4157</v>
      </c>
      <c r="D122" s="112" t="s">
        <v>16</v>
      </c>
      <c r="E122" s="109" t="s">
        <v>4158</v>
      </c>
      <c r="F122" s="111" t="s">
        <v>4159</v>
      </c>
    </row>
    <row r="123" customFormat="false" ht="23.85" hidden="false" customHeight="false" outlineLevel="0" collapsed="false">
      <c r="A123" s="109" t="s">
        <v>51</v>
      </c>
      <c r="B123" s="109" t="s">
        <v>86</v>
      </c>
      <c r="C123" s="109" t="s">
        <v>4160</v>
      </c>
      <c r="D123" s="112" t="s">
        <v>16</v>
      </c>
      <c r="E123" s="109" t="s">
        <v>4161</v>
      </c>
      <c r="F123" s="111" t="s">
        <v>2023</v>
      </c>
    </row>
    <row r="124" customFormat="false" ht="15" hidden="false" customHeight="false" outlineLevel="0" collapsed="false">
      <c r="A124" s="109" t="s">
        <v>51</v>
      </c>
      <c r="B124" s="109" t="s">
        <v>86</v>
      </c>
      <c r="C124" s="109" t="s">
        <v>4162</v>
      </c>
      <c r="D124" s="112" t="s">
        <v>16</v>
      </c>
      <c r="E124" s="109" t="s">
        <v>4163</v>
      </c>
      <c r="F124" s="111" t="s">
        <v>1039</v>
      </c>
    </row>
    <row r="125" customFormat="false" ht="15" hidden="false" customHeight="false" outlineLevel="0" collapsed="false">
      <c r="A125" s="109" t="s">
        <v>51</v>
      </c>
      <c r="B125" s="109" t="s">
        <v>86</v>
      </c>
      <c r="C125" s="109" t="s">
        <v>4164</v>
      </c>
      <c r="D125" s="112" t="s">
        <v>16</v>
      </c>
      <c r="E125" s="109" t="s">
        <v>4165</v>
      </c>
      <c r="F125" s="111" t="s">
        <v>838</v>
      </c>
    </row>
    <row r="126" customFormat="false" ht="15" hidden="false" customHeight="false" outlineLevel="0" collapsed="false">
      <c r="A126" s="109" t="s">
        <v>51</v>
      </c>
      <c r="B126" s="109" t="s">
        <v>86</v>
      </c>
      <c r="C126" s="109" t="s">
        <v>4166</v>
      </c>
      <c r="D126" s="112" t="s">
        <v>16</v>
      </c>
      <c r="E126" s="109" t="s">
        <v>4167</v>
      </c>
      <c r="F126" s="111" t="s">
        <v>838</v>
      </c>
    </row>
    <row r="127" customFormat="false" ht="15" hidden="false" customHeight="false" outlineLevel="0" collapsed="false">
      <c r="A127" s="109" t="s">
        <v>51</v>
      </c>
      <c r="B127" s="109" t="s">
        <v>86</v>
      </c>
      <c r="C127" s="109" t="s">
        <v>4168</v>
      </c>
      <c r="D127" s="112" t="s">
        <v>16</v>
      </c>
      <c r="E127" s="109" t="s">
        <v>4169</v>
      </c>
      <c r="F127" s="111" t="s">
        <v>838</v>
      </c>
    </row>
    <row r="128" customFormat="false" ht="23.85" hidden="false" customHeight="false" outlineLevel="0" collapsed="false">
      <c r="A128" s="109" t="s">
        <v>51</v>
      </c>
      <c r="B128" s="109" t="s">
        <v>87</v>
      </c>
      <c r="C128" s="109" t="s">
        <v>4170</v>
      </c>
      <c r="D128" s="112" t="s">
        <v>16</v>
      </c>
      <c r="E128" s="109" t="s">
        <v>4171</v>
      </c>
      <c r="F128" s="111" t="s">
        <v>892</v>
      </c>
    </row>
    <row r="129" customFormat="false" ht="23.85" hidden="false" customHeight="false" outlineLevel="0" collapsed="false">
      <c r="A129" s="109" t="s">
        <v>51</v>
      </c>
      <c r="B129" s="109" t="s">
        <v>87</v>
      </c>
      <c r="C129" s="109" t="s">
        <v>4172</v>
      </c>
      <c r="D129" s="112" t="s">
        <v>16</v>
      </c>
      <c r="E129" s="109" t="s">
        <v>4173</v>
      </c>
      <c r="F129" s="111" t="s">
        <v>4174</v>
      </c>
    </row>
    <row r="130" customFormat="false" ht="15" hidden="false" customHeight="false" outlineLevel="0" collapsed="false">
      <c r="A130" s="109" t="s">
        <v>51</v>
      </c>
      <c r="B130" s="109" t="s">
        <v>87</v>
      </c>
      <c r="C130" s="109" t="s">
        <v>4175</v>
      </c>
      <c r="D130" s="112" t="s">
        <v>16</v>
      </c>
      <c r="E130" s="109" t="s">
        <v>4176</v>
      </c>
      <c r="F130" s="111" t="s">
        <v>4177</v>
      </c>
    </row>
    <row r="131" customFormat="false" ht="23.85" hidden="false" customHeight="false" outlineLevel="0" collapsed="false">
      <c r="A131" s="109" t="s">
        <v>51</v>
      </c>
      <c r="B131" s="109" t="s">
        <v>87</v>
      </c>
      <c r="C131" s="109" t="s">
        <v>4178</v>
      </c>
      <c r="D131" s="112" t="s">
        <v>16</v>
      </c>
      <c r="E131" s="109" t="s">
        <v>4179</v>
      </c>
      <c r="F131" s="111" t="s">
        <v>1056</v>
      </c>
    </row>
    <row r="132" customFormat="false" ht="15" hidden="false" customHeight="false" outlineLevel="0" collapsed="false">
      <c r="A132" s="109" t="s">
        <v>51</v>
      </c>
      <c r="B132" s="109" t="s">
        <v>87</v>
      </c>
      <c r="C132" s="109" t="s">
        <v>4180</v>
      </c>
      <c r="D132" s="112" t="s">
        <v>16</v>
      </c>
      <c r="E132" s="109" t="s">
        <v>4181</v>
      </c>
      <c r="F132" s="111" t="s">
        <v>1056</v>
      </c>
    </row>
    <row r="133" customFormat="false" ht="15" hidden="false" customHeight="false" outlineLevel="0" collapsed="false">
      <c r="A133" s="109" t="s">
        <v>51</v>
      </c>
      <c r="B133" s="109" t="s">
        <v>88</v>
      </c>
      <c r="C133" s="109" t="s">
        <v>4182</v>
      </c>
      <c r="D133" s="112" t="s">
        <v>16</v>
      </c>
      <c r="E133" s="109" t="s">
        <v>4183</v>
      </c>
      <c r="F133" s="111" t="s">
        <v>1232</v>
      </c>
    </row>
    <row r="134" customFormat="false" ht="23.85" hidden="false" customHeight="false" outlineLevel="0" collapsed="false">
      <c r="A134" s="109" t="s">
        <v>51</v>
      </c>
      <c r="B134" s="109" t="s">
        <v>88</v>
      </c>
      <c r="C134" s="109" t="s">
        <v>4184</v>
      </c>
      <c r="D134" s="112" t="s">
        <v>16</v>
      </c>
      <c r="E134" s="109" t="s">
        <v>4185</v>
      </c>
      <c r="F134" s="111" t="s">
        <v>1232</v>
      </c>
    </row>
    <row r="135" customFormat="false" ht="15" hidden="false" customHeight="false" outlineLevel="0" collapsed="false">
      <c r="A135" s="109" t="s">
        <v>51</v>
      </c>
      <c r="B135" s="109" t="s">
        <v>88</v>
      </c>
      <c r="C135" s="109" t="s">
        <v>4186</v>
      </c>
      <c r="D135" s="112" t="s">
        <v>16</v>
      </c>
      <c r="E135" s="109" t="s">
        <v>4187</v>
      </c>
      <c r="F135" s="111" t="s">
        <v>1298</v>
      </c>
    </row>
    <row r="136" customFormat="false" ht="15" hidden="false" customHeight="false" outlineLevel="0" collapsed="false">
      <c r="A136" s="109" t="s">
        <v>51</v>
      </c>
      <c r="B136" s="109" t="s">
        <v>93</v>
      </c>
      <c r="C136" s="109" t="s">
        <v>4188</v>
      </c>
      <c r="D136" s="112" t="s">
        <v>16</v>
      </c>
      <c r="E136" s="109" t="s">
        <v>4189</v>
      </c>
      <c r="F136" s="111" t="s">
        <v>1735</v>
      </c>
    </row>
    <row r="137" customFormat="false" ht="23.85" hidden="false" customHeight="false" outlineLevel="0" collapsed="false">
      <c r="A137" s="109" t="s">
        <v>51</v>
      </c>
      <c r="B137" s="109" t="s">
        <v>93</v>
      </c>
      <c r="C137" s="109" t="s">
        <v>384</v>
      </c>
      <c r="D137" s="112" t="s">
        <v>16</v>
      </c>
      <c r="E137" s="109" t="s">
        <v>4190</v>
      </c>
      <c r="F137" s="111" t="s">
        <v>4191</v>
      </c>
    </row>
    <row r="138" customFormat="false" ht="23.85" hidden="false" customHeight="false" outlineLevel="0" collapsed="false">
      <c r="A138" s="109" t="s">
        <v>51</v>
      </c>
      <c r="B138" s="109" t="s">
        <v>93</v>
      </c>
      <c r="C138" s="109" t="s">
        <v>389</v>
      </c>
      <c r="D138" s="112" t="s">
        <v>16</v>
      </c>
      <c r="E138" s="109" t="s">
        <v>4192</v>
      </c>
      <c r="F138" s="111" t="s">
        <v>4193</v>
      </c>
    </row>
    <row r="139" customFormat="false" ht="15" hidden="false" customHeight="false" outlineLevel="0" collapsed="false">
      <c r="A139" s="109" t="s">
        <v>51</v>
      </c>
      <c r="B139" s="109" t="s">
        <v>93</v>
      </c>
      <c r="C139" s="109" t="s">
        <v>4194</v>
      </c>
      <c r="D139" s="112" t="s">
        <v>16</v>
      </c>
      <c r="E139" s="109" t="s">
        <v>4195</v>
      </c>
      <c r="F139" s="111" t="s">
        <v>1677</v>
      </c>
    </row>
    <row r="140" customFormat="false" ht="23.85" hidden="false" customHeight="false" outlineLevel="0" collapsed="false">
      <c r="A140" s="109" t="s">
        <v>51</v>
      </c>
      <c r="B140" s="109" t="s">
        <v>108</v>
      </c>
      <c r="C140" s="109" t="s">
        <v>4196</v>
      </c>
      <c r="D140" s="110" t="s">
        <v>18</v>
      </c>
      <c r="E140" s="109" t="s">
        <v>4197</v>
      </c>
      <c r="F140" s="111" t="s">
        <v>2781</v>
      </c>
    </row>
    <row r="141" customFormat="false" ht="23.85" hidden="false" customHeight="false" outlineLevel="0" collapsed="false">
      <c r="A141" s="109" t="s">
        <v>51</v>
      </c>
      <c r="B141" s="109" t="s">
        <v>110</v>
      </c>
      <c r="C141" s="109" t="s">
        <v>4198</v>
      </c>
      <c r="D141" s="112" t="s">
        <v>16</v>
      </c>
      <c r="E141" s="109" t="s">
        <v>4199</v>
      </c>
      <c r="F141" s="111" t="s">
        <v>2757</v>
      </c>
    </row>
    <row r="142" customFormat="false" ht="23.85" hidden="false" customHeight="false" outlineLevel="0" collapsed="false">
      <c r="A142" s="109" t="s">
        <v>51</v>
      </c>
      <c r="B142" s="109" t="s">
        <v>110</v>
      </c>
      <c r="C142" s="109" t="s">
        <v>4200</v>
      </c>
      <c r="D142" s="112" t="s">
        <v>16</v>
      </c>
      <c r="E142" s="109" t="s">
        <v>4201</v>
      </c>
      <c r="F142" s="111" t="s">
        <v>1282</v>
      </c>
    </row>
    <row r="143" customFormat="false" ht="15" hidden="false" customHeight="false" outlineLevel="0" collapsed="false">
      <c r="A143" s="109" t="s">
        <v>51</v>
      </c>
      <c r="B143" s="109" t="s">
        <v>110</v>
      </c>
      <c r="C143" s="109" t="s">
        <v>4202</v>
      </c>
      <c r="D143" s="112" t="s">
        <v>16</v>
      </c>
      <c r="E143" s="109" t="s">
        <v>4203</v>
      </c>
      <c r="F143" s="111" t="s">
        <v>3015</v>
      </c>
    </row>
    <row r="144" customFormat="false" ht="15" hidden="false" customHeight="false" outlineLevel="0" collapsed="false">
      <c r="A144" s="109" t="s">
        <v>51</v>
      </c>
      <c r="B144" s="109" t="s">
        <v>100</v>
      </c>
      <c r="C144" s="109" t="s">
        <v>516</v>
      </c>
      <c r="D144" s="112" t="s">
        <v>16</v>
      </c>
      <c r="E144" s="109" t="s">
        <v>4204</v>
      </c>
      <c r="F144" s="111" t="s">
        <v>4205</v>
      </c>
    </row>
    <row r="145" customFormat="false" ht="15" hidden="false" customHeight="false" outlineLevel="0" collapsed="false">
      <c r="A145" s="109" t="s">
        <v>51</v>
      </c>
      <c r="B145" s="109" t="s">
        <v>99</v>
      </c>
      <c r="C145" s="109" t="s">
        <v>4206</v>
      </c>
      <c r="D145" s="112" t="s">
        <v>16</v>
      </c>
      <c r="E145" s="109" t="s">
        <v>4207</v>
      </c>
      <c r="F145" s="111" t="s">
        <v>4208</v>
      </c>
    </row>
    <row r="146" customFormat="false" ht="15" hidden="false" customHeight="false" outlineLevel="0" collapsed="false">
      <c r="A146" s="109" t="s">
        <v>51</v>
      </c>
      <c r="B146" s="109" t="s">
        <v>99</v>
      </c>
      <c r="C146" s="109" t="s">
        <v>4209</v>
      </c>
      <c r="D146" s="112" t="s">
        <v>16</v>
      </c>
      <c r="E146" s="109" t="s">
        <v>4210</v>
      </c>
      <c r="F146" s="111" t="s">
        <v>4211</v>
      </c>
    </row>
    <row r="147" customFormat="false" ht="23.85" hidden="false" customHeight="false" outlineLevel="0" collapsed="false">
      <c r="A147" s="109" t="s">
        <v>51</v>
      </c>
      <c r="B147" s="109" t="s">
        <v>109</v>
      </c>
      <c r="C147" s="109" t="s">
        <v>4212</v>
      </c>
      <c r="D147" s="112" t="s">
        <v>16</v>
      </c>
      <c r="E147" s="109" t="s">
        <v>4213</v>
      </c>
      <c r="F147" s="111" t="s">
        <v>3723</v>
      </c>
    </row>
    <row r="148" customFormat="false" ht="15" hidden="false" customHeight="false" outlineLevel="0" collapsed="false">
      <c r="A148" s="109" t="s">
        <v>51</v>
      </c>
      <c r="B148" s="109" t="s">
        <v>109</v>
      </c>
      <c r="C148" s="109" t="s">
        <v>4214</v>
      </c>
      <c r="D148" s="112" t="s">
        <v>16</v>
      </c>
      <c r="E148" s="109" t="s">
        <v>4215</v>
      </c>
      <c r="F148" s="111" t="s">
        <v>4216</v>
      </c>
    </row>
    <row r="149" customFormat="false" ht="15" hidden="false" customHeight="false" outlineLevel="0" collapsed="false">
      <c r="A149" s="109" t="s">
        <v>51</v>
      </c>
      <c r="B149" s="109" t="s">
        <v>109</v>
      </c>
      <c r="C149" s="109" t="s">
        <v>4217</v>
      </c>
      <c r="D149" s="112" t="s">
        <v>16</v>
      </c>
      <c r="E149" s="109" t="s">
        <v>4218</v>
      </c>
      <c r="F149" s="111" t="s">
        <v>4219</v>
      </c>
    </row>
    <row r="150" customFormat="false" ht="15" hidden="false" customHeight="false" outlineLevel="0" collapsed="false">
      <c r="A150" s="109" t="s">
        <v>51</v>
      </c>
      <c r="B150" s="109" t="s">
        <v>119</v>
      </c>
      <c r="C150" s="109" t="s">
        <v>4220</v>
      </c>
      <c r="D150" s="112" t="s">
        <v>16</v>
      </c>
      <c r="E150" s="109" t="s">
        <v>4221</v>
      </c>
      <c r="F150" s="111" t="s">
        <v>4222</v>
      </c>
    </row>
    <row r="151" customFormat="false" ht="23.85" hidden="false" customHeight="false" outlineLevel="0" collapsed="false">
      <c r="A151" s="109" t="s">
        <v>51</v>
      </c>
      <c r="B151" s="109" t="s">
        <v>119</v>
      </c>
      <c r="C151" s="109" t="s">
        <v>4223</v>
      </c>
      <c r="D151" s="112" t="s">
        <v>16</v>
      </c>
      <c r="E151" s="109" t="s">
        <v>4224</v>
      </c>
      <c r="F151" s="111" t="s">
        <v>2998</v>
      </c>
    </row>
    <row r="152" customFormat="false" ht="15" hidden="false" customHeight="false" outlineLevel="0" collapsed="false">
      <c r="A152" s="109" t="s">
        <v>51</v>
      </c>
      <c r="B152" s="109" t="s">
        <v>91</v>
      </c>
      <c r="C152" s="109" t="s">
        <v>4225</v>
      </c>
      <c r="D152" s="112" t="s">
        <v>16</v>
      </c>
      <c r="E152" s="109" t="s">
        <v>4226</v>
      </c>
      <c r="F152" s="111" t="s">
        <v>1584</v>
      </c>
    </row>
    <row r="153" customFormat="false" ht="15" hidden="false" customHeight="false" outlineLevel="0" collapsed="false">
      <c r="A153" s="109" t="s">
        <v>51</v>
      </c>
      <c r="B153" s="109" t="s">
        <v>113</v>
      </c>
      <c r="C153" s="109" t="s">
        <v>4227</v>
      </c>
      <c r="D153" s="112" t="s">
        <v>16</v>
      </c>
      <c r="E153" s="109" t="s">
        <v>4228</v>
      </c>
      <c r="F153" s="111" t="s">
        <v>4177</v>
      </c>
    </row>
    <row r="154" customFormat="false" ht="15" hidden="false" customHeight="false" outlineLevel="0" collapsed="false">
      <c r="A154" s="109" t="s">
        <v>51</v>
      </c>
      <c r="B154" s="109" t="s">
        <v>113</v>
      </c>
      <c r="C154" s="109" t="s">
        <v>4229</v>
      </c>
      <c r="D154" s="110" t="s">
        <v>18</v>
      </c>
      <c r="E154" s="109" t="s">
        <v>4230</v>
      </c>
      <c r="F154" s="111" t="s">
        <v>4231</v>
      </c>
    </row>
    <row r="155" customFormat="false" ht="23.85" hidden="false" customHeight="false" outlineLevel="0" collapsed="false">
      <c r="A155" s="109" t="s">
        <v>55</v>
      </c>
      <c r="B155" s="109" t="s">
        <v>86</v>
      </c>
      <c r="C155" s="109" t="s">
        <v>4232</v>
      </c>
      <c r="D155" s="112" t="s">
        <v>16</v>
      </c>
      <c r="E155" s="109" t="s">
        <v>4233</v>
      </c>
      <c r="F155" s="111" t="s">
        <v>859</v>
      </c>
    </row>
    <row r="156" customFormat="false" ht="23.85" hidden="false" customHeight="false" outlineLevel="0" collapsed="false">
      <c r="A156" s="109" t="s">
        <v>55</v>
      </c>
      <c r="B156" s="109" t="s">
        <v>86</v>
      </c>
      <c r="C156" s="109" t="s">
        <v>4234</v>
      </c>
      <c r="D156" s="112" t="s">
        <v>16</v>
      </c>
      <c r="E156" s="109" t="s">
        <v>4235</v>
      </c>
      <c r="F156" s="111" t="s">
        <v>859</v>
      </c>
    </row>
    <row r="157" customFormat="false" ht="23.85" hidden="false" customHeight="false" outlineLevel="0" collapsed="false">
      <c r="A157" s="109" t="s">
        <v>55</v>
      </c>
      <c r="B157" s="109" t="s">
        <v>86</v>
      </c>
      <c r="C157" s="109" t="s">
        <v>4236</v>
      </c>
      <c r="D157" s="112" t="s">
        <v>16</v>
      </c>
      <c r="E157" s="109" t="s">
        <v>4237</v>
      </c>
      <c r="F157" s="111" t="s">
        <v>1999</v>
      </c>
    </row>
    <row r="158" customFormat="false" ht="15" hidden="false" customHeight="false" outlineLevel="0" collapsed="false">
      <c r="A158" s="109" t="s">
        <v>55</v>
      </c>
      <c r="B158" s="109" t="s">
        <v>86</v>
      </c>
      <c r="C158" s="109" t="s">
        <v>4238</v>
      </c>
      <c r="D158" s="112" t="s">
        <v>16</v>
      </c>
      <c r="E158" s="109" t="s">
        <v>4239</v>
      </c>
      <c r="F158" s="111" t="s">
        <v>1999</v>
      </c>
    </row>
    <row r="159" customFormat="false" ht="23.85" hidden="false" customHeight="false" outlineLevel="0" collapsed="false">
      <c r="A159" s="109" t="s">
        <v>55</v>
      </c>
      <c r="B159" s="109" t="s">
        <v>86</v>
      </c>
      <c r="C159" s="109" t="s">
        <v>4240</v>
      </c>
      <c r="D159" s="112" t="s">
        <v>16</v>
      </c>
      <c r="E159" s="109" t="s">
        <v>4241</v>
      </c>
      <c r="F159" s="111" t="s">
        <v>840</v>
      </c>
    </row>
    <row r="160" customFormat="false" ht="23.85" hidden="false" customHeight="false" outlineLevel="0" collapsed="false">
      <c r="A160" s="109" t="s">
        <v>55</v>
      </c>
      <c r="B160" s="109" t="s">
        <v>86</v>
      </c>
      <c r="C160" s="109" t="s">
        <v>4242</v>
      </c>
      <c r="D160" s="112" t="s">
        <v>16</v>
      </c>
      <c r="E160" s="109" t="s">
        <v>4243</v>
      </c>
      <c r="F160" s="111" t="s">
        <v>4244</v>
      </c>
    </row>
    <row r="161" customFormat="false" ht="23.85" hidden="false" customHeight="false" outlineLevel="0" collapsed="false">
      <c r="A161" s="109" t="s">
        <v>55</v>
      </c>
      <c r="B161" s="109" t="s">
        <v>91</v>
      </c>
      <c r="C161" s="109" t="s">
        <v>4245</v>
      </c>
      <c r="D161" s="112" t="s">
        <v>16</v>
      </c>
      <c r="E161" s="109" t="s">
        <v>4246</v>
      </c>
      <c r="F161" s="111" t="s">
        <v>1586</v>
      </c>
    </row>
    <row r="162" customFormat="false" ht="15" hidden="false" customHeight="false" outlineLevel="0" collapsed="false">
      <c r="A162" s="109" t="s">
        <v>55</v>
      </c>
      <c r="B162" s="109" t="s">
        <v>91</v>
      </c>
      <c r="C162" s="109" t="s">
        <v>4247</v>
      </c>
      <c r="D162" s="112" t="s">
        <v>16</v>
      </c>
      <c r="E162" s="109" t="s">
        <v>4248</v>
      </c>
      <c r="F162" s="111" t="s">
        <v>859</v>
      </c>
    </row>
    <row r="163" customFormat="false" ht="15" hidden="false" customHeight="false" outlineLevel="0" collapsed="false">
      <c r="A163" s="109" t="s">
        <v>55</v>
      </c>
      <c r="B163" s="109" t="s">
        <v>87</v>
      </c>
      <c r="C163" s="109" t="s">
        <v>4249</v>
      </c>
      <c r="D163" s="112" t="s">
        <v>16</v>
      </c>
      <c r="E163" s="109" t="s">
        <v>4250</v>
      </c>
      <c r="F163" s="111" t="s">
        <v>1586</v>
      </c>
    </row>
    <row r="164" customFormat="false" ht="23.85" hidden="false" customHeight="false" outlineLevel="0" collapsed="false">
      <c r="A164" s="109" t="s">
        <v>55</v>
      </c>
      <c r="B164" s="109" t="s">
        <v>87</v>
      </c>
      <c r="C164" s="109" t="s">
        <v>4251</v>
      </c>
      <c r="D164" s="112" t="s">
        <v>16</v>
      </c>
      <c r="E164" s="109" t="s">
        <v>4252</v>
      </c>
      <c r="F164" s="111" t="s">
        <v>1201</v>
      </c>
    </row>
    <row r="165" customFormat="false" ht="23.85" hidden="false" customHeight="false" outlineLevel="0" collapsed="false">
      <c r="A165" s="109" t="s">
        <v>55</v>
      </c>
      <c r="B165" s="109" t="s">
        <v>99</v>
      </c>
      <c r="C165" s="109" t="s">
        <v>4253</v>
      </c>
      <c r="D165" s="112" t="s">
        <v>16</v>
      </c>
      <c r="E165" s="109" t="s">
        <v>4254</v>
      </c>
      <c r="F165" s="111" t="s">
        <v>4255</v>
      </c>
    </row>
    <row r="166" customFormat="false" ht="15" hidden="false" customHeight="false" outlineLevel="0" collapsed="false">
      <c r="A166" s="109" t="s">
        <v>55</v>
      </c>
      <c r="B166" s="109" t="s">
        <v>99</v>
      </c>
      <c r="C166" s="109" t="s">
        <v>4256</v>
      </c>
      <c r="D166" s="112" t="s">
        <v>16</v>
      </c>
      <c r="E166" s="109" t="s">
        <v>4257</v>
      </c>
      <c r="F166" s="111" t="s">
        <v>1586</v>
      </c>
    </row>
    <row r="167" customFormat="false" ht="15" hidden="false" customHeight="false" outlineLevel="0" collapsed="false">
      <c r="A167" s="109" t="s">
        <v>55</v>
      </c>
      <c r="B167" s="109" t="s">
        <v>99</v>
      </c>
      <c r="C167" s="109" t="s">
        <v>4258</v>
      </c>
      <c r="D167" s="112" t="s">
        <v>16</v>
      </c>
      <c r="E167" s="109" t="s">
        <v>4259</v>
      </c>
      <c r="F167" s="111" t="s">
        <v>1201</v>
      </c>
    </row>
    <row r="168" customFormat="false" ht="15" hidden="false" customHeight="false" outlineLevel="0" collapsed="false">
      <c r="A168" s="109" t="s">
        <v>55</v>
      </c>
      <c r="B168" s="109" t="s">
        <v>100</v>
      </c>
      <c r="C168" s="109" t="s">
        <v>4260</v>
      </c>
      <c r="D168" s="112" t="s">
        <v>16</v>
      </c>
      <c r="E168" s="109" t="s">
        <v>4261</v>
      </c>
      <c r="F168" s="111" t="s">
        <v>2770</v>
      </c>
    </row>
    <row r="169" customFormat="false" ht="23.85" hidden="false" customHeight="false" outlineLevel="0" collapsed="false">
      <c r="A169" s="109" t="s">
        <v>55</v>
      </c>
      <c r="B169" s="109" t="s">
        <v>100</v>
      </c>
      <c r="C169" s="109" t="s">
        <v>4262</v>
      </c>
      <c r="D169" s="112" t="s">
        <v>16</v>
      </c>
      <c r="E169" s="109" t="s">
        <v>4263</v>
      </c>
      <c r="F169" s="111" t="s">
        <v>4264</v>
      </c>
    </row>
    <row r="170" customFormat="false" ht="15" hidden="false" customHeight="false" outlineLevel="0" collapsed="false">
      <c r="A170" s="109" t="s">
        <v>55</v>
      </c>
      <c r="B170" s="109" t="s">
        <v>100</v>
      </c>
      <c r="C170" s="109" t="s">
        <v>4265</v>
      </c>
      <c r="D170" s="112" t="s">
        <v>16</v>
      </c>
      <c r="E170" s="109" t="s">
        <v>4266</v>
      </c>
      <c r="F170" s="111" t="s">
        <v>2353</v>
      </c>
    </row>
    <row r="171" customFormat="false" ht="15" hidden="false" customHeight="false" outlineLevel="0" collapsed="false">
      <c r="A171" s="109" t="s">
        <v>55</v>
      </c>
      <c r="B171" s="109" t="s">
        <v>97</v>
      </c>
      <c r="C171" s="109" t="s">
        <v>4267</v>
      </c>
      <c r="D171" s="112" t="s">
        <v>16</v>
      </c>
      <c r="E171" s="109" t="s">
        <v>4268</v>
      </c>
      <c r="F171" s="111" t="s">
        <v>1201</v>
      </c>
    </row>
    <row r="172" customFormat="false" ht="15" hidden="false" customHeight="false" outlineLevel="0" collapsed="false">
      <c r="A172" s="109" t="s">
        <v>55</v>
      </c>
      <c r="B172" s="109" t="s">
        <v>97</v>
      </c>
      <c r="C172" s="109" t="s">
        <v>4269</v>
      </c>
      <c r="D172" s="112" t="s">
        <v>16</v>
      </c>
      <c r="E172" s="109" t="s">
        <v>4270</v>
      </c>
      <c r="F172" s="111" t="s">
        <v>1983</v>
      </c>
    </row>
    <row r="173" customFormat="false" ht="15" hidden="false" customHeight="false" outlineLevel="0" collapsed="false">
      <c r="A173" s="109" t="s">
        <v>55</v>
      </c>
      <c r="B173" s="109" t="s">
        <v>97</v>
      </c>
      <c r="C173" s="109" t="s">
        <v>4271</v>
      </c>
      <c r="D173" s="112" t="s">
        <v>16</v>
      </c>
      <c r="E173" s="109" t="s">
        <v>4272</v>
      </c>
      <c r="F173" s="111" t="s">
        <v>1983</v>
      </c>
    </row>
    <row r="174" customFormat="false" ht="15" hidden="false" customHeight="false" outlineLevel="0" collapsed="false">
      <c r="A174" s="109" t="s">
        <v>55</v>
      </c>
      <c r="B174" s="109" t="s">
        <v>97</v>
      </c>
      <c r="C174" s="109" t="s">
        <v>4273</v>
      </c>
      <c r="D174" s="112" t="s">
        <v>16</v>
      </c>
      <c r="E174" s="109" t="s">
        <v>4274</v>
      </c>
      <c r="F174" s="111" t="s">
        <v>1983</v>
      </c>
    </row>
    <row r="175" customFormat="false" ht="15" hidden="false" customHeight="false" outlineLevel="0" collapsed="false">
      <c r="A175" s="109" t="s">
        <v>55</v>
      </c>
      <c r="B175" s="109" t="s">
        <v>97</v>
      </c>
      <c r="C175" s="109" t="s">
        <v>4275</v>
      </c>
      <c r="D175" s="112" t="s">
        <v>16</v>
      </c>
      <c r="E175" s="109" t="s">
        <v>4276</v>
      </c>
      <c r="F175" s="111" t="s">
        <v>2025</v>
      </c>
    </row>
    <row r="176" customFormat="false" ht="15" hidden="false" customHeight="false" outlineLevel="0" collapsed="false">
      <c r="A176" s="109" t="s">
        <v>55</v>
      </c>
      <c r="B176" s="109" t="s">
        <v>93</v>
      </c>
      <c r="C176" s="109" t="s">
        <v>4277</v>
      </c>
      <c r="D176" s="112" t="s">
        <v>16</v>
      </c>
      <c r="E176" s="109" t="s">
        <v>4278</v>
      </c>
      <c r="F176" s="111" t="s">
        <v>1787</v>
      </c>
    </row>
    <row r="177" customFormat="false" ht="15" hidden="false" customHeight="false" outlineLevel="0" collapsed="false">
      <c r="A177" s="109" t="s">
        <v>55</v>
      </c>
      <c r="B177" s="109" t="s">
        <v>93</v>
      </c>
      <c r="C177" s="109" t="s">
        <v>4279</v>
      </c>
      <c r="D177" s="112" t="s">
        <v>16</v>
      </c>
      <c r="E177" s="109" t="s">
        <v>4280</v>
      </c>
      <c r="F177" s="111" t="s">
        <v>3603</v>
      </c>
    </row>
    <row r="178" customFormat="false" ht="15" hidden="false" customHeight="false" outlineLevel="0" collapsed="false">
      <c r="A178" s="109" t="s">
        <v>55</v>
      </c>
      <c r="B178" s="109" t="s">
        <v>93</v>
      </c>
      <c r="C178" s="109" t="s">
        <v>4281</v>
      </c>
      <c r="D178" s="112" t="s">
        <v>16</v>
      </c>
      <c r="E178" s="109" t="s">
        <v>4282</v>
      </c>
      <c r="F178" s="111" t="s">
        <v>1395</v>
      </c>
    </row>
    <row r="179" customFormat="false" ht="15" hidden="false" customHeight="false" outlineLevel="0" collapsed="false">
      <c r="A179" s="109" t="s">
        <v>55</v>
      </c>
      <c r="B179" s="109" t="s">
        <v>88</v>
      </c>
      <c r="C179" s="109" t="s">
        <v>4283</v>
      </c>
      <c r="D179" s="112" t="s">
        <v>16</v>
      </c>
      <c r="E179" s="109" t="s">
        <v>4284</v>
      </c>
      <c r="F179" s="111" t="s">
        <v>1586</v>
      </c>
    </row>
    <row r="180" customFormat="false" ht="23.85" hidden="false" customHeight="false" outlineLevel="0" collapsed="false">
      <c r="A180" s="109" t="s">
        <v>55</v>
      </c>
      <c r="B180" s="109" t="s">
        <v>107</v>
      </c>
      <c r="C180" s="109" t="s">
        <v>4285</v>
      </c>
      <c r="D180" s="112" t="s">
        <v>16</v>
      </c>
      <c r="E180" s="109" t="s">
        <v>4286</v>
      </c>
      <c r="F180" s="111" t="s">
        <v>1586</v>
      </c>
    </row>
    <row r="181" customFormat="false" ht="15" hidden="false" customHeight="false" outlineLevel="0" collapsed="false">
      <c r="A181" s="109" t="s">
        <v>55</v>
      </c>
      <c r="B181" s="109" t="s">
        <v>113</v>
      </c>
      <c r="C181" s="109" t="s">
        <v>4287</v>
      </c>
      <c r="D181" s="110" t="s">
        <v>18</v>
      </c>
      <c r="E181" s="109" t="s">
        <v>4288</v>
      </c>
      <c r="F181" s="111" t="s">
        <v>2732</v>
      </c>
    </row>
    <row r="182" customFormat="false" ht="15" hidden="false" customHeight="false" outlineLevel="0" collapsed="false">
      <c r="A182" s="109" t="s">
        <v>55</v>
      </c>
      <c r="B182" s="109" t="s">
        <v>113</v>
      </c>
      <c r="C182" s="109" t="s">
        <v>4289</v>
      </c>
      <c r="D182" s="110" t="s">
        <v>18</v>
      </c>
      <c r="E182" s="109" t="s">
        <v>4290</v>
      </c>
      <c r="F182" s="111" t="s">
        <v>4291</v>
      </c>
    </row>
    <row r="183" customFormat="false" ht="15" hidden="false" customHeight="false" outlineLevel="0" collapsed="false">
      <c r="A183" s="109" t="s">
        <v>55</v>
      </c>
      <c r="B183" s="109" t="s">
        <v>113</v>
      </c>
      <c r="C183" s="109" t="s">
        <v>4292</v>
      </c>
      <c r="D183" s="112" t="s">
        <v>16</v>
      </c>
      <c r="E183" s="109" t="s">
        <v>4293</v>
      </c>
      <c r="F183" s="111" t="s">
        <v>1999</v>
      </c>
    </row>
    <row r="184" customFormat="false" ht="15" hidden="false" customHeight="false" outlineLevel="0" collapsed="false">
      <c r="A184" s="109" t="s">
        <v>55</v>
      </c>
      <c r="B184" s="109" t="s">
        <v>109</v>
      </c>
      <c r="C184" s="109" t="s">
        <v>4294</v>
      </c>
      <c r="D184" s="112" t="s">
        <v>16</v>
      </c>
      <c r="E184" s="109" t="s">
        <v>4295</v>
      </c>
      <c r="F184" s="111" t="s">
        <v>3603</v>
      </c>
    </row>
    <row r="185" customFormat="false" ht="15" hidden="false" customHeight="false" outlineLevel="0" collapsed="false">
      <c r="A185" s="109" t="s">
        <v>55</v>
      </c>
      <c r="B185" s="109" t="s">
        <v>120</v>
      </c>
      <c r="C185" s="109" t="s">
        <v>4296</v>
      </c>
      <c r="D185" s="112" t="s">
        <v>16</v>
      </c>
      <c r="E185" s="109" t="s">
        <v>4297</v>
      </c>
      <c r="F185" s="111" t="s">
        <v>2917</v>
      </c>
    </row>
    <row r="186" customFormat="false" ht="35.05" hidden="false" customHeight="false" outlineLevel="0" collapsed="false">
      <c r="A186" s="109" t="s">
        <v>59</v>
      </c>
      <c r="B186" s="109" t="s">
        <v>115</v>
      </c>
      <c r="C186" s="109" t="s">
        <v>4298</v>
      </c>
      <c r="D186" s="112" t="s">
        <v>16</v>
      </c>
      <c r="E186" s="109" t="s">
        <v>4299</v>
      </c>
      <c r="F186" s="111" t="s">
        <v>1138</v>
      </c>
    </row>
    <row r="187" customFormat="false" ht="15" hidden="false" customHeight="false" outlineLevel="0" collapsed="false">
      <c r="A187" s="109" t="s">
        <v>59</v>
      </c>
      <c r="B187" s="109" t="s">
        <v>115</v>
      </c>
      <c r="C187" s="109" t="s">
        <v>4300</v>
      </c>
      <c r="D187" s="110" t="s">
        <v>18</v>
      </c>
      <c r="E187" s="109" t="s">
        <v>4301</v>
      </c>
      <c r="F187" s="111" t="s">
        <v>2442</v>
      </c>
    </row>
    <row r="188" customFormat="false" ht="23.85" hidden="false" customHeight="false" outlineLevel="0" collapsed="false">
      <c r="A188" s="109" t="s">
        <v>59</v>
      </c>
      <c r="B188" s="109" t="s">
        <v>115</v>
      </c>
      <c r="C188" s="109" t="s">
        <v>4302</v>
      </c>
      <c r="D188" s="110" t="s">
        <v>18</v>
      </c>
      <c r="E188" s="109" t="s">
        <v>4303</v>
      </c>
      <c r="F188" s="111" t="s">
        <v>842</v>
      </c>
    </row>
    <row r="189" customFormat="false" ht="15" hidden="false" customHeight="false" outlineLevel="0" collapsed="false">
      <c r="A189" s="109" t="s">
        <v>59</v>
      </c>
      <c r="B189" s="109" t="s">
        <v>86</v>
      </c>
      <c r="C189" s="109" t="s">
        <v>4304</v>
      </c>
      <c r="D189" s="112" t="s">
        <v>16</v>
      </c>
      <c r="E189" s="109" t="s">
        <v>4305</v>
      </c>
      <c r="F189" s="111" t="s">
        <v>1172</v>
      </c>
    </row>
    <row r="190" customFormat="false" ht="15" hidden="false" customHeight="false" outlineLevel="0" collapsed="false">
      <c r="A190" s="109" t="s">
        <v>59</v>
      </c>
      <c r="B190" s="109" t="s">
        <v>86</v>
      </c>
      <c r="C190" s="109" t="s">
        <v>4306</v>
      </c>
      <c r="D190" s="110" t="s">
        <v>18</v>
      </c>
      <c r="E190" s="109" t="s">
        <v>4307</v>
      </c>
      <c r="F190" s="111" t="s">
        <v>842</v>
      </c>
    </row>
    <row r="191" customFormat="false" ht="23.85" hidden="false" customHeight="false" outlineLevel="0" collapsed="false">
      <c r="A191" s="109" t="s">
        <v>59</v>
      </c>
      <c r="B191" s="109" t="s">
        <v>86</v>
      </c>
      <c r="C191" s="109" t="s">
        <v>4308</v>
      </c>
      <c r="D191" s="112" t="s">
        <v>16</v>
      </c>
      <c r="E191" s="109" t="s">
        <v>4309</v>
      </c>
      <c r="F191" s="111" t="s">
        <v>1138</v>
      </c>
    </row>
    <row r="192" customFormat="false" ht="23.85" hidden="false" customHeight="false" outlineLevel="0" collapsed="false">
      <c r="A192" s="109" t="s">
        <v>59</v>
      </c>
      <c r="B192" s="109" t="s">
        <v>87</v>
      </c>
      <c r="C192" s="109" t="s">
        <v>4310</v>
      </c>
      <c r="D192" s="110" t="s">
        <v>18</v>
      </c>
      <c r="E192" s="109" t="s">
        <v>4311</v>
      </c>
      <c r="F192" s="111" t="s">
        <v>1092</v>
      </c>
    </row>
    <row r="193" customFormat="false" ht="23.85" hidden="false" customHeight="false" outlineLevel="0" collapsed="false">
      <c r="A193" s="109" t="s">
        <v>59</v>
      </c>
      <c r="B193" s="109" t="s">
        <v>87</v>
      </c>
      <c r="C193" s="109" t="s">
        <v>4312</v>
      </c>
      <c r="D193" s="112" t="s">
        <v>16</v>
      </c>
      <c r="E193" s="109" t="s">
        <v>4313</v>
      </c>
      <c r="F193" s="111" t="s">
        <v>1138</v>
      </c>
    </row>
    <row r="194" customFormat="false" ht="15" hidden="false" customHeight="false" outlineLevel="0" collapsed="false">
      <c r="A194" s="109" t="s">
        <v>59</v>
      </c>
      <c r="B194" s="109" t="s">
        <v>88</v>
      </c>
      <c r="C194" s="109" t="s">
        <v>4314</v>
      </c>
      <c r="D194" s="112" t="s">
        <v>16</v>
      </c>
      <c r="E194" s="109" t="s">
        <v>4315</v>
      </c>
      <c r="F194" s="111" t="s">
        <v>1266</v>
      </c>
    </row>
    <row r="195" customFormat="false" ht="15" hidden="false" customHeight="false" outlineLevel="0" collapsed="false">
      <c r="A195" s="109" t="s">
        <v>59</v>
      </c>
      <c r="B195" s="109" t="s">
        <v>88</v>
      </c>
      <c r="C195" s="109" t="s">
        <v>4316</v>
      </c>
      <c r="D195" s="112" t="s">
        <v>16</v>
      </c>
      <c r="E195" s="109" t="s">
        <v>4317</v>
      </c>
      <c r="F195" s="111" t="s">
        <v>1266</v>
      </c>
    </row>
    <row r="196" customFormat="false" ht="15" hidden="false" customHeight="false" outlineLevel="0" collapsed="false">
      <c r="A196" s="109" t="s">
        <v>59</v>
      </c>
      <c r="B196" s="109" t="s">
        <v>88</v>
      </c>
      <c r="C196" s="109" t="s">
        <v>4318</v>
      </c>
      <c r="D196" s="112" t="s">
        <v>16</v>
      </c>
      <c r="E196" s="109" t="s">
        <v>4319</v>
      </c>
      <c r="F196" s="111" t="s">
        <v>1138</v>
      </c>
    </row>
    <row r="197" customFormat="false" ht="15" hidden="false" customHeight="false" outlineLevel="0" collapsed="false">
      <c r="A197" s="109" t="s">
        <v>59</v>
      </c>
      <c r="B197" s="109" t="s">
        <v>88</v>
      </c>
      <c r="C197" s="109" t="s">
        <v>4320</v>
      </c>
      <c r="D197" s="110" t="s">
        <v>18</v>
      </c>
      <c r="E197" s="109" t="s">
        <v>4321</v>
      </c>
      <c r="F197" s="111" t="s">
        <v>4322</v>
      </c>
    </row>
    <row r="198" customFormat="false" ht="15" hidden="false" customHeight="false" outlineLevel="0" collapsed="false">
      <c r="A198" s="109" t="s">
        <v>59</v>
      </c>
      <c r="B198" s="109" t="s">
        <v>98</v>
      </c>
      <c r="C198" s="109" t="s">
        <v>4323</v>
      </c>
      <c r="D198" s="112" t="s">
        <v>16</v>
      </c>
      <c r="E198" s="109" t="s">
        <v>4324</v>
      </c>
      <c r="F198" s="111" t="s">
        <v>945</v>
      </c>
    </row>
    <row r="199" customFormat="false" ht="15" hidden="false" customHeight="false" outlineLevel="0" collapsed="false">
      <c r="A199" s="109" t="s">
        <v>59</v>
      </c>
      <c r="B199" s="109" t="s">
        <v>98</v>
      </c>
      <c r="C199" s="109" t="s">
        <v>4325</v>
      </c>
      <c r="D199" s="112" t="s">
        <v>16</v>
      </c>
      <c r="E199" s="109" t="s">
        <v>4326</v>
      </c>
      <c r="F199" s="111" t="s">
        <v>992</v>
      </c>
    </row>
    <row r="200" customFormat="false" ht="23.85" hidden="false" customHeight="false" outlineLevel="0" collapsed="false">
      <c r="A200" s="109" t="s">
        <v>59</v>
      </c>
      <c r="B200" s="109" t="s">
        <v>112</v>
      </c>
      <c r="C200" s="109" t="s">
        <v>4327</v>
      </c>
      <c r="D200" s="112" t="s">
        <v>16</v>
      </c>
      <c r="E200" s="109" t="s">
        <v>4328</v>
      </c>
      <c r="F200" s="111" t="s">
        <v>1138</v>
      </c>
    </row>
    <row r="201" customFormat="false" ht="23.85" hidden="false" customHeight="false" outlineLevel="0" collapsed="false">
      <c r="A201" s="109" t="s">
        <v>59</v>
      </c>
      <c r="B201" s="109" t="s">
        <v>112</v>
      </c>
      <c r="C201" s="109" t="s">
        <v>4329</v>
      </c>
      <c r="D201" s="110" t="s">
        <v>18</v>
      </c>
      <c r="E201" s="109" t="s">
        <v>4330</v>
      </c>
      <c r="F201" s="111" t="s">
        <v>1172</v>
      </c>
    </row>
    <row r="202" customFormat="false" ht="23.85" hidden="false" customHeight="false" outlineLevel="0" collapsed="false">
      <c r="A202" s="109" t="s">
        <v>59</v>
      </c>
      <c r="B202" s="109" t="s">
        <v>112</v>
      </c>
      <c r="C202" s="109" t="s">
        <v>4331</v>
      </c>
      <c r="D202" s="112" t="s">
        <v>16</v>
      </c>
      <c r="E202" s="109" t="s">
        <v>4332</v>
      </c>
      <c r="F202" s="111" t="s">
        <v>1138</v>
      </c>
    </row>
    <row r="203" customFormat="false" ht="15" hidden="false" customHeight="false" outlineLevel="0" collapsed="false">
      <c r="A203" s="109" t="s">
        <v>59</v>
      </c>
      <c r="B203" s="109" t="s">
        <v>102</v>
      </c>
      <c r="C203" s="109" t="s">
        <v>4333</v>
      </c>
      <c r="D203" s="110" t="s">
        <v>18</v>
      </c>
      <c r="E203" s="109" t="s">
        <v>4334</v>
      </c>
      <c r="F203" s="111" t="s">
        <v>1479</v>
      </c>
    </row>
    <row r="204" customFormat="false" ht="23.85" hidden="false" customHeight="false" outlineLevel="0" collapsed="false">
      <c r="A204" s="109" t="s">
        <v>59</v>
      </c>
      <c r="B204" s="109" t="s">
        <v>102</v>
      </c>
      <c r="C204" s="109" t="s">
        <v>4335</v>
      </c>
      <c r="D204" s="110" t="s">
        <v>18</v>
      </c>
      <c r="E204" s="109" t="s">
        <v>4336</v>
      </c>
      <c r="F204" s="111" t="s">
        <v>1479</v>
      </c>
    </row>
    <row r="205" customFormat="false" ht="15" hidden="false" customHeight="false" outlineLevel="0" collapsed="false">
      <c r="A205" s="109" t="s">
        <v>59</v>
      </c>
      <c r="B205" s="109" t="s">
        <v>102</v>
      </c>
      <c r="C205" s="109" t="s">
        <v>4337</v>
      </c>
      <c r="D205" s="110" t="s">
        <v>18</v>
      </c>
      <c r="E205" s="109" t="s">
        <v>4338</v>
      </c>
      <c r="F205" s="111" t="s">
        <v>1479</v>
      </c>
    </row>
    <row r="206" customFormat="false" ht="15" hidden="false" customHeight="false" outlineLevel="0" collapsed="false">
      <c r="A206" s="109" t="s">
        <v>59</v>
      </c>
      <c r="B206" s="109" t="s">
        <v>93</v>
      </c>
      <c r="C206" s="109" t="s">
        <v>4339</v>
      </c>
      <c r="D206" s="110" t="s">
        <v>18</v>
      </c>
      <c r="E206" s="109" t="s">
        <v>4340</v>
      </c>
      <c r="F206" s="111" t="s">
        <v>1739</v>
      </c>
    </row>
    <row r="207" customFormat="false" ht="23.85" hidden="false" customHeight="false" outlineLevel="0" collapsed="false">
      <c r="A207" s="109" t="s">
        <v>59</v>
      </c>
      <c r="B207" s="109" t="s">
        <v>114</v>
      </c>
      <c r="C207" s="109" t="s">
        <v>4341</v>
      </c>
      <c r="D207" s="112" t="s">
        <v>16</v>
      </c>
      <c r="E207" s="109" t="s">
        <v>4342</v>
      </c>
      <c r="F207" s="111" t="s">
        <v>1138</v>
      </c>
    </row>
    <row r="208" customFormat="false" ht="15" hidden="false" customHeight="false" outlineLevel="0" collapsed="false">
      <c r="A208" s="109" t="s">
        <v>59</v>
      </c>
      <c r="B208" s="109" t="s">
        <v>114</v>
      </c>
      <c r="C208" s="109" t="s">
        <v>4343</v>
      </c>
      <c r="D208" s="110" t="s">
        <v>18</v>
      </c>
      <c r="E208" s="109" t="s">
        <v>4344</v>
      </c>
      <c r="F208" s="111" t="s">
        <v>2734</v>
      </c>
    </row>
    <row r="209" customFormat="false" ht="23.85" hidden="false" customHeight="false" outlineLevel="0" collapsed="false">
      <c r="A209" s="109" t="s">
        <v>59</v>
      </c>
      <c r="B209" s="109" t="s">
        <v>111</v>
      </c>
      <c r="C209" s="109" t="s">
        <v>4345</v>
      </c>
      <c r="D209" s="112" t="s">
        <v>16</v>
      </c>
      <c r="E209" s="109" t="s">
        <v>4346</v>
      </c>
      <c r="F209" s="111" t="s">
        <v>1138</v>
      </c>
    </row>
    <row r="210" customFormat="false" ht="23.85" hidden="false" customHeight="false" outlineLevel="0" collapsed="false">
      <c r="A210" s="109" t="s">
        <v>59</v>
      </c>
      <c r="B210" s="109" t="s">
        <v>111</v>
      </c>
      <c r="C210" s="109" t="s">
        <v>4347</v>
      </c>
      <c r="D210" s="110" t="s">
        <v>18</v>
      </c>
      <c r="E210" s="109" t="s">
        <v>4348</v>
      </c>
      <c r="F210" s="111" t="s">
        <v>4349</v>
      </c>
    </row>
    <row r="211" customFormat="false" ht="23.85" hidden="false" customHeight="false" outlineLevel="0" collapsed="false">
      <c r="A211" s="109" t="s">
        <v>59</v>
      </c>
      <c r="B211" s="109" t="s">
        <v>110</v>
      </c>
      <c r="C211" s="109" t="s">
        <v>4350</v>
      </c>
      <c r="D211" s="112" t="s">
        <v>16</v>
      </c>
      <c r="E211" s="109" t="s">
        <v>4351</v>
      </c>
      <c r="F211" s="111" t="s">
        <v>3032</v>
      </c>
    </row>
    <row r="212" customFormat="false" ht="23.85" hidden="false" customHeight="false" outlineLevel="0" collapsed="false">
      <c r="A212" s="109" t="s">
        <v>59</v>
      </c>
      <c r="B212" s="109" t="s">
        <v>119</v>
      </c>
      <c r="C212" s="109" t="s">
        <v>4352</v>
      </c>
      <c r="D212" s="110" t="s">
        <v>18</v>
      </c>
      <c r="E212" s="109" t="s">
        <v>4353</v>
      </c>
      <c r="F212" s="111" t="s">
        <v>1155</v>
      </c>
    </row>
    <row r="213" customFormat="false" ht="15" hidden="false" customHeight="false" outlineLevel="0" collapsed="false">
      <c r="A213" s="109" t="s">
        <v>59</v>
      </c>
      <c r="B213" s="109" t="s">
        <v>119</v>
      </c>
      <c r="C213" s="109" t="s">
        <v>4354</v>
      </c>
      <c r="D213" s="110" t="s">
        <v>18</v>
      </c>
      <c r="E213" s="109" t="s">
        <v>4355</v>
      </c>
      <c r="F213" s="111" t="s">
        <v>1155</v>
      </c>
    </row>
    <row r="214" customFormat="false" ht="23.85" hidden="false" customHeight="false" outlineLevel="0" collapsed="false">
      <c r="A214" s="109" t="s">
        <v>59</v>
      </c>
      <c r="B214" s="109" t="s">
        <v>120</v>
      </c>
      <c r="C214" s="109" t="s">
        <v>4356</v>
      </c>
      <c r="D214" s="110" t="s">
        <v>18</v>
      </c>
      <c r="E214" s="109" t="s">
        <v>4357</v>
      </c>
      <c r="F214" s="111" t="s">
        <v>1856</v>
      </c>
    </row>
    <row r="215" customFormat="false" ht="15" hidden="false" customHeight="false" outlineLevel="0" collapsed="false">
      <c r="A215" s="109" t="s">
        <v>59</v>
      </c>
      <c r="B215" s="109" t="s">
        <v>100</v>
      </c>
      <c r="C215" s="109" t="s">
        <v>4358</v>
      </c>
      <c r="D215" s="110" t="s">
        <v>18</v>
      </c>
      <c r="E215" s="109" t="s">
        <v>4359</v>
      </c>
      <c r="F215" s="111" t="s">
        <v>4360</v>
      </c>
    </row>
    <row r="216" customFormat="false" ht="23.85" hidden="false" customHeight="false" outlineLevel="0" collapsed="false">
      <c r="A216" s="109" t="s">
        <v>63</v>
      </c>
      <c r="B216" s="109" t="s">
        <v>86</v>
      </c>
      <c r="C216" s="109" t="s">
        <v>4361</v>
      </c>
      <c r="D216" s="112" t="s">
        <v>16</v>
      </c>
      <c r="E216" s="109" t="s">
        <v>4362</v>
      </c>
      <c r="F216" s="111" t="s">
        <v>4363</v>
      </c>
    </row>
    <row r="217" customFormat="false" ht="23.85" hidden="false" customHeight="false" outlineLevel="0" collapsed="false">
      <c r="A217" s="109" t="s">
        <v>63</v>
      </c>
      <c r="B217" s="109" t="s">
        <v>86</v>
      </c>
      <c r="C217" s="109" t="s">
        <v>4364</v>
      </c>
      <c r="D217" s="112" t="s">
        <v>16</v>
      </c>
      <c r="E217" s="109" t="s">
        <v>4365</v>
      </c>
      <c r="F217" s="111" t="s">
        <v>4366</v>
      </c>
    </row>
    <row r="218" customFormat="false" ht="23.85" hidden="false" customHeight="false" outlineLevel="0" collapsed="false">
      <c r="A218" s="109" t="s">
        <v>63</v>
      </c>
      <c r="B218" s="109" t="s">
        <v>86</v>
      </c>
      <c r="C218" s="109" t="s">
        <v>4367</v>
      </c>
      <c r="D218" s="112" t="s">
        <v>16</v>
      </c>
      <c r="E218" s="109" t="s">
        <v>4368</v>
      </c>
      <c r="F218" s="111" t="s">
        <v>4369</v>
      </c>
    </row>
    <row r="219" customFormat="false" ht="15" hidden="false" customHeight="false" outlineLevel="0" collapsed="false">
      <c r="A219" s="109" t="s">
        <v>63</v>
      </c>
      <c r="B219" s="109" t="s">
        <v>86</v>
      </c>
      <c r="C219" s="109" t="s">
        <v>4370</v>
      </c>
      <c r="D219" s="112" t="s">
        <v>16</v>
      </c>
      <c r="E219" s="109" t="s">
        <v>4371</v>
      </c>
      <c r="F219" s="111" t="s">
        <v>4372</v>
      </c>
    </row>
    <row r="220" customFormat="false" ht="23.85" hidden="false" customHeight="false" outlineLevel="0" collapsed="false">
      <c r="A220" s="109" t="s">
        <v>63</v>
      </c>
      <c r="B220" s="109" t="s">
        <v>86</v>
      </c>
      <c r="C220" s="109" t="s">
        <v>4373</v>
      </c>
      <c r="D220" s="112" t="s">
        <v>16</v>
      </c>
      <c r="E220" s="109" t="s">
        <v>4374</v>
      </c>
      <c r="F220" s="111" t="s">
        <v>1741</v>
      </c>
    </row>
    <row r="221" customFormat="false" ht="23.85" hidden="false" customHeight="false" outlineLevel="0" collapsed="false">
      <c r="A221" s="109" t="s">
        <v>63</v>
      </c>
      <c r="B221" s="109" t="s">
        <v>87</v>
      </c>
      <c r="C221" s="109" t="s">
        <v>4375</v>
      </c>
      <c r="D221" s="112" t="s">
        <v>16</v>
      </c>
      <c r="E221" s="109" t="s">
        <v>4376</v>
      </c>
      <c r="F221" s="111" t="s">
        <v>4377</v>
      </c>
    </row>
    <row r="222" customFormat="false" ht="15" hidden="false" customHeight="false" outlineLevel="0" collapsed="false">
      <c r="A222" s="109" t="s">
        <v>63</v>
      </c>
      <c r="B222" s="109" t="s">
        <v>87</v>
      </c>
      <c r="C222" s="109" t="s">
        <v>4378</v>
      </c>
      <c r="D222" s="112" t="s">
        <v>16</v>
      </c>
      <c r="E222" s="109" t="s">
        <v>4379</v>
      </c>
      <c r="F222" s="111" t="s">
        <v>844</v>
      </c>
    </row>
    <row r="223" customFormat="false" ht="15" hidden="false" customHeight="false" outlineLevel="0" collapsed="false">
      <c r="A223" s="109" t="s">
        <v>63</v>
      </c>
      <c r="B223" s="109" t="s">
        <v>87</v>
      </c>
      <c r="C223" s="109" t="s">
        <v>4380</v>
      </c>
      <c r="D223" s="110" t="s">
        <v>18</v>
      </c>
      <c r="E223" s="109" t="s">
        <v>4381</v>
      </c>
      <c r="F223" s="111" t="s">
        <v>4382</v>
      </c>
    </row>
    <row r="224" customFormat="false" ht="23.85" hidden="false" customHeight="false" outlineLevel="0" collapsed="false">
      <c r="A224" s="109" t="s">
        <v>63</v>
      </c>
      <c r="B224" s="109" t="s">
        <v>87</v>
      </c>
      <c r="C224" s="109" t="s">
        <v>4383</v>
      </c>
      <c r="D224" s="110" t="s">
        <v>18</v>
      </c>
      <c r="E224" s="109" t="s">
        <v>4384</v>
      </c>
      <c r="F224" s="111" t="s">
        <v>4385</v>
      </c>
    </row>
    <row r="225" customFormat="false" ht="15" hidden="false" customHeight="false" outlineLevel="0" collapsed="false">
      <c r="A225" s="109" t="s">
        <v>63</v>
      </c>
      <c r="B225" s="109" t="s">
        <v>96</v>
      </c>
      <c r="C225" s="109" t="s">
        <v>4386</v>
      </c>
      <c r="D225" s="110" t="s">
        <v>18</v>
      </c>
      <c r="E225" s="109" t="s">
        <v>4387</v>
      </c>
      <c r="F225" s="111" t="s">
        <v>1157</v>
      </c>
    </row>
    <row r="226" customFormat="false" ht="15" hidden="false" customHeight="false" outlineLevel="0" collapsed="false">
      <c r="A226" s="109" t="s">
        <v>63</v>
      </c>
      <c r="B226" s="109" t="s">
        <v>102</v>
      </c>
      <c r="C226" s="109" t="s">
        <v>4388</v>
      </c>
      <c r="D226" s="112" t="s">
        <v>16</v>
      </c>
      <c r="E226" s="109" t="s">
        <v>4389</v>
      </c>
      <c r="F226" s="111" t="s">
        <v>2282</v>
      </c>
    </row>
    <row r="227" customFormat="false" ht="23.85" hidden="false" customHeight="false" outlineLevel="0" collapsed="false">
      <c r="A227" s="109" t="s">
        <v>63</v>
      </c>
      <c r="B227" s="109" t="s">
        <v>102</v>
      </c>
      <c r="C227" s="109" t="s">
        <v>4390</v>
      </c>
      <c r="D227" s="112" t="s">
        <v>16</v>
      </c>
      <c r="E227" s="109" t="s">
        <v>4391</v>
      </c>
      <c r="F227" s="111" t="s">
        <v>2121</v>
      </c>
    </row>
    <row r="228" customFormat="false" ht="15" hidden="false" customHeight="false" outlineLevel="0" collapsed="false">
      <c r="A228" s="109" t="s">
        <v>63</v>
      </c>
      <c r="B228" s="109" t="s">
        <v>102</v>
      </c>
      <c r="C228" s="109" t="s">
        <v>4392</v>
      </c>
      <c r="D228" s="112" t="s">
        <v>16</v>
      </c>
      <c r="E228" s="109" t="s">
        <v>4393</v>
      </c>
      <c r="F228" s="111" t="s">
        <v>3094</v>
      </c>
    </row>
    <row r="229" customFormat="false" ht="15" hidden="false" customHeight="false" outlineLevel="0" collapsed="false">
      <c r="A229" s="109" t="s">
        <v>63</v>
      </c>
      <c r="B229" s="109" t="s">
        <v>102</v>
      </c>
      <c r="C229" s="109" t="s">
        <v>4394</v>
      </c>
      <c r="D229" s="112" t="s">
        <v>16</v>
      </c>
      <c r="E229" s="109" t="s">
        <v>4395</v>
      </c>
      <c r="F229" s="111" t="s">
        <v>3173</v>
      </c>
    </row>
    <row r="230" customFormat="false" ht="15" hidden="false" customHeight="false" outlineLevel="0" collapsed="false">
      <c r="A230" s="109" t="s">
        <v>63</v>
      </c>
      <c r="B230" s="109" t="s">
        <v>106</v>
      </c>
      <c r="C230" s="109" t="s">
        <v>4396</v>
      </c>
      <c r="D230" s="112" t="s">
        <v>16</v>
      </c>
      <c r="E230" s="109" t="s">
        <v>4397</v>
      </c>
      <c r="F230" s="111" t="s">
        <v>4398</v>
      </c>
    </row>
    <row r="231" customFormat="false" ht="15" hidden="false" customHeight="false" outlineLevel="0" collapsed="false">
      <c r="A231" s="109" t="s">
        <v>63</v>
      </c>
      <c r="B231" s="109" t="s">
        <v>106</v>
      </c>
      <c r="C231" s="109" t="s">
        <v>4399</v>
      </c>
      <c r="D231" s="112" t="s">
        <v>16</v>
      </c>
      <c r="E231" s="109" t="s">
        <v>4400</v>
      </c>
      <c r="F231" s="111" t="s">
        <v>4401</v>
      </c>
    </row>
    <row r="232" customFormat="false" ht="15" hidden="false" customHeight="false" outlineLevel="0" collapsed="false">
      <c r="A232" s="109" t="s">
        <v>63</v>
      </c>
      <c r="B232" s="109" t="s">
        <v>106</v>
      </c>
      <c r="C232" s="109" t="s">
        <v>4402</v>
      </c>
      <c r="D232" s="110" t="s">
        <v>18</v>
      </c>
      <c r="E232" s="109" t="s">
        <v>4403</v>
      </c>
      <c r="F232" s="111" t="s">
        <v>4404</v>
      </c>
    </row>
    <row r="233" customFormat="false" ht="23.85" hidden="false" customHeight="false" outlineLevel="0" collapsed="false">
      <c r="A233" s="109" t="s">
        <v>63</v>
      </c>
      <c r="B233" s="109" t="s">
        <v>106</v>
      </c>
      <c r="C233" s="109" t="s">
        <v>4405</v>
      </c>
      <c r="D233" s="110" t="s">
        <v>18</v>
      </c>
      <c r="E233" s="109" t="s">
        <v>4406</v>
      </c>
      <c r="F233" s="111" t="s">
        <v>4407</v>
      </c>
    </row>
    <row r="234" customFormat="false" ht="23.85" hidden="false" customHeight="false" outlineLevel="0" collapsed="false">
      <c r="A234" s="109" t="s">
        <v>63</v>
      </c>
      <c r="B234" s="109" t="s">
        <v>88</v>
      </c>
      <c r="C234" s="109" t="s">
        <v>4408</v>
      </c>
      <c r="D234" s="110" t="s">
        <v>18</v>
      </c>
      <c r="E234" s="109" t="s">
        <v>4409</v>
      </c>
      <c r="F234" s="111" t="s">
        <v>1330</v>
      </c>
    </row>
    <row r="235" customFormat="false" ht="15" hidden="false" customHeight="false" outlineLevel="0" collapsed="false">
      <c r="A235" s="109" t="s">
        <v>63</v>
      </c>
      <c r="B235" s="109" t="s">
        <v>88</v>
      </c>
      <c r="C235" s="109" t="s">
        <v>4410</v>
      </c>
      <c r="D235" s="112" t="s">
        <v>16</v>
      </c>
      <c r="E235" s="109" t="s">
        <v>4411</v>
      </c>
      <c r="F235" s="111" t="s">
        <v>4412</v>
      </c>
    </row>
    <row r="236" customFormat="false" ht="23.85" hidden="false" customHeight="false" outlineLevel="0" collapsed="false">
      <c r="A236" s="109" t="s">
        <v>63</v>
      </c>
      <c r="B236" s="109" t="s">
        <v>119</v>
      </c>
      <c r="C236" s="109" t="s">
        <v>4413</v>
      </c>
      <c r="D236" s="112" t="s">
        <v>16</v>
      </c>
      <c r="E236" s="109" t="s">
        <v>4414</v>
      </c>
      <c r="F236" s="111" t="s">
        <v>4415</v>
      </c>
    </row>
    <row r="237" customFormat="false" ht="23.85" hidden="false" customHeight="false" outlineLevel="0" collapsed="false">
      <c r="A237" s="109" t="s">
        <v>63</v>
      </c>
      <c r="B237" s="109" t="s">
        <v>119</v>
      </c>
      <c r="C237" s="109" t="s">
        <v>4416</v>
      </c>
      <c r="D237" s="112" t="s">
        <v>16</v>
      </c>
      <c r="E237" s="109" t="s">
        <v>4417</v>
      </c>
      <c r="F237" s="111" t="s">
        <v>844</v>
      </c>
    </row>
    <row r="238" customFormat="false" ht="15" hidden="false" customHeight="false" outlineLevel="0" collapsed="false">
      <c r="A238" s="109" t="s">
        <v>63</v>
      </c>
      <c r="B238" s="109" t="s">
        <v>119</v>
      </c>
      <c r="C238" s="109" t="s">
        <v>4418</v>
      </c>
      <c r="D238" s="112" t="s">
        <v>16</v>
      </c>
      <c r="E238" s="109" t="s">
        <v>4419</v>
      </c>
      <c r="F238" s="111" t="s">
        <v>4420</v>
      </c>
    </row>
    <row r="239" customFormat="false" ht="15" hidden="false" customHeight="false" outlineLevel="0" collapsed="false">
      <c r="A239" s="109" t="s">
        <v>63</v>
      </c>
      <c r="B239" s="109" t="s">
        <v>93</v>
      </c>
      <c r="C239" s="109" t="s">
        <v>393</v>
      </c>
      <c r="D239" s="112" t="s">
        <v>16</v>
      </c>
      <c r="E239" s="109" t="s">
        <v>4421</v>
      </c>
      <c r="F239" s="111" t="s">
        <v>4422</v>
      </c>
    </row>
    <row r="240" customFormat="false" ht="15" hidden="false" customHeight="false" outlineLevel="0" collapsed="false">
      <c r="A240" s="109" t="s">
        <v>63</v>
      </c>
      <c r="B240" s="109" t="s">
        <v>93</v>
      </c>
      <c r="C240" s="109" t="s">
        <v>4423</v>
      </c>
      <c r="D240" s="112" t="s">
        <v>16</v>
      </c>
      <c r="E240" s="109" t="s">
        <v>4424</v>
      </c>
      <c r="F240" s="111" t="s">
        <v>4425</v>
      </c>
    </row>
    <row r="241" customFormat="false" ht="15" hidden="false" customHeight="false" outlineLevel="0" collapsed="false">
      <c r="A241" s="109" t="s">
        <v>63</v>
      </c>
      <c r="B241" s="109" t="s">
        <v>93</v>
      </c>
      <c r="C241" s="109" t="s">
        <v>4426</v>
      </c>
      <c r="D241" s="112" t="s">
        <v>16</v>
      </c>
      <c r="E241" s="109" t="s">
        <v>4427</v>
      </c>
      <c r="F241" s="111" t="s">
        <v>1741</v>
      </c>
    </row>
    <row r="242" customFormat="false" ht="23.85" hidden="false" customHeight="false" outlineLevel="0" collapsed="false">
      <c r="A242" s="109" t="s">
        <v>63</v>
      </c>
      <c r="B242" s="109" t="s">
        <v>111</v>
      </c>
      <c r="C242" s="109" t="s">
        <v>4428</v>
      </c>
      <c r="D242" s="112" t="s">
        <v>16</v>
      </c>
      <c r="E242" s="109" t="s">
        <v>4429</v>
      </c>
      <c r="F242" s="111" t="s">
        <v>4430</v>
      </c>
    </row>
    <row r="243" customFormat="false" ht="15" hidden="false" customHeight="false" outlineLevel="0" collapsed="false">
      <c r="A243" s="109" t="s">
        <v>63</v>
      </c>
      <c r="B243" s="109" t="s">
        <v>113</v>
      </c>
      <c r="C243" s="109" t="s">
        <v>4431</v>
      </c>
      <c r="D243" s="110" t="s">
        <v>18</v>
      </c>
      <c r="E243" s="109" t="s">
        <v>4432</v>
      </c>
      <c r="F243" s="111" t="s">
        <v>4433</v>
      </c>
    </row>
    <row r="244" customFormat="false" ht="15" hidden="false" customHeight="false" outlineLevel="0" collapsed="false">
      <c r="A244" s="109" t="s">
        <v>63</v>
      </c>
      <c r="B244" s="109" t="s">
        <v>113</v>
      </c>
      <c r="C244" s="109" t="s">
        <v>4434</v>
      </c>
      <c r="D244" s="110" t="s">
        <v>18</v>
      </c>
      <c r="E244" s="109" t="s">
        <v>4435</v>
      </c>
      <c r="F244" s="111" t="s">
        <v>3338</v>
      </c>
    </row>
    <row r="245" customFormat="false" ht="15" hidden="false" customHeight="false" outlineLevel="0" collapsed="false">
      <c r="A245" s="109" t="s">
        <v>63</v>
      </c>
      <c r="B245" s="109" t="s">
        <v>107</v>
      </c>
      <c r="C245" s="109" t="s">
        <v>4436</v>
      </c>
      <c r="D245" s="112" t="s">
        <v>16</v>
      </c>
      <c r="E245" s="109" t="s">
        <v>4437</v>
      </c>
      <c r="F245" s="111" t="s">
        <v>3644</v>
      </c>
    </row>
    <row r="246" customFormat="false" ht="23.85" hidden="false" customHeight="false" outlineLevel="0" collapsed="false">
      <c r="A246" s="109" t="s">
        <v>67</v>
      </c>
      <c r="B246" s="109" t="s">
        <v>86</v>
      </c>
      <c r="C246" s="109" t="s">
        <v>4438</v>
      </c>
      <c r="D246" s="112" t="s">
        <v>16</v>
      </c>
      <c r="E246" s="109" t="s">
        <v>4439</v>
      </c>
      <c r="F246" s="111" t="s">
        <v>864</v>
      </c>
    </row>
    <row r="247" customFormat="false" ht="23.85" hidden="false" customHeight="false" outlineLevel="0" collapsed="false">
      <c r="A247" s="109" t="s">
        <v>67</v>
      </c>
      <c r="B247" s="109" t="s">
        <v>87</v>
      </c>
      <c r="C247" s="109" t="s">
        <v>4440</v>
      </c>
      <c r="D247" s="112" t="s">
        <v>16</v>
      </c>
      <c r="E247" s="109" t="s">
        <v>4441</v>
      </c>
      <c r="F247" s="111" t="s">
        <v>1064</v>
      </c>
    </row>
    <row r="248" customFormat="false" ht="23.85" hidden="false" customHeight="false" outlineLevel="0" collapsed="false">
      <c r="A248" s="109" t="s">
        <v>67</v>
      </c>
      <c r="B248" s="109" t="s">
        <v>87</v>
      </c>
      <c r="C248" s="109" t="s">
        <v>4442</v>
      </c>
      <c r="D248" s="112" t="s">
        <v>16</v>
      </c>
      <c r="E248" s="109" t="s">
        <v>4443</v>
      </c>
      <c r="F248" s="111" t="s">
        <v>1064</v>
      </c>
    </row>
    <row r="249" customFormat="false" ht="15" hidden="false" customHeight="false" outlineLevel="0" collapsed="false">
      <c r="A249" s="109" t="s">
        <v>67</v>
      </c>
      <c r="B249" s="109" t="s">
        <v>87</v>
      </c>
      <c r="C249" s="109" t="s">
        <v>4444</v>
      </c>
      <c r="D249" s="112" t="s">
        <v>16</v>
      </c>
      <c r="E249" s="109" t="s">
        <v>4445</v>
      </c>
      <c r="F249" s="111" t="s">
        <v>1064</v>
      </c>
    </row>
    <row r="250" customFormat="false" ht="15" hidden="false" customHeight="false" outlineLevel="0" collapsed="false">
      <c r="A250" s="109" t="s">
        <v>67</v>
      </c>
      <c r="B250" s="109" t="s">
        <v>87</v>
      </c>
      <c r="C250" s="109" t="s">
        <v>4446</v>
      </c>
      <c r="D250" s="112" t="s">
        <v>16</v>
      </c>
      <c r="E250" s="109" t="s">
        <v>4447</v>
      </c>
      <c r="F250" s="111" t="s">
        <v>4448</v>
      </c>
    </row>
    <row r="251" customFormat="false" ht="35.05" hidden="false" customHeight="false" outlineLevel="0" collapsed="false">
      <c r="A251" s="109" t="s">
        <v>67</v>
      </c>
      <c r="B251" s="109" t="s">
        <v>87</v>
      </c>
      <c r="C251" s="109" t="s">
        <v>4449</v>
      </c>
      <c r="D251" s="110" t="s">
        <v>18</v>
      </c>
      <c r="E251" s="109" t="s">
        <v>4450</v>
      </c>
      <c r="F251" s="111" t="s">
        <v>3607</v>
      </c>
    </row>
    <row r="252" customFormat="false" ht="15" hidden="false" customHeight="false" outlineLevel="0" collapsed="false">
      <c r="A252" s="109" t="s">
        <v>67</v>
      </c>
      <c r="B252" s="109" t="s">
        <v>87</v>
      </c>
      <c r="C252" s="109" t="s">
        <v>4451</v>
      </c>
      <c r="D252" s="112" t="s">
        <v>16</v>
      </c>
      <c r="E252" s="109" t="s">
        <v>4452</v>
      </c>
      <c r="F252" s="111" t="s">
        <v>1079</v>
      </c>
    </row>
    <row r="253" customFormat="false" ht="23.85" hidden="false" customHeight="false" outlineLevel="0" collapsed="false">
      <c r="A253" s="109" t="s">
        <v>67</v>
      </c>
      <c r="B253" s="109" t="s">
        <v>87</v>
      </c>
      <c r="C253" s="109" t="s">
        <v>4453</v>
      </c>
      <c r="D253" s="112" t="s">
        <v>16</v>
      </c>
      <c r="E253" s="109" t="s">
        <v>4454</v>
      </c>
      <c r="F253" s="111" t="s">
        <v>996</v>
      </c>
    </row>
    <row r="254" customFormat="false" ht="15" hidden="false" customHeight="false" outlineLevel="0" collapsed="false">
      <c r="A254" s="109" t="s">
        <v>67</v>
      </c>
      <c r="B254" s="109" t="s">
        <v>89</v>
      </c>
      <c r="C254" s="109" t="s">
        <v>4455</v>
      </c>
      <c r="D254" s="112" t="s">
        <v>16</v>
      </c>
      <c r="E254" s="109" t="s">
        <v>4456</v>
      </c>
      <c r="F254" s="111" t="s">
        <v>1176</v>
      </c>
    </row>
    <row r="255" customFormat="false" ht="15" hidden="false" customHeight="false" outlineLevel="0" collapsed="false">
      <c r="A255" s="109" t="s">
        <v>67</v>
      </c>
      <c r="B255" s="109" t="s">
        <v>89</v>
      </c>
      <c r="C255" s="109" t="s">
        <v>4457</v>
      </c>
      <c r="D255" s="112" t="s">
        <v>16</v>
      </c>
      <c r="E255" s="109" t="s">
        <v>4458</v>
      </c>
      <c r="F255" s="111" t="s">
        <v>1176</v>
      </c>
    </row>
    <row r="256" customFormat="false" ht="23.85" hidden="false" customHeight="false" outlineLevel="0" collapsed="false">
      <c r="A256" s="109" t="s">
        <v>67</v>
      </c>
      <c r="B256" s="109" t="s">
        <v>89</v>
      </c>
      <c r="C256" s="109" t="s">
        <v>4459</v>
      </c>
      <c r="D256" s="112" t="s">
        <v>16</v>
      </c>
      <c r="E256" s="109" t="s">
        <v>4460</v>
      </c>
      <c r="F256" s="111" t="s">
        <v>1045</v>
      </c>
    </row>
    <row r="257" customFormat="false" ht="15" hidden="false" customHeight="false" outlineLevel="0" collapsed="false">
      <c r="A257" s="109" t="s">
        <v>67</v>
      </c>
      <c r="B257" s="109" t="s">
        <v>4461</v>
      </c>
      <c r="C257" s="109" t="s">
        <v>4462</v>
      </c>
      <c r="D257" s="112" t="s">
        <v>16</v>
      </c>
      <c r="E257" s="109" t="s">
        <v>4463</v>
      </c>
      <c r="F257" s="111" t="s">
        <v>4464</v>
      </c>
    </row>
    <row r="258" customFormat="false" ht="23.85" hidden="false" customHeight="false" outlineLevel="0" collapsed="false">
      <c r="A258" s="109" t="s">
        <v>67</v>
      </c>
      <c r="B258" s="109" t="s">
        <v>4461</v>
      </c>
      <c r="C258" s="109" t="s">
        <v>4465</v>
      </c>
      <c r="D258" s="110" t="s">
        <v>18</v>
      </c>
      <c r="E258" s="109" t="s">
        <v>4466</v>
      </c>
      <c r="F258" s="111" t="s">
        <v>4467</v>
      </c>
    </row>
    <row r="259" customFormat="false" ht="23.85" hidden="false" customHeight="false" outlineLevel="0" collapsed="false">
      <c r="A259" s="109" t="s">
        <v>67</v>
      </c>
      <c r="B259" s="109" t="s">
        <v>99</v>
      </c>
      <c r="C259" s="109" t="s">
        <v>4468</v>
      </c>
      <c r="D259" s="112" t="s">
        <v>16</v>
      </c>
      <c r="E259" s="109" t="s">
        <v>4469</v>
      </c>
      <c r="F259" s="111" t="s">
        <v>2266</v>
      </c>
    </row>
    <row r="260" customFormat="false" ht="23.85" hidden="false" customHeight="false" outlineLevel="0" collapsed="false">
      <c r="A260" s="109" t="s">
        <v>67</v>
      </c>
      <c r="B260" s="109" t="s">
        <v>99</v>
      </c>
      <c r="C260" s="109" t="s">
        <v>4470</v>
      </c>
      <c r="D260" s="112" t="s">
        <v>16</v>
      </c>
      <c r="E260" s="109" t="s">
        <v>4471</v>
      </c>
      <c r="F260" s="111" t="s">
        <v>996</v>
      </c>
    </row>
    <row r="261" customFormat="false" ht="15" hidden="false" customHeight="false" outlineLevel="0" collapsed="false">
      <c r="A261" s="109" t="s">
        <v>67</v>
      </c>
      <c r="B261" s="109" t="s">
        <v>100</v>
      </c>
      <c r="C261" s="109" t="s">
        <v>4472</v>
      </c>
      <c r="D261" s="112" t="s">
        <v>16</v>
      </c>
      <c r="E261" s="109" t="s">
        <v>4473</v>
      </c>
      <c r="F261" s="111" t="s">
        <v>4474</v>
      </c>
    </row>
    <row r="262" customFormat="false" ht="23.85" hidden="false" customHeight="false" outlineLevel="0" collapsed="false">
      <c r="A262" s="109" t="s">
        <v>67</v>
      </c>
      <c r="B262" s="109" t="s">
        <v>4475</v>
      </c>
      <c r="C262" s="109" t="s">
        <v>4476</v>
      </c>
      <c r="D262" s="112" t="s">
        <v>16</v>
      </c>
      <c r="E262" s="109" t="s">
        <v>4477</v>
      </c>
      <c r="F262" s="111" t="s">
        <v>4478</v>
      </c>
    </row>
    <row r="263" customFormat="false" ht="15" hidden="false" customHeight="false" outlineLevel="0" collapsed="false">
      <c r="A263" s="109" t="s">
        <v>67</v>
      </c>
      <c r="B263" s="109" t="s">
        <v>4475</v>
      </c>
      <c r="C263" s="109" t="s">
        <v>4479</v>
      </c>
      <c r="D263" s="112" t="s">
        <v>16</v>
      </c>
      <c r="E263" s="109" t="s">
        <v>4480</v>
      </c>
      <c r="F263" s="111" t="s">
        <v>2082</v>
      </c>
    </row>
    <row r="264" customFormat="false" ht="15" hidden="false" customHeight="false" outlineLevel="0" collapsed="false">
      <c r="A264" s="109" t="s">
        <v>67</v>
      </c>
      <c r="B264" s="109" t="s">
        <v>4475</v>
      </c>
      <c r="C264" s="109" t="s">
        <v>4481</v>
      </c>
      <c r="D264" s="112" t="s">
        <v>16</v>
      </c>
      <c r="E264" s="109" t="s">
        <v>4482</v>
      </c>
      <c r="F264" s="111" t="s">
        <v>2082</v>
      </c>
    </row>
    <row r="265" customFormat="false" ht="15" hidden="false" customHeight="false" outlineLevel="0" collapsed="false">
      <c r="A265" s="109" t="s">
        <v>67</v>
      </c>
      <c r="B265" s="109" t="s">
        <v>4475</v>
      </c>
      <c r="C265" s="109" t="s">
        <v>4483</v>
      </c>
      <c r="D265" s="112" t="s">
        <v>16</v>
      </c>
      <c r="E265" s="109" t="s">
        <v>4484</v>
      </c>
      <c r="F265" s="111" t="s">
        <v>846</v>
      </c>
    </row>
    <row r="266" customFormat="false" ht="15" hidden="false" customHeight="false" outlineLevel="0" collapsed="false">
      <c r="A266" s="109" t="s">
        <v>67</v>
      </c>
      <c r="B266" s="109" t="s">
        <v>101</v>
      </c>
      <c r="C266" s="109" t="s">
        <v>4485</v>
      </c>
      <c r="D266" s="112" t="s">
        <v>16</v>
      </c>
      <c r="E266" s="109" t="s">
        <v>4486</v>
      </c>
      <c r="F266" s="111" t="s">
        <v>3519</v>
      </c>
    </row>
    <row r="267" customFormat="false" ht="23.85" hidden="false" customHeight="false" outlineLevel="0" collapsed="false">
      <c r="A267" s="109" t="s">
        <v>67</v>
      </c>
      <c r="B267" s="109" t="s">
        <v>101</v>
      </c>
      <c r="C267" s="109" t="s">
        <v>4487</v>
      </c>
      <c r="D267" s="112" t="s">
        <v>16</v>
      </c>
      <c r="E267" s="109" t="s">
        <v>4488</v>
      </c>
      <c r="F267" s="111" t="s">
        <v>3549</v>
      </c>
    </row>
    <row r="268" customFormat="false" ht="15" hidden="false" customHeight="false" outlineLevel="0" collapsed="false">
      <c r="A268" s="109" t="s">
        <v>67</v>
      </c>
      <c r="B268" s="109" t="s">
        <v>97</v>
      </c>
      <c r="C268" s="109" t="s">
        <v>4489</v>
      </c>
      <c r="D268" s="112" t="s">
        <v>16</v>
      </c>
      <c r="E268" s="109" t="s">
        <v>4490</v>
      </c>
      <c r="F268" s="111" t="s">
        <v>996</v>
      </c>
    </row>
    <row r="269" customFormat="false" ht="23.85" hidden="false" customHeight="false" outlineLevel="0" collapsed="false">
      <c r="A269" s="109" t="s">
        <v>67</v>
      </c>
      <c r="B269" s="109" t="s">
        <v>97</v>
      </c>
      <c r="C269" s="109" t="s">
        <v>4491</v>
      </c>
      <c r="D269" s="110" t="s">
        <v>18</v>
      </c>
      <c r="E269" s="109" t="s">
        <v>4492</v>
      </c>
      <c r="F269" s="111" t="s">
        <v>1743</v>
      </c>
    </row>
    <row r="270" customFormat="false" ht="23.85" hidden="false" customHeight="false" outlineLevel="0" collapsed="false">
      <c r="A270" s="109" t="s">
        <v>67</v>
      </c>
      <c r="B270" s="109" t="s">
        <v>97</v>
      </c>
      <c r="C270" s="109" t="s">
        <v>4493</v>
      </c>
      <c r="D270" s="110" t="s">
        <v>18</v>
      </c>
      <c r="E270" s="109" t="s">
        <v>4494</v>
      </c>
      <c r="F270" s="111" t="s">
        <v>1743</v>
      </c>
    </row>
    <row r="271" customFormat="false" ht="23.85" hidden="false" customHeight="false" outlineLevel="0" collapsed="false">
      <c r="A271" s="109" t="s">
        <v>67</v>
      </c>
      <c r="B271" s="109" t="s">
        <v>114</v>
      </c>
      <c r="C271" s="109" t="s">
        <v>4495</v>
      </c>
      <c r="D271" s="112" t="s">
        <v>16</v>
      </c>
      <c r="E271" s="109" t="s">
        <v>4496</v>
      </c>
      <c r="F271" s="111" t="s">
        <v>2888</v>
      </c>
    </row>
    <row r="272" customFormat="false" ht="23.85" hidden="false" customHeight="false" outlineLevel="0" collapsed="false">
      <c r="A272" s="109" t="s">
        <v>67</v>
      </c>
      <c r="B272" s="109" t="s">
        <v>109</v>
      </c>
      <c r="C272" s="109" t="s">
        <v>4497</v>
      </c>
      <c r="D272" s="112" t="s">
        <v>16</v>
      </c>
      <c r="E272" s="109" t="s">
        <v>4498</v>
      </c>
      <c r="F272" s="111" t="s">
        <v>2123</v>
      </c>
    </row>
    <row r="273" customFormat="false" ht="15" hidden="false" customHeight="false" outlineLevel="0" collapsed="false">
      <c r="A273" s="109" t="s">
        <v>67</v>
      </c>
      <c r="B273" s="109" t="s">
        <v>109</v>
      </c>
      <c r="C273" s="109" t="s">
        <v>4499</v>
      </c>
      <c r="D273" s="112" t="s">
        <v>16</v>
      </c>
      <c r="E273" s="109" t="s">
        <v>4500</v>
      </c>
      <c r="F273" s="111" t="s">
        <v>2339</v>
      </c>
    </row>
    <row r="274" customFormat="false" ht="15" hidden="false" customHeight="false" outlineLevel="0" collapsed="false">
      <c r="A274" s="109" t="s">
        <v>67</v>
      </c>
      <c r="B274" s="109" t="s">
        <v>113</v>
      </c>
      <c r="C274" s="109" t="s">
        <v>4501</v>
      </c>
      <c r="D274" s="112" t="s">
        <v>16</v>
      </c>
      <c r="E274" s="109" t="s">
        <v>4502</v>
      </c>
      <c r="F274" s="111" t="s">
        <v>1988</v>
      </c>
    </row>
    <row r="275" customFormat="false" ht="15" hidden="false" customHeight="false" outlineLevel="0" collapsed="false">
      <c r="A275" s="109" t="s">
        <v>67</v>
      </c>
      <c r="B275" s="109" t="s">
        <v>102</v>
      </c>
      <c r="C275" s="109" t="s">
        <v>4503</v>
      </c>
      <c r="D275" s="112" t="s">
        <v>16</v>
      </c>
      <c r="E275" s="109" t="s">
        <v>4504</v>
      </c>
      <c r="F275" s="111" t="s">
        <v>930</v>
      </c>
    </row>
    <row r="276" customFormat="false" ht="23.85" hidden="false" customHeight="false" outlineLevel="0" collapsed="false">
      <c r="A276" s="109" t="s">
        <v>67</v>
      </c>
      <c r="B276" s="109" t="s">
        <v>91</v>
      </c>
      <c r="C276" s="109" t="s">
        <v>4505</v>
      </c>
      <c r="D276" s="110" t="s">
        <v>18</v>
      </c>
      <c r="E276" s="109" t="s">
        <v>4506</v>
      </c>
      <c r="F276" s="111" t="s">
        <v>1954</v>
      </c>
    </row>
    <row r="277" customFormat="false" ht="15" hidden="false" customHeight="false" outlineLevel="0" collapsed="false">
      <c r="A277" s="109" t="s">
        <v>71</v>
      </c>
      <c r="B277" s="109" t="s">
        <v>85</v>
      </c>
      <c r="C277" s="109" t="s">
        <v>4507</v>
      </c>
      <c r="D277" s="112" t="s">
        <v>16</v>
      </c>
      <c r="E277" s="109" t="s">
        <v>4508</v>
      </c>
      <c r="F277" s="111" t="s">
        <v>1441</v>
      </c>
    </row>
    <row r="278" customFormat="false" ht="15" hidden="false" customHeight="false" outlineLevel="0" collapsed="false">
      <c r="A278" s="109" t="s">
        <v>71</v>
      </c>
      <c r="B278" s="109" t="s">
        <v>85</v>
      </c>
      <c r="C278" s="109" t="s">
        <v>4509</v>
      </c>
      <c r="D278" s="112" t="s">
        <v>16</v>
      </c>
      <c r="E278" s="109" t="s">
        <v>4510</v>
      </c>
      <c r="F278" s="111" t="s">
        <v>1727</v>
      </c>
    </row>
    <row r="279" customFormat="false" ht="15" hidden="false" customHeight="false" outlineLevel="0" collapsed="false">
      <c r="A279" s="109" t="s">
        <v>71</v>
      </c>
      <c r="B279" s="109" t="s">
        <v>85</v>
      </c>
      <c r="C279" s="109" t="s">
        <v>4511</v>
      </c>
      <c r="D279" s="112" t="s">
        <v>16</v>
      </c>
      <c r="E279" s="109" t="s">
        <v>4512</v>
      </c>
      <c r="F279" s="111" t="s">
        <v>1727</v>
      </c>
    </row>
    <row r="280" customFormat="false" ht="15" hidden="false" customHeight="false" outlineLevel="0" collapsed="false">
      <c r="A280" s="109" t="s">
        <v>71</v>
      </c>
      <c r="B280" s="109" t="s">
        <v>85</v>
      </c>
      <c r="C280" s="109" t="s">
        <v>4513</v>
      </c>
      <c r="D280" s="112" t="s">
        <v>16</v>
      </c>
      <c r="E280" s="109" t="s">
        <v>4514</v>
      </c>
      <c r="F280" s="111" t="s">
        <v>1344</v>
      </c>
    </row>
    <row r="281" customFormat="false" ht="23.85" hidden="false" customHeight="false" outlineLevel="0" collapsed="false">
      <c r="A281" s="109" t="s">
        <v>71</v>
      </c>
      <c r="B281" s="109" t="s">
        <v>85</v>
      </c>
      <c r="C281" s="109" t="s">
        <v>4515</v>
      </c>
      <c r="D281" s="112" t="s">
        <v>16</v>
      </c>
      <c r="E281" s="109" t="s">
        <v>4516</v>
      </c>
      <c r="F281" s="111" t="s">
        <v>1344</v>
      </c>
    </row>
    <row r="282" customFormat="false" ht="15" hidden="false" customHeight="false" outlineLevel="0" collapsed="false">
      <c r="A282" s="109" t="s">
        <v>71</v>
      </c>
      <c r="B282" s="109" t="s">
        <v>85</v>
      </c>
      <c r="C282" s="109" t="s">
        <v>4517</v>
      </c>
      <c r="D282" s="112" t="s">
        <v>16</v>
      </c>
      <c r="E282" s="109" t="s">
        <v>4518</v>
      </c>
      <c r="F282" s="111" t="s">
        <v>884</v>
      </c>
    </row>
    <row r="283" customFormat="false" ht="23.85" hidden="false" customHeight="false" outlineLevel="0" collapsed="false">
      <c r="A283" s="109" t="s">
        <v>71</v>
      </c>
      <c r="B283" s="109" t="s">
        <v>4461</v>
      </c>
      <c r="C283" s="109" t="s">
        <v>4519</v>
      </c>
      <c r="D283" s="112" t="s">
        <v>16</v>
      </c>
      <c r="E283" s="109" t="s">
        <v>4520</v>
      </c>
      <c r="F283" s="111" t="s">
        <v>2226</v>
      </c>
    </row>
    <row r="284" customFormat="false" ht="15" hidden="false" customHeight="false" outlineLevel="0" collapsed="false">
      <c r="A284" s="109" t="s">
        <v>71</v>
      </c>
      <c r="B284" s="109" t="s">
        <v>4461</v>
      </c>
      <c r="C284" s="109" t="s">
        <v>4521</v>
      </c>
      <c r="D284" s="112" t="s">
        <v>16</v>
      </c>
      <c r="E284" s="109" t="s">
        <v>4522</v>
      </c>
      <c r="F284" s="111" t="s">
        <v>2956</v>
      </c>
    </row>
    <row r="285" customFormat="false" ht="23.85" hidden="false" customHeight="false" outlineLevel="0" collapsed="false">
      <c r="A285" s="109" t="s">
        <v>71</v>
      </c>
      <c r="B285" s="109" t="s">
        <v>87</v>
      </c>
      <c r="C285" s="109" t="s">
        <v>4523</v>
      </c>
      <c r="D285" s="112" t="s">
        <v>16</v>
      </c>
      <c r="E285" s="109" t="s">
        <v>4524</v>
      </c>
      <c r="F285" s="111" t="s">
        <v>1066</v>
      </c>
    </row>
    <row r="286" customFormat="false" ht="23.85" hidden="false" customHeight="false" outlineLevel="0" collapsed="false">
      <c r="A286" s="109" t="s">
        <v>71</v>
      </c>
      <c r="B286" s="109" t="s">
        <v>87</v>
      </c>
      <c r="C286" s="109" t="s">
        <v>4525</v>
      </c>
      <c r="D286" s="112" t="s">
        <v>16</v>
      </c>
      <c r="E286" s="109" t="s">
        <v>4526</v>
      </c>
      <c r="F286" s="111" t="s">
        <v>998</v>
      </c>
    </row>
    <row r="287" customFormat="false" ht="15" hidden="false" customHeight="false" outlineLevel="0" collapsed="false">
      <c r="A287" s="109" t="s">
        <v>71</v>
      </c>
      <c r="B287" s="109" t="s">
        <v>91</v>
      </c>
      <c r="C287" s="109" t="s">
        <v>4527</v>
      </c>
      <c r="D287" s="110" t="s">
        <v>18</v>
      </c>
      <c r="E287" s="109" t="s">
        <v>4528</v>
      </c>
      <c r="F287" s="111" t="s">
        <v>1096</v>
      </c>
    </row>
    <row r="288" customFormat="false" ht="23.85" hidden="false" customHeight="false" outlineLevel="0" collapsed="false">
      <c r="A288" s="109" t="s">
        <v>71</v>
      </c>
      <c r="B288" s="109" t="s">
        <v>109</v>
      </c>
      <c r="C288" s="109" t="s">
        <v>4529</v>
      </c>
      <c r="D288" s="112" t="s">
        <v>16</v>
      </c>
      <c r="E288" s="109" t="s">
        <v>4530</v>
      </c>
      <c r="F288" s="111" t="s">
        <v>866</v>
      </c>
    </row>
    <row r="289" customFormat="false" ht="23.85" hidden="false" customHeight="false" outlineLevel="0" collapsed="false">
      <c r="A289" s="109" t="s">
        <v>71</v>
      </c>
      <c r="B289" s="109" t="s">
        <v>109</v>
      </c>
      <c r="C289" s="109" t="s">
        <v>4531</v>
      </c>
      <c r="D289" s="112" t="s">
        <v>16</v>
      </c>
      <c r="E289" s="109" t="s">
        <v>4532</v>
      </c>
      <c r="F289" s="111" t="s">
        <v>949</v>
      </c>
    </row>
    <row r="290" customFormat="false" ht="15" hidden="false" customHeight="false" outlineLevel="0" collapsed="false">
      <c r="A290" s="109" t="s">
        <v>71</v>
      </c>
      <c r="B290" s="109" t="s">
        <v>109</v>
      </c>
      <c r="C290" s="109" t="s">
        <v>4533</v>
      </c>
      <c r="D290" s="112" t="s">
        <v>16</v>
      </c>
      <c r="E290" s="109" t="s">
        <v>4534</v>
      </c>
      <c r="F290" s="111" t="s">
        <v>949</v>
      </c>
    </row>
    <row r="291" customFormat="false" ht="23.85" hidden="false" customHeight="false" outlineLevel="0" collapsed="false">
      <c r="A291" s="109" t="s">
        <v>71</v>
      </c>
      <c r="B291" s="109" t="s">
        <v>98</v>
      </c>
      <c r="C291" s="109" t="s">
        <v>4535</v>
      </c>
      <c r="D291" s="112" t="s">
        <v>16</v>
      </c>
      <c r="E291" s="109" t="s">
        <v>4536</v>
      </c>
      <c r="F291" s="111" t="s">
        <v>998</v>
      </c>
    </row>
    <row r="292" customFormat="false" ht="15" hidden="false" customHeight="false" outlineLevel="0" collapsed="false">
      <c r="A292" s="109" t="s">
        <v>71</v>
      </c>
      <c r="B292" s="109" t="s">
        <v>90</v>
      </c>
      <c r="C292" s="109" t="s">
        <v>4537</v>
      </c>
      <c r="D292" s="112" t="s">
        <v>16</v>
      </c>
      <c r="E292" s="109" t="s">
        <v>4538</v>
      </c>
      <c r="F292" s="111" t="s">
        <v>4539</v>
      </c>
    </row>
    <row r="293" customFormat="false" ht="15" hidden="false" customHeight="false" outlineLevel="0" collapsed="false">
      <c r="A293" s="109" t="s">
        <v>71</v>
      </c>
      <c r="B293" s="109" t="s">
        <v>85</v>
      </c>
      <c r="C293" s="109" t="s">
        <v>4540</v>
      </c>
      <c r="D293" s="112" t="s">
        <v>16</v>
      </c>
      <c r="E293" s="109" t="s">
        <v>4541</v>
      </c>
      <c r="F293" s="111" t="s">
        <v>2107</v>
      </c>
    </row>
    <row r="294" customFormat="false" ht="15" hidden="false" customHeight="false" outlineLevel="0" collapsed="false">
      <c r="A294" s="109" t="s">
        <v>71</v>
      </c>
      <c r="B294" s="109" t="s">
        <v>99</v>
      </c>
      <c r="C294" s="109" t="s">
        <v>4542</v>
      </c>
      <c r="D294" s="112" t="s">
        <v>16</v>
      </c>
      <c r="E294" s="109" t="s">
        <v>4543</v>
      </c>
      <c r="F294" s="111" t="s">
        <v>4544</v>
      </c>
    </row>
    <row r="295" customFormat="false" ht="15" hidden="false" customHeight="false" outlineLevel="0" collapsed="false">
      <c r="A295" s="109" t="s">
        <v>71</v>
      </c>
      <c r="B295" s="109" t="s">
        <v>4545</v>
      </c>
      <c r="C295" s="109" t="s">
        <v>4546</v>
      </c>
      <c r="D295" s="112" t="s">
        <v>16</v>
      </c>
      <c r="E295" s="109" t="s">
        <v>4547</v>
      </c>
      <c r="F295" s="111" t="s">
        <v>4548</v>
      </c>
    </row>
    <row r="296" customFormat="false" ht="15" hidden="false" customHeight="false" outlineLevel="0" collapsed="false">
      <c r="A296" s="109" t="s">
        <v>71</v>
      </c>
      <c r="B296" s="109" t="s">
        <v>109</v>
      </c>
      <c r="C296" s="109" t="s">
        <v>4549</v>
      </c>
      <c r="D296" s="110" t="s">
        <v>18</v>
      </c>
      <c r="E296" s="109" t="s">
        <v>4550</v>
      </c>
      <c r="F296" s="111" t="s">
        <v>884</v>
      </c>
    </row>
    <row r="297" customFormat="false" ht="23.85" hidden="false" customHeight="false" outlineLevel="0" collapsed="false">
      <c r="A297" s="109" t="s">
        <v>71</v>
      </c>
      <c r="B297" s="109" t="s">
        <v>100</v>
      </c>
      <c r="C297" s="109" t="s">
        <v>4551</v>
      </c>
      <c r="D297" s="110" t="s">
        <v>18</v>
      </c>
      <c r="E297" s="109" t="s">
        <v>4552</v>
      </c>
      <c r="F297" s="111" t="s">
        <v>2341</v>
      </c>
    </row>
    <row r="298" customFormat="false" ht="15" hidden="false" customHeight="false" outlineLevel="0" collapsed="false">
      <c r="A298" s="109" t="s">
        <v>71</v>
      </c>
      <c r="B298" s="109" t="s">
        <v>92</v>
      </c>
      <c r="C298" s="109" t="s">
        <v>4553</v>
      </c>
      <c r="D298" s="112" t="s">
        <v>16</v>
      </c>
      <c r="E298" s="109" t="s">
        <v>4554</v>
      </c>
      <c r="F298" s="111" t="s">
        <v>866</v>
      </c>
    </row>
  </sheetData>
  <conditionalFormatting sqref="D2:D298">
    <cfRule type="cellIs" priority="2" operator="equal" aboveAverage="0" equalAverage="0" bottom="0" percent="0" rank="0" text="" dxfId="19">
      <formula>"Natif"</formula>
    </cfRule>
    <cfRule type="cellIs" priority="3" operator="equal" aboveAverage="0" equalAverage="0" bottom="0" percent="0" rank="0" text="" dxfId="20">
      <formula>"Officiel"</formula>
    </cfRule>
    <cfRule type="cellIs" priority="4" operator="equal" aboveAverage="0" equalAverage="0" bottom="0" percent="0" rank="0" text="" dxfId="21">
      <formula>"Tiers"</formula>
    </cfRule>
    <cfRule type="cellIs" priority="5" operator="equal" aboveAverage="0" equalAverage="0" bottom="0" percent="0" rank="0" text="" dxfId="26">
      <formula>"Partiel"</formula>
    </cfRule>
    <cfRule type="cellIs" priority="6" operator="equal" aboveAverage="0" equalAverage="0" bottom="0" percent="0" rank="0" text="" dxfId="27">
      <formula>"Absent"</formula>
    </cfRule>
    <cfRule type="cellIs" priority="7" operator="equal" aboveAverage="0" equalAverage="0" bottom="0" percent="0" rank="0" text="" dxfId="22">
      <formula>"?"</formula>
    </cfRule>
  </conditionalFormatting>
  <hyperlinks>
    <hyperlink ref="F2" r:id="rId1" display="https://make.wordpress.org/core/2026/05/14/wordpress-7-0-field-guide/"/>
    <hyperlink ref="F3" r:id="rId2" display="https://make.wordpress.org/core/2026/05/14/wordpress-7-0-field-guide/"/>
    <hyperlink ref="F4" r:id="rId3" display="https://developer.wordpress.org/block-editor/reference-guides/block-api/block-bindings/"/>
    <hyperlink ref="F5" r:id="rId4" display="https://make.wordpress.org/core/2026/05/14/wordpress-7-0-field-guide/"/>
    <hyperlink ref="F6" r:id="rId5" display="https://make.wordpress.org/core/2026/05/14/wordpress-7-0-field-guide/"/>
    <hyperlink ref="F7" r:id="rId6" display="https://developer.wordpress.org/themes/global-settings-and-styles/"/>
    <hyperlink ref="F8" r:id="rId7" display="https://wordpress.org/news/2026/08/mary-lou/"/>
    <hyperlink ref="F9" r:id="rId8" display="https://make.wordpress.org/core/2026/05/14/wordpress-7-0-field-guide/"/>
    <hyperlink ref="F10" r:id="rId9" display="https://developer.wordpress.org/block-editor/reference-guides/interactivity-api/"/>
    <hyperlink ref="F11" r:id="rId10" display="https://wordpress.org/documentation/article/query-loop-block/"/>
    <hyperlink ref="F12" r:id="rId11" display="https://wordpress.org/documentation/article/comments-screen/"/>
    <hyperlink ref="F13" r:id="rId12" display="https://developer.wordpress.org/advanced-administration/wordpress/feeds/"/>
    <hyperlink ref="F14" r:id="rId13" display="https://wordpress.org/documentation/article/embeds/"/>
    <hyperlink ref="F15" r:id="rId14" display="https://wordpress.org/news/2026/08/mary-lou/"/>
    <hyperlink ref="F16" r:id="rId15" display="https://make.wordpress.org/core/2026/05/14/wordpress-7-0-field-guide/"/>
    <hyperlink ref="F17" r:id="rId16" display="https://make.wordpress.org/core/2019/04/16/fatal-error-recovery-mode-in-5-2/"/>
    <hyperlink ref="F18" r:id="rId17" display="https://make.wordpress.org/core/2024/06/25/wordpress-6-6-field-guide/"/>
    <hyperlink ref="F19" r:id="rId18" display="https://make.wordpress.org/core/2024/03/05/introducing-plugin-dependencies-in-wordpress-6-5/"/>
    <hyperlink ref="F20" r:id="rId19" display="https://wordpress.org/documentation/article/site-health-screen/"/>
    <hyperlink ref="F21" r:id="rId20" display="https://make.wordpress.org/core/2025/03/06/speculative-loading-in-6-8/"/>
    <hyperlink ref="F22" r:id="rId21" display="https://developer.wordpress.org/playground/"/>
    <hyperlink ref="F23" r:id="rId22" display="https://make.wordpress.org/core/2026/05/14/wordpress-7-0-field-guide/"/>
    <hyperlink ref="F24" r:id="rId23" display="https://wordpress.org/news/2026/08/mary-lou/"/>
    <hyperlink ref="F25" r:id="rId24" display="https://make.wordpress.org/core/2026/05/14/wordpress-7-0-field-guide/"/>
    <hyperlink ref="F26" r:id="rId25" display="https://wordpress.org/documentation/article/block-locking/"/>
    <hyperlink ref="F27" r:id="rId26" display="https://wordpress.org/news/2026/08/mary-lou/"/>
    <hyperlink ref="F28" r:id="rId27" display="https://make.wordpress.org/core/2026/05/14/wordpress-7-0-field-guide/"/>
    <hyperlink ref="F29" r:id="rId28" display="https://developer.wordpress.org/plugins/shortcodes/"/>
    <hyperlink ref="F30" r:id="rId29" display="https://apps.wordpress.com/mobile/"/>
    <hyperlink ref="F31" r:id="rId30" display="https://www.drupal.org/docs/core-modules-and-themes/core-modules/views-module"/>
    <hyperlink ref="F32" r:id="rId31" display="https://www.drupal.org/blog/drupal-11-4-0"/>
    <hyperlink ref="F33" r:id="rId32" display="https://www.drupal.org/docs/extending-drupal/drupal-recipes"/>
    <hyperlink ref="F34" r:id="rId33" display="https://www.acquia.com/blog/pick-your-starting-point-complete-guide-drupal-site-templates-marketplace"/>
    <hyperlink ref="F35" r:id="rId34" display="https://project.pages.drupalcode.org/canvas/code-components/"/>
    <hyperlink ref="F36" r:id="rId35" display="https://project.pages.drupalcode.org/canvas/code-components/workbench/regions"/>
    <hyperlink ref="F37" r:id="rId36" display="https://project.pages.drupalcode.org/canvas/code-components/brand-kit"/>
    <hyperlink ref="F38" r:id="rId37" display="https://imagexmedia.com/blog/drupal-canvas-tour-content-authoring"/>
    <hyperlink ref="F39" r:id="rId38" display="https://www.drupal.org/docs/drupal-apis/cache-api"/>
    <hyperlink ref="F40" r:id="rId39" display="https://www.drupal.org/blog/drupal-11-3-0"/>
    <hyperlink ref="F41" r:id="rId40" display="https://www.drupal.org/node/3385551"/>
    <hyperlink ref="F42" r:id="rId41" display="https://www.drupal.org/docs/drupal-apis/entity-api"/>
    <hyperlink ref="F43" r:id="rId42" display="https://www.drupal.org/blog/drupal-11-2-0"/>
    <hyperlink ref="F44" r:id="rId43" display="https://www.drupal.org/blog/drupal-11-1-0"/>
    <hyperlink ref="F45" r:id="rId44" display="https://www.drupal.org/docs/core-modules-and-themes/core-modules/contextual-module"/>
    <hyperlink ref="F46" r:id="rId45" display="https://www.drupal.org/docs/user_guide/en/menu-concept.html"/>
    <hyperlink ref="F47" r:id="rId46" display="https://www.drupal.org/project/eca"/>
    <hyperlink ref="F48" r:id="rId47" display="https://www.drupal.org/docs/user_guide/en/config-files.html"/>
    <hyperlink ref="F49" r:id="rId48" display="https://www.drupal.org/project/project_browser"/>
    <hyperlink ref="F50" r:id="rId49" display="https://www.drupal.org/blog/drupal-11-4-0"/>
    <hyperlink ref="F51" r:id="rId50" display="https://www.drupal.org/blog/drupal-11-4-0"/>
    <hyperlink ref="F52" r:id="rId51" display="https://project.pages.drupalcode.org/drupal_cms/get-started/cms-launcher/"/>
    <hyperlink ref="F53" r:id="rId52" display="https://project.pages.drupalcode.org/drupal_cms/updates/telemetry/"/>
    <hyperlink ref="F54" r:id="rId53" display="https://www.drupal.org/project/smart_date"/>
    <hyperlink ref="F55" r:id="rId54" display="https://www.drupal.org/docs/multilingual-guide"/>
    <hyperlink ref="F56" r:id="rId55" display="https://www.drupal.org/blog/drupal-11-4-0"/>
    <hyperlink ref="F57" r:id="rId56" display="https://www.drupal.org/project/token"/>
    <hyperlink ref="F58" r:id="rId57" display="https://craftcms.com/docs/5.x/reference/element-types/entries.html"/>
    <hyperlink ref="F59" r:id="rId58" display="https://craftcms.com/docs/5.x/system/fields.html"/>
    <hyperlink ref="F60" r:id="rId59" display="https://craftcms.com/docs/5.x/reference/element-types/addresses.html"/>
    <hyperlink ref="F61" r:id="rId60" display="https://craftcms.com/docs/5.x/reference/field-types/link.html"/>
    <hyperlink ref="F62" r:id="rId61" display="https://craftcms.com/docs/5.x/reference/field-types/"/>
    <hyperlink ref="F63" r:id="rId62" display="https://craftcms.com/docs/5.x/reference/element-types/entries.html"/>
    <hyperlink ref="F64" r:id="rId63" display="https://github.com/craftcms/cms/blob/5.x/CHANGELOG.md"/>
    <hyperlink ref="F65" r:id="rId64" display="https://github.com/craftcms/cms/blob/5.x/CHANGELOG.md"/>
    <hyperlink ref="F66" r:id="rId65" display="https://craftcms.com/docs/5.x/system/elements.html"/>
    <hyperlink ref="F67" r:id="rId66" display="https://craftcms.com/docs/5.x/system/elements.html"/>
    <hyperlink ref="F68" r:id="rId67" display="https://craftcms.com/docs/5.x/system/elements.html"/>
    <hyperlink ref="F69" r:id="rId68" display="https://github.com/craftcms/cms/blob/5.x/CHANGELOG.md"/>
    <hyperlink ref="F70" r:id="rId69" display="https://github.com/craftcms/cms/blob/5.x/CHANGELOG.md"/>
    <hyperlink ref="F71" r:id="rId70" display="https://craftcms.com/docs/5.x/system/control-panel.html"/>
    <hyperlink ref="F72" r:id="rId71" display="https://craftcms.com/docs/5.x/system/control-panel.html"/>
    <hyperlink ref="F73" r:id="rId72" display="https://craftcms.com/docs/5.x/system/reference-tags.html"/>
    <hyperlink ref="F74" r:id="rId73" display="https://craftcms.com/docs/5.x/reference/cli.html"/>
    <hyperlink ref="F75" r:id="rId74" display="https://craftcms.com/docs/5.x/reference/twig/tags.html"/>
    <hyperlink ref="F76" r:id="rId75" display="https://github.com/craftcms/cms/blob/5.x/CHANGELOG.md"/>
    <hyperlink ref="F77" r:id="rId76" display="https://craftcms.com/docs/5.x/system/user-management.html"/>
    <hyperlink ref="F78" r:id="rId77" display="https://github.com/craftcms/cms/blob/5.x/CHANGELOG.md"/>
    <hyperlink ref="F79" r:id="rId78" display="https://craftcms.com/docs/5.x/reference/config/general.html"/>
    <hyperlink ref="F80" r:id="rId79" display="https://craftcms.com/docs/5.x/reference/element-types/entries.html"/>
    <hyperlink ref="F81" r:id="rId80" display="https://github.com/craftcms/cms/blob/5.x/CHANGELOG.md"/>
    <hyperlink ref="F82" r:id="rId81" display="https://craftcms.com/docs/5.x/system/drafts-revisions.html"/>
    <hyperlink ref="F83" r:id="rId82" display="https://craftcms.com/docs/5.x/system/mail.html"/>
    <hyperlink ref="F84" r:id="rId83" display="https://craftcms.com/docs/5.x/system/user-management.html"/>
    <hyperlink ref="F85" r:id="rId84" display="https://craftcms.com/cloud"/>
    <hyperlink ref="F86" r:id="rId85" display="https://craftcms.com/knowledge-base/laravel-transition-planning"/>
    <hyperlink ref="F87" r:id="rId86" display="https://craftcms.com/commerce"/>
    <hyperlink ref="F88" r:id="rId87" display="https://getkirby.com/docs/guide/uuids"/>
    <hyperlink ref="F89" r:id="rId88" display="https://getkirby.com/docs/guide/virtual-content"/>
    <hyperlink ref="F90" r:id="rId89" display="https://getkirby.com/docs/guide/templates/page-models"/>
    <hyperlink ref="F91" r:id="rId90" display="https://github.com/getkirby/kirby/releases/tag/5.1.0"/>
    <hyperlink ref="F92" r:id="rId91" display="https://getkirby.com/releases/4"/>
    <hyperlink ref="F93" r:id="rId92" display="https://getkirby.com/docs/guide/blueprints/extending-blueprints"/>
    <hyperlink ref="F94" r:id="rId93" display="https://getkirby.com/docs/guide/content/publishing-workflow"/>
    <hyperlink ref="F95" r:id="rId94" display="https://getkirby.com/releases/5/changes"/>
    <hyperlink ref="F96" r:id="rId95" display="https://getkirby.com/docs/reference/plugins/extensions/kirbytags"/>
    <hyperlink ref="F97" r:id="rId96" display="https://getkirby.com/releases/5"/>
    <hyperlink ref="F98" r:id="rId97" display="https://getkirby.com/releases/5"/>
    <hyperlink ref="F99" r:id="rId98" display="https://getkirby.com/releases/4"/>
    <hyperlink ref="F100" r:id="rId99" display="https://getkirby.com/releases/5"/>
    <hyperlink ref="F101" r:id="rId100" display="https://getkirby.com/releases/4"/>
    <hyperlink ref="F102" r:id="rId101" display="https://getkirby.com/docs/guide/templates/content-representations"/>
    <hyperlink ref="F103" r:id="rId102" display="https://getkirby.com/releases/6"/>
    <hyperlink ref="F104" r:id="rId103" display="https://getkirby.com/releases/5"/>
    <hyperlink ref="F105" r:id="rId104" display="https://getkirby.com/releases/6"/>
    <hyperlink ref="F106" r:id="rId105" display="https://getkirby.com/docs/reference/plugins/extensions/core-components"/>
    <hyperlink ref="F107" r:id="rId106" display="https://getkirby.com/releases/5"/>
    <hyperlink ref="F108" r:id="rId107" display="https://getkirby.com/releases/4"/>
    <hyperlink ref="F109" r:id="rId108" display="https://getkirby.com/releases/6"/>
    <hyperlink ref="F110" r:id="rId109" display="https://getkirby.com/docs/guide/authentication/two-factor-auth"/>
    <hyperlink ref="F111" r:id="rId110" display="https://getkirby.com/releases/6"/>
    <hyperlink ref="F112" r:id="rId111" display="https://getkirby.com/docs/guide/content/publishing-workflow"/>
    <hyperlink ref="F113" r:id="rId112" display="https://getkirby.com/docs/guide/users/permissions"/>
    <hyperlink ref="F114" r:id="rId113" display="https://getkirby.com/docs/guide/languages"/>
    <hyperlink ref="F115" r:id="rId114" display="https://getkirby.com/docs/guide/languages"/>
    <hyperlink ref="F116" r:id="rId115" display="https://getkirby.com/releases/5"/>
    <hyperlink ref="F117" r:id="rId116" display="https://getkirby.com/docs/guide/configuration/custom-folder-setup"/>
    <hyperlink ref="F118" r:id="rId117" display="https://getkirby.com/docs/guide/quickstart"/>
    <hyperlink ref="F119" r:id="rId118" display="https://github.com/getkirby/kirby/releases/tag/5.2.0"/>
    <hyperlink ref="F120" r:id="rId119" display="https://getkirby.com/security.json"/>
    <hyperlink ref="F121" r:id="rId120" display="https://statamic.dev/content-modeling/navigation"/>
    <hyperlink ref="F122" r:id="rId121" display="https://statamic.dev/fieldtypes/dictionaries"/>
    <hyperlink ref="F123" r:id="rId122" display="https://statamic.dev/content-modeling/data-inheritance"/>
    <hyperlink ref="F124" r:id="rId123" display="https://statamic.dev/content-modeling/computed-values"/>
    <hyperlink ref="F125" r:id="rId124" display="https://statamic.dev/content-modeling/collections"/>
    <hyperlink ref="F126" r:id="rId125" display="https://statamic.dev/content-modeling/collections"/>
    <hyperlink ref="F127" r:id="rId126" display="https://statamic.dev/content-modeling/collections"/>
    <hyperlink ref="F128" r:id="rId127" display="https://statamic.dev/fieldtypes/replicator"/>
    <hyperlink ref="F129" r:id="rId128" display="https://statamic.dev/control-panel/field-actions"/>
    <hyperlink ref="F130" r:id="rId129" display="https://statamic.com/blog/statamic-6"/>
    <hyperlink ref="F131" r:id="rId130" display="https://statamic.dev/fieldtypes/bard"/>
    <hyperlink ref="F132" r:id="rId131" display="https://statamic.dev/fieldtypes/bard"/>
    <hyperlink ref="F133" r:id="rId132" display="https://statamic.dev/frontend/assets"/>
    <hyperlink ref="F134" r:id="rId133" display="https://statamic.dev/frontend/assets"/>
    <hyperlink ref="F135" r:id="rId134" display="https://statamic.dev/tags/glide"/>
    <hyperlink ref="F136" r:id="rId135" display="https://statamic.dev/control-panel/users"/>
    <hyperlink ref="F137" r:id="rId136" display="https://statamic.dev/control-panel/elevated-sessions"/>
    <hyperlink ref="F138" r:id="rId137" display="https://statamic.dev/frontend/protecting-content"/>
    <hyperlink ref="F139" r:id="rId138" display="https://statamic.dev/getting-started/licensing"/>
    <hyperlink ref="F140" r:id="rId139" display="https://statamic.dev/control-panel/git-automation"/>
    <hyperlink ref="F141" r:id="rId140" display="https://statamic.dev/advanced-topics/stache"/>
    <hyperlink ref="F142" r:id="rId141" display="https://statamic.dev/frontend/image-manipulation"/>
    <hyperlink ref="F143" r:id="rId142" display="https://statamic.dev/advanced-topics/static-caching"/>
    <hyperlink ref="F144" r:id="rId143" display="https://statamic.dev/starter-kits/updating-a-starter-kit"/>
    <hyperlink ref="F145" r:id="rId144" display="https://statamic.dev/frontend/blade"/>
    <hyperlink ref="F146" r:id="rId145" display="https://statamic.dev/frontend/view-models"/>
    <hyperlink ref="F147" r:id="rId146" display="https://statamic.dev/backend-apis/actions"/>
    <hyperlink ref="F148" r:id="rId147" display="https://statamic.dev/backend-apis/query-scopes-and-filters"/>
    <hyperlink ref="F149" r:id="rId148" display="https://ui.statamic.dev"/>
    <hyperlink ref="F150" r:id="rId149" display="https://statamic.dev/control-panel/preferences"/>
    <hyperlink ref="F151" r:id="rId150" display="https://statamic.dev/control-panel/utilities"/>
    <hyperlink ref="F152" r:id="rId151" display="https://statamic.dev/frontend/forms"/>
    <hyperlink ref="F153" r:id="rId152" display="https://statamic.com/blog/statamic-6"/>
    <hyperlink ref="F154" r:id="rId153" display="https://statamic.com/sellers/statamic"/>
    <hyperlink ref="F155" r:id="rId154" display="https://docs.octobercms.com/4.x/cms/tailor/blueprints.html"/>
    <hyperlink ref="F156" r:id="rId155" display="https://docs.octobercms.com/4.x/cms/tailor/blueprints.html"/>
    <hyperlink ref="F157" r:id="rId156" display="https://octobercms.com/support/article/rn-41"/>
    <hyperlink ref="F158" r:id="rId157" display="https://octobercms.com/support/article/rn-41"/>
    <hyperlink ref="F159" r:id="rId158" display="https://docs.octobercms.com/4.x/cms/tailor/introduction.html"/>
    <hyperlink ref="F160" r:id="rId159" display="https://docs.octobercms.com/4.x/element/form/widget-pagefinder.html"/>
    <hyperlink ref="F161" r:id="rId160" display="https://octobercms.com/support/article/rn-43"/>
    <hyperlink ref="F162" r:id="rId161" display="https://docs.octobercms.com/4.x/cms/tailor/blueprints.html"/>
    <hyperlink ref="F163" r:id="rId162" display="https://octobercms.com/support/article/rn-43"/>
    <hyperlink ref="F164" r:id="rId163" display="https://octobercms.com/support/article/rn-42"/>
    <hyperlink ref="F165" r:id="rId164" display="https://docs.octobercms.com/4.x/cms/ajax/introduction.html"/>
    <hyperlink ref="F166" r:id="rId165" display="https://octobercms.com/support/article/rn-43"/>
    <hyperlink ref="F167" r:id="rId166" display="https://octobercms.com/support/article/rn-42"/>
    <hyperlink ref="F168" r:id="rId167" display="https://docs.octobercms.com/4.x/cms/themes/database-themes.html"/>
    <hyperlink ref="F169" r:id="rId168" display="https://docs.octobercms.com/4.x/cms/themes/settings.html"/>
    <hyperlink ref="F170" r:id="rId169" display="https://docs.octobercms.com/4.x/cms/themes/seeding-themes.html"/>
    <hyperlink ref="F171" r:id="rId170" display="https://octobercms.com/support/article/rn-42"/>
    <hyperlink ref="F172" r:id="rId171" display="https://docs.octobercms.com/4.x/cms/multisite/multisite.html"/>
    <hyperlink ref="F173" r:id="rId172" display="https://docs.octobercms.com/4.x/cms/multisite/multisite.html"/>
    <hyperlink ref="F174" r:id="rId173" display="https://docs.octobercms.com/4.x/cms/multisite/multisite.html"/>
    <hyperlink ref="F175" r:id="rId174" display="https://docs.octobercms.com/4.x/extend/multisite/translatable.html"/>
    <hyperlink ref="F176" r:id="rId175" display="https://github.com/octobercms/october/blob/develop/modules/backend/controllers/UserRoles.php"/>
    <hyperlink ref="F177" r:id="rId176" display="https://octobercms.com/support/article/rn-40"/>
    <hyperlink ref="F178" r:id="rId177" display="https://docs.octobercms.com/4.x/extend/database/traits.html"/>
    <hyperlink ref="F179" r:id="rId178" display="https://octobercms.com/support/article/rn-43"/>
    <hyperlink ref="F180" r:id="rId179" display="https://octobercms.com/support/article/rn-43"/>
    <hyperlink ref="F181" r:id="rId180" display="https://docs.octobercms.com/4.x/setup/installation.html"/>
    <hyperlink ref="F182" r:id="rId181" display="https://octobercms.com/plugin/rainlab-builder"/>
    <hyperlink ref="F183" r:id="rId182" display="https://octobercms.com/support/article/rn-41"/>
    <hyperlink ref="F184" r:id="rId183" display="https://octobercms.com/support/article/rn-40"/>
    <hyperlink ref="F185" r:id="rId184" display="https://octobercms.com/plugins"/>
    <hyperlink ref="F186" r:id="rId185" display="https://github.com/getgrav/grav/blob/develop/CHANGELOG.md"/>
    <hyperlink ref="F187" r:id="rId186" display="https://github.com/getgrav/grav-plugin-sitemap"/>
    <hyperlink ref="F188" r:id="rId187" display="https://github.com/trilbymedia/grav-plugin-flex-objects"/>
    <hyperlink ref="F189" r:id="rId188" display="https://github.com/getgrav/grav-plugin-admin2/blob/develop/CHANGELOG.md"/>
    <hyperlink ref="F190" r:id="rId189" display="https://github.com/trilbymedia/grav-plugin-flex-objects"/>
    <hyperlink ref="F191" r:id="rId190" display="https://github.com/getgrav/grav/blob/develop/CHANGELOG.md"/>
    <hyperlink ref="F192" r:id="rId191" display="https://github.com/getgrav/grav-plugin-shortcode-core"/>
    <hyperlink ref="F193" r:id="rId192" display="https://github.com/getgrav/grav/blob/develop/CHANGELOG.md"/>
    <hyperlink ref="F194" r:id="rId193" display="https://learn.getgrav.org/20/content/media"/>
    <hyperlink ref="F195" r:id="rId194" display="https://learn.getgrav.org/20/content/media"/>
    <hyperlink ref="F196" r:id="rId195" display="https://github.com/getgrav/grav/blob/develop/CHANGELOG.md"/>
    <hyperlink ref="F197" r:id="rId196" display="https://getgrav.org/premium/image-optimize"/>
    <hyperlink ref="F198" r:id="rId197" display="https://learn.getgrav.org/20/content/headers"/>
    <hyperlink ref="F199" r:id="rId198" display="https://learn.getgrav.org/17/basics/grav-configuration"/>
    <hyperlink ref="F200" r:id="rId199" display="https://github.com/getgrav/grav/blob/develop/CHANGELOG.md"/>
    <hyperlink ref="F201" r:id="rId200" display="https://github.com/getgrav/grav-plugin-admin2/blob/develop/CHANGELOG.md"/>
    <hyperlink ref="F202" r:id="rId201" display="https://github.com/getgrav/grav/blob/develop/CHANGELOG.md"/>
    <hyperlink ref="F203" r:id="rId202" display="https://github.com/getgrav/grav-plugin-api"/>
    <hyperlink ref="F204" r:id="rId203" display="https://github.com/getgrav/grav-plugin-api"/>
    <hyperlink ref="F205" r:id="rId204" display="https://github.com/getgrav/grav-plugin-api"/>
    <hyperlink ref="F206" r:id="rId205" display="https://github.com/getgrav/grav-plugin-login"/>
    <hyperlink ref="F207" r:id="rId206" display="https://github.com/getgrav/grav/blob/develop/CHANGELOG.md"/>
    <hyperlink ref="F208" r:id="rId207" display="https://getgrav.org/blog/grav-2-rc-released"/>
    <hyperlink ref="F209" r:id="rId208" display="https://github.com/getgrav/grav/blob/develop/CHANGELOG.md"/>
    <hyperlink ref="F210" r:id="rId209" display="https://github.com/getgrav/grav-plugin-scheduler-webhook"/>
    <hyperlink ref="F211" r:id="rId210" display="https://github.com/getgrav/grav/releases"/>
    <hyperlink ref="F212" r:id="rId211" display="https://github.com/getgrav/grav-plugin-admin2"/>
    <hyperlink ref="F213" r:id="rId212" display="https://github.com/getgrav/grav-plugin-admin2"/>
    <hyperlink ref="F214" r:id="rId213" display="https://learn.getgrav.org/20/grav-premium"/>
    <hyperlink ref="F215" r:id="rId214" display="https://learn.getgrav.org/20/grav-premium/helios"/>
    <hyperlink ref="F216" r:id="rId215" display="https://payloadcms.com/docs/fields/point"/>
    <hyperlink ref="F217" r:id="rId216" display="https://payloadcms.com/docs/fields/json"/>
    <hyperlink ref="F218" r:id="rId217" display="https://payloadcms.com/docs/fields/tabs"/>
    <hyperlink ref="F219" r:id="rId218" location="orderable" display="https://payloadcms.com/docs/configuration/collections#orderable"/>
    <hyperlink ref="F220" r:id="rId219" display="https://payloadcms.com/docs/authentication/overview"/>
    <hyperlink ref="F221" r:id="rId220" display="https://payloadcms.com/docs/rich-text/custom-features"/>
    <hyperlink ref="F222" r:id="rId221" display="https://payloadcms.com/docs/configuration/collections"/>
    <hyperlink ref="F223" r:id="rId222" display="https://github.com/payloadcms/payload/tree/main/packages/admin-bar"/>
    <hyperlink ref="F224" r:id="rId223" display="https://payloadcms.com/docs/integrations/vercel-content-link"/>
    <hyperlink ref="F225" r:id="rId224" display="https://payloadcms.com/enterprise"/>
    <hyperlink ref="F226" r:id="rId225" display="https://payloadcms.com/docs/local-api/overview"/>
    <hyperlink ref="F227" r:id="rId226" location="custom-endpoints" display="https://payloadcms.com/docs/rest-api/overview#custom-endpoints"/>
    <hyperlink ref="F228" r:id="rId227" display="https://payloadcms.com/docs/queries/select"/>
    <hyperlink ref="F229" r:id="rId228" display="https://payloadcms.com/docs/production/preventing-abuse"/>
    <hyperlink ref="F230" r:id="rId229" display="https://payloadcms.com/docs/database/transactions"/>
    <hyperlink ref="F231" r:id="rId230" display="https://payloadcms.com/docs/database/postgres"/>
    <hyperlink ref="F232" r:id="rId231" display="https://github.com/payloadcms/payload/tree/main/packages/kv-redis"/>
    <hyperlink ref="F233" r:id="rId232" display="https://payloadcms.com/docs/database/sqlite"/>
    <hyperlink ref="F234" r:id="rId233" display="https://payloadcms.com/docs/upload/storage-adapters"/>
    <hyperlink ref="F235" r:id="rId234" location="uploading-files-from-remote-urls" display="https://payloadcms.com/docs/upload/overview#uploading-files-from-remote-urls"/>
    <hyperlink ref="F236" r:id="rId235" display="https://payloadcms.com/docs/query-presets/overview"/>
    <hyperlink ref="F237" r:id="rId236" display="https://payloadcms.com/docs/configuration/collections"/>
    <hyperlink ref="F238" r:id="rId237" display="https://payloadcms.com/docs/admin/preferences"/>
    <hyperlink ref="F239" r:id="rId238" display="https://payloadcms.com/docs/authentication/api-keys"/>
    <hyperlink ref="F240" r:id="rId239" location="locale-specific-access-control" display="https://payloadcms.com/docs/access-control/overview#locale-specific-access-control"/>
    <hyperlink ref="F241" r:id="rId240" display="https://payloadcms.com/docs/authentication/overview"/>
    <hyperlink ref="F242" r:id="rId241" display="https://payloadcms.com/docs/jobs-queue/workflows"/>
    <hyperlink ref="F243" r:id="rId242" display="https://payloadcms.com/docs/migration-guide/overview"/>
    <hyperlink ref="F244" r:id="rId243" display="https://payloadcms.com/docs/plugins/sentry"/>
    <hyperlink ref="F245" r:id="rId244" display="https://payloadcms.com/docs/admin/overview"/>
    <hyperlink ref="F246" r:id="rId245" display="https://github.com/tallcms/tallcms/blob/main/docs/ref-architecture.md"/>
    <hyperlink ref="F247" r:id="rId246" display="https://github.com/tallcms/tallcms/blob/main/docs/ref-rich-editor.md"/>
    <hyperlink ref="F248" r:id="rId247" display="https://github.com/tallcms/tallcms/blob/main/docs/ref-rich-editor.md"/>
    <hyperlink ref="F249" r:id="rId248" display="https://github.com/tallcms/tallcms/blob/main/docs/ref-rich-editor.md"/>
    <hyperlink ref="F250" r:id="rId249" display="https://github.com/tallcms/tallcms/blob/main/docs/site-blocks-animations.md"/>
    <hyperlink ref="F251" r:id="rId250" display="https://github.com/tallcms/tallcms/blob/main/docs/ref-pro-plugin-changelog.md"/>
    <hyperlink ref="F252" r:id="rId251" display="https://github.com/tallcms/tallcms/blob/main/docs/site-blocks.md"/>
    <hyperlink ref="F253" r:id="rId252" display="https://github.com/tallcms/tallcms/blob/main/docs/site-settings.md"/>
    <hyperlink ref="F254" r:id="rId253" display="https://github.com/tallcms/tallcms/blob/main/docs/ref-publishing.md"/>
    <hyperlink ref="F255" r:id="rId254" display="https://github.com/tallcms/tallcms/blob/main/docs/ref-publishing.md"/>
    <hyperlink ref="F256" r:id="rId255" display="https://github.com/tallcms/tallcms/tree/main/packages/tallcms/cms/src/Filament/Resources/CmsPages/Schemas/CmsPageForm.php"/>
    <hyperlink ref="F257" r:id="rId256" display="https://github.com/tallcms/tallcms/blob/main/docs/site-menus.md"/>
    <hyperlink ref="F258" r:id="rId257" display="https://github.com/tallcms/tallcms/blob/main/docs/site-mega-menu.md"/>
    <hyperlink ref="F259" r:id="rId258" display="https://github.com/tallcms/tallcms/blob/main/docs/site-templates.md"/>
    <hyperlink ref="F260" r:id="rId259" display="https://github.com/tallcms/tallcms/blob/main/docs/site-settings.md"/>
    <hyperlink ref="F261" r:id="rId260" display="https://github.com/tallcms/tallcms/blob/main/docs/dev-theme-switcher.md"/>
    <hyperlink ref="F262" r:id="rId261" display="https://github.com/tallcms/tallcms/blob/main/docs/site-comments.md"/>
    <hyperlink ref="F263" r:id="rId262" display="https://github.com/tallcms/tallcms/blob/main/docs/site-seo.md"/>
    <hyperlink ref="F264" r:id="rId263" display="https://github.com/tallcms/tallcms/blob/main/docs/site-seo.md"/>
    <hyperlink ref="F265" r:id="rId264" display="https://github.com/tallcms/tallcms/blob/main/docs/site-pages-posts.md"/>
    <hyperlink ref="F266" r:id="rId265" display="https://github.com/tallcms/tallcms/tree/main/packages/tallcms/cms/src/Http/Controllers/LlmsTxtController.php"/>
    <hyperlink ref="F267" r:id="rId266" display="https://github.com/tallcms/tallcms/blob/main/docs/site-code-injection.md"/>
    <hyperlink ref="F268" r:id="rId267" display="https://github.com/tallcms/tallcms/blob/main/docs/site-settings.md"/>
    <hyperlink ref="F269" r:id="rId268" display="https://github.com/tallcms/tallcms/blob/main/docs/site-multisite.md"/>
    <hyperlink ref="F270" r:id="rId269" display="https://github.com/tallcms/tallcms/blob/main/docs/site-multisite.md"/>
    <hyperlink ref="F271" r:id="rId270" display="https://github.com/tallcms/tallcms/blob/main/docs/ref-updating.md"/>
    <hyperlink ref="F272" r:id="rId271" display="https://github.com/tallcms/tallcms/blob/main/docs/dev-plugins.md"/>
    <hyperlink ref="F273" r:id="rId272" display="https://github.com/tallcms/tallcms/blob/main/docs/ref-plugin-licensing.md"/>
    <hyperlink ref="F274" r:id="rId273" display="https://github.com/tallcms/tallcms/blob/main/docs/ref-i18n.md"/>
    <hyperlink ref="F275" r:id="rId274" display="https://github.com/tallcms/tallcms/blob/main/docs/dev-api.md"/>
    <hyperlink ref="F276" r:id="rId275" display="https://github.com/tallcms/tallcms/blob/main/docs/ref-pro-email-marketing.md"/>
    <hyperlink ref="F277" r:id="rId276" display="https://github.com/lara-zeus/sky/blob/main/src/Models/PostScope.php"/>
    <hyperlink ref="F278" r:id="rId277" display="https://github.com/lara-zeus/sky/blob/main/src/Livewire/Post.php"/>
    <hyperlink ref="F279" r:id="rId278" display="https://github.com/lara-zeus/sky/blob/main/src/Livewire/Post.php"/>
    <hyperlink ref="F280" r:id="rId279" display="https://larazeus.com/docs/sky/v5/advanced/addons"/>
    <hyperlink ref="F281" r:id="rId280" display="https://larazeus.com/docs/sky/v5/advanced/addons"/>
    <hyperlink ref="F282" r:id="rId281" display="https://github.com/lara-zeus/sky/blob/main/src/Filament/Resources/PostResource.php"/>
    <hyperlink ref="F283" r:id="rId282" display="https://larazeus.com/docs/sky/v5/advanced/customization"/>
    <hyperlink ref="F284" r:id="rId283" display="https://github.com/lara-zeus/sky/blob/main/src/Configuration.php"/>
    <hyperlink ref="F285" r:id="rId284" display="https://larazeus.com/docs/sky/v5/getting-started/editor"/>
    <hyperlink ref="F286" r:id="rId285" display="https://github.com/lara-zeus/sky/blob/main/config/zeus-sky.php"/>
    <hyperlink ref="F287" r:id="rId286" display="https://github.com/lara-zeus/sky/blob/main/src/Classes/BoltParser.php"/>
    <hyperlink ref="F288" r:id="rId287" display="https://larazeus.com/docs/sky/v5/advanced/models"/>
    <hyperlink ref="F289" r:id="rId288" display="https://larazeus.com/docs/sky/v5/getting-started/configuration"/>
    <hyperlink ref="F290" r:id="rId289" display="https://larazeus.com/docs/sky/v5/getting-started/configuration"/>
    <hyperlink ref="F291" r:id="rId290" display="https://github.com/lara-zeus/sky/blob/main/config/zeus-sky.php"/>
    <hyperlink ref="F292" r:id="rId291" display="https://github.com/lara-zeus/sky/blob/main/src/Livewire/SearchHelpers.php"/>
    <hyperlink ref="F293" r:id="rId292" display="https://github.com/lara-zeus/sky/blob/main/routes/web.php"/>
    <hyperlink ref="F294" r:id="rId293" display="https://github.com/lara-zeus/sky/blob/main/resources/views/themes/zeus/sky/partial/sidebar.blade.php"/>
    <hyperlink ref="F295" r:id="rId294" display="https://github.com/lara-zeus/sky/blob/main/src/Console/migrateCommand.php"/>
    <hyperlink ref="F296" r:id="rId295" display="https://github.com/lara-zeus/sky/blob/main/src/Filament/Resources/PostResource.php"/>
    <hyperlink ref="F297" r:id="rId296" display="https://github.com/lara-zeus/artemis"/>
    <hyperlink ref="F298" r:id="rId297" display="https://larazeus.com/docs/sky/v5/advanced/model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29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110"/>
  </cols>
  <sheetData>
    <row r="1" customFormat="false" ht="15" hidden="false" customHeight="false" outlineLevel="0" collapsed="false">
      <c r="A1" s="108" t="s">
        <v>31</v>
      </c>
      <c r="B1" s="108" t="s">
        <v>4555</v>
      </c>
      <c r="C1" s="108" t="s">
        <v>4556</v>
      </c>
    </row>
    <row r="2" customFormat="false" ht="15" hidden="false" customHeight="false" outlineLevel="0" collapsed="false">
      <c r="A2" s="109" t="s">
        <v>35</v>
      </c>
      <c r="B2" s="112" t="s">
        <v>4557</v>
      </c>
      <c r="C2" s="109" t="s">
        <v>4558</v>
      </c>
    </row>
    <row r="3" customFormat="false" ht="23.85" hidden="false" customHeight="false" outlineLevel="0" collapsed="false">
      <c r="A3" s="109" t="s">
        <v>35</v>
      </c>
      <c r="B3" s="112" t="s">
        <v>4557</v>
      </c>
      <c r="C3" s="109" t="s">
        <v>4559</v>
      </c>
    </row>
    <row r="4" customFormat="false" ht="15" hidden="false" customHeight="false" outlineLevel="0" collapsed="false">
      <c r="A4" s="109" t="s">
        <v>35</v>
      </c>
      <c r="B4" s="112" t="s">
        <v>4557</v>
      </c>
      <c r="C4" s="109" t="s">
        <v>4560</v>
      </c>
    </row>
    <row r="5" customFormat="false" ht="15" hidden="false" customHeight="false" outlineLevel="0" collapsed="false">
      <c r="A5" s="109" t="s">
        <v>35</v>
      </c>
      <c r="B5" s="112" t="s">
        <v>4557</v>
      </c>
      <c r="C5" s="109" t="s">
        <v>4561</v>
      </c>
    </row>
    <row r="6" customFormat="false" ht="15" hidden="false" customHeight="false" outlineLevel="0" collapsed="false">
      <c r="A6" s="109" t="s">
        <v>35</v>
      </c>
      <c r="B6" s="112" t="s">
        <v>4557</v>
      </c>
      <c r="C6" s="109" t="s">
        <v>4562</v>
      </c>
    </row>
    <row r="7" customFormat="false" ht="15" hidden="false" customHeight="false" outlineLevel="0" collapsed="false">
      <c r="A7" s="109" t="s">
        <v>35</v>
      </c>
      <c r="B7" s="112" t="s">
        <v>4557</v>
      </c>
      <c r="C7" s="109" t="s">
        <v>4563</v>
      </c>
    </row>
    <row r="8" customFormat="false" ht="15" hidden="false" customHeight="false" outlineLevel="0" collapsed="false">
      <c r="A8" s="109" t="s">
        <v>35</v>
      </c>
      <c r="B8" s="112" t="s">
        <v>4557</v>
      </c>
      <c r="C8" s="109" t="s">
        <v>4564</v>
      </c>
    </row>
    <row r="9" customFormat="false" ht="15" hidden="false" customHeight="false" outlineLevel="0" collapsed="false">
      <c r="A9" s="109" t="s">
        <v>35</v>
      </c>
      <c r="B9" s="112" t="s">
        <v>4557</v>
      </c>
      <c r="C9" s="109" t="s">
        <v>4565</v>
      </c>
    </row>
    <row r="10" customFormat="false" ht="23.85" hidden="false" customHeight="false" outlineLevel="0" collapsed="false">
      <c r="A10" s="109" t="s">
        <v>35</v>
      </c>
      <c r="B10" s="110" t="s">
        <v>4566</v>
      </c>
      <c r="C10" s="109" t="s">
        <v>4567</v>
      </c>
    </row>
    <row r="11" customFormat="false" ht="15" hidden="false" customHeight="false" outlineLevel="0" collapsed="false">
      <c r="A11" s="109" t="s">
        <v>35</v>
      </c>
      <c r="B11" s="110" t="s">
        <v>4566</v>
      </c>
      <c r="C11" s="109" t="s">
        <v>4568</v>
      </c>
    </row>
    <row r="12" customFormat="false" ht="15" hidden="false" customHeight="false" outlineLevel="0" collapsed="false">
      <c r="A12" s="109" t="s">
        <v>35</v>
      </c>
      <c r="B12" s="110" t="s">
        <v>4566</v>
      </c>
      <c r="C12" s="109" t="s">
        <v>4569</v>
      </c>
    </row>
    <row r="13" customFormat="false" ht="15" hidden="false" customHeight="false" outlineLevel="0" collapsed="false">
      <c r="A13" s="109" t="s">
        <v>35</v>
      </c>
      <c r="B13" s="110" t="s">
        <v>4566</v>
      </c>
      <c r="C13" s="109" t="s">
        <v>4570</v>
      </c>
    </row>
    <row r="14" customFormat="false" ht="15" hidden="false" customHeight="false" outlineLevel="0" collapsed="false">
      <c r="A14" s="109" t="s">
        <v>35</v>
      </c>
      <c r="B14" s="110" t="s">
        <v>4566</v>
      </c>
      <c r="C14" s="109" t="s">
        <v>4571</v>
      </c>
    </row>
    <row r="15" customFormat="false" ht="15" hidden="false" customHeight="false" outlineLevel="0" collapsed="false">
      <c r="A15" s="109" t="s">
        <v>35</v>
      </c>
      <c r="B15" s="110" t="s">
        <v>4566</v>
      </c>
      <c r="C15" s="109" t="s">
        <v>4572</v>
      </c>
    </row>
    <row r="16" customFormat="false" ht="15" hidden="false" customHeight="false" outlineLevel="0" collapsed="false">
      <c r="A16" s="109" t="s">
        <v>35</v>
      </c>
      <c r="B16" s="110" t="s">
        <v>4566</v>
      </c>
      <c r="C16" s="109" t="s">
        <v>4573</v>
      </c>
    </row>
    <row r="17" customFormat="false" ht="15" hidden="false" customHeight="false" outlineLevel="0" collapsed="false">
      <c r="A17" s="109" t="s">
        <v>35</v>
      </c>
      <c r="B17" s="110" t="s">
        <v>4566</v>
      </c>
      <c r="C17" s="109" t="s">
        <v>4574</v>
      </c>
    </row>
    <row r="18" customFormat="false" ht="23.85" hidden="false" customHeight="false" outlineLevel="0" collapsed="false">
      <c r="A18" s="109" t="s">
        <v>35</v>
      </c>
      <c r="B18" s="113" t="s">
        <v>4575</v>
      </c>
      <c r="C18" s="109" t="s">
        <v>4576</v>
      </c>
    </row>
    <row r="19" customFormat="false" ht="15" hidden="false" customHeight="false" outlineLevel="0" collapsed="false">
      <c r="A19" s="109" t="s">
        <v>35</v>
      </c>
      <c r="B19" s="113" t="s">
        <v>4575</v>
      </c>
      <c r="C19" s="109" t="s">
        <v>4577</v>
      </c>
    </row>
    <row r="20" customFormat="false" ht="23.85" hidden="false" customHeight="false" outlineLevel="0" collapsed="false">
      <c r="A20" s="109" t="s">
        <v>35</v>
      </c>
      <c r="B20" s="113" t="s">
        <v>4575</v>
      </c>
      <c r="C20" s="109" t="s">
        <v>4578</v>
      </c>
    </row>
    <row r="21" customFormat="false" ht="23.85" hidden="false" customHeight="false" outlineLevel="0" collapsed="false">
      <c r="A21" s="109" t="s">
        <v>35</v>
      </c>
      <c r="B21" s="113" t="s">
        <v>4575</v>
      </c>
      <c r="C21" s="109" t="s">
        <v>4579</v>
      </c>
    </row>
    <row r="22" customFormat="false" ht="23.85" hidden="false" customHeight="false" outlineLevel="0" collapsed="false">
      <c r="A22" s="109" t="s">
        <v>35</v>
      </c>
      <c r="B22" s="113" t="s">
        <v>4575</v>
      </c>
      <c r="C22" s="109" t="s">
        <v>4580</v>
      </c>
    </row>
    <row r="23" customFormat="false" ht="15" hidden="false" customHeight="false" outlineLevel="0" collapsed="false">
      <c r="A23" s="109" t="s">
        <v>35</v>
      </c>
      <c r="B23" s="113" t="s">
        <v>4575</v>
      </c>
      <c r="C23" s="109" t="s">
        <v>4581</v>
      </c>
    </row>
    <row r="24" customFormat="false" ht="15" hidden="false" customHeight="false" outlineLevel="0" collapsed="false">
      <c r="A24" s="109" t="s">
        <v>39</v>
      </c>
      <c r="B24" s="112" t="s">
        <v>4557</v>
      </c>
      <c r="C24" s="109" t="s">
        <v>4582</v>
      </c>
    </row>
    <row r="25" customFormat="false" ht="15" hidden="false" customHeight="false" outlineLevel="0" collapsed="false">
      <c r="A25" s="109" t="s">
        <v>39</v>
      </c>
      <c r="B25" s="112" t="s">
        <v>4557</v>
      </c>
      <c r="C25" s="109" t="s">
        <v>4583</v>
      </c>
    </row>
    <row r="26" customFormat="false" ht="15" hidden="false" customHeight="false" outlineLevel="0" collapsed="false">
      <c r="A26" s="109" t="s">
        <v>39</v>
      </c>
      <c r="B26" s="112" t="s">
        <v>4557</v>
      </c>
      <c r="C26" s="109" t="s">
        <v>4584</v>
      </c>
    </row>
    <row r="27" customFormat="false" ht="15" hidden="false" customHeight="false" outlineLevel="0" collapsed="false">
      <c r="A27" s="109" t="s">
        <v>39</v>
      </c>
      <c r="B27" s="112" t="s">
        <v>4557</v>
      </c>
      <c r="C27" s="109" t="s">
        <v>4585</v>
      </c>
    </row>
    <row r="28" customFormat="false" ht="15" hidden="false" customHeight="false" outlineLevel="0" collapsed="false">
      <c r="A28" s="109" t="s">
        <v>39</v>
      </c>
      <c r="B28" s="112" t="s">
        <v>4557</v>
      </c>
      <c r="C28" s="109" t="s">
        <v>4586</v>
      </c>
    </row>
    <row r="29" customFormat="false" ht="15" hidden="false" customHeight="false" outlineLevel="0" collapsed="false">
      <c r="A29" s="109" t="s">
        <v>39</v>
      </c>
      <c r="B29" s="112" t="s">
        <v>4557</v>
      </c>
      <c r="C29" s="109" t="s">
        <v>4587</v>
      </c>
    </row>
    <row r="30" customFormat="false" ht="15" hidden="false" customHeight="false" outlineLevel="0" collapsed="false">
      <c r="A30" s="109" t="s">
        <v>39</v>
      </c>
      <c r="B30" s="112" t="s">
        <v>4557</v>
      </c>
      <c r="C30" s="109" t="s">
        <v>4588</v>
      </c>
    </row>
    <row r="31" customFormat="false" ht="15" hidden="false" customHeight="false" outlineLevel="0" collapsed="false">
      <c r="A31" s="109" t="s">
        <v>39</v>
      </c>
      <c r="B31" s="112" t="s">
        <v>4557</v>
      </c>
      <c r="C31" s="109" t="s">
        <v>4589</v>
      </c>
    </row>
    <row r="32" customFormat="false" ht="15" hidden="false" customHeight="false" outlineLevel="0" collapsed="false">
      <c r="A32" s="109" t="s">
        <v>39</v>
      </c>
      <c r="B32" s="110" t="s">
        <v>4566</v>
      </c>
      <c r="C32" s="109" t="s">
        <v>4590</v>
      </c>
    </row>
    <row r="33" customFormat="false" ht="15" hidden="false" customHeight="false" outlineLevel="0" collapsed="false">
      <c r="A33" s="109" t="s">
        <v>39</v>
      </c>
      <c r="B33" s="110" t="s">
        <v>4566</v>
      </c>
      <c r="C33" s="109" t="s">
        <v>4591</v>
      </c>
    </row>
    <row r="34" customFormat="false" ht="15" hidden="false" customHeight="false" outlineLevel="0" collapsed="false">
      <c r="A34" s="109" t="s">
        <v>39</v>
      </c>
      <c r="B34" s="110" t="s">
        <v>4566</v>
      </c>
      <c r="C34" s="109" t="s">
        <v>4592</v>
      </c>
    </row>
    <row r="35" customFormat="false" ht="15" hidden="false" customHeight="false" outlineLevel="0" collapsed="false">
      <c r="A35" s="109" t="s">
        <v>39</v>
      </c>
      <c r="B35" s="110" t="s">
        <v>4566</v>
      </c>
      <c r="C35" s="109" t="s">
        <v>4593</v>
      </c>
    </row>
    <row r="36" customFormat="false" ht="15" hidden="false" customHeight="false" outlineLevel="0" collapsed="false">
      <c r="A36" s="109" t="s">
        <v>39</v>
      </c>
      <c r="B36" s="110" t="s">
        <v>4566</v>
      </c>
      <c r="C36" s="109" t="s">
        <v>4594</v>
      </c>
    </row>
    <row r="37" customFormat="false" ht="15" hidden="false" customHeight="false" outlineLevel="0" collapsed="false">
      <c r="A37" s="109" t="s">
        <v>39</v>
      </c>
      <c r="B37" s="110" t="s">
        <v>4566</v>
      </c>
      <c r="C37" s="109" t="s">
        <v>4595</v>
      </c>
    </row>
    <row r="38" customFormat="false" ht="15" hidden="false" customHeight="false" outlineLevel="0" collapsed="false">
      <c r="A38" s="109" t="s">
        <v>39</v>
      </c>
      <c r="B38" s="110" t="s">
        <v>4566</v>
      </c>
      <c r="C38" s="109" t="s">
        <v>4596</v>
      </c>
    </row>
    <row r="39" customFormat="false" ht="15" hidden="false" customHeight="false" outlineLevel="0" collapsed="false">
      <c r="A39" s="109" t="s">
        <v>39</v>
      </c>
      <c r="B39" s="110" t="s">
        <v>4566</v>
      </c>
      <c r="C39" s="109" t="s">
        <v>4597</v>
      </c>
    </row>
    <row r="40" customFormat="false" ht="23.85" hidden="false" customHeight="false" outlineLevel="0" collapsed="false">
      <c r="A40" s="109" t="s">
        <v>39</v>
      </c>
      <c r="B40" s="113" t="s">
        <v>4575</v>
      </c>
      <c r="C40" s="109" t="s">
        <v>4598</v>
      </c>
    </row>
    <row r="41" customFormat="false" ht="15" hidden="false" customHeight="false" outlineLevel="0" collapsed="false">
      <c r="A41" s="109" t="s">
        <v>39</v>
      </c>
      <c r="B41" s="113" t="s">
        <v>4575</v>
      </c>
      <c r="C41" s="109" t="s">
        <v>4599</v>
      </c>
    </row>
    <row r="42" customFormat="false" ht="15" hidden="false" customHeight="false" outlineLevel="0" collapsed="false">
      <c r="A42" s="109" t="s">
        <v>39</v>
      </c>
      <c r="B42" s="113" t="s">
        <v>4575</v>
      </c>
      <c r="C42" s="109" t="s">
        <v>4600</v>
      </c>
    </row>
    <row r="43" customFormat="false" ht="15" hidden="false" customHeight="false" outlineLevel="0" collapsed="false">
      <c r="A43" s="109" t="s">
        <v>39</v>
      </c>
      <c r="B43" s="113" t="s">
        <v>4575</v>
      </c>
      <c r="C43" s="109" t="s">
        <v>4601</v>
      </c>
    </row>
    <row r="44" customFormat="false" ht="15" hidden="false" customHeight="false" outlineLevel="0" collapsed="false">
      <c r="A44" s="109" t="s">
        <v>39</v>
      </c>
      <c r="B44" s="113" t="s">
        <v>4575</v>
      </c>
      <c r="C44" s="109" t="s">
        <v>4602</v>
      </c>
    </row>
    <row r="45" customFormat="false" ht="15" hidden="false" customHeight="false" outlineLevel="0" collapsed="false">
      <c r="A45" s="109" t="s">
        <v>43</v>
      </c>
      <c r="B45" s="112" t="s">
        <v>4557</v>
      </c>
      <c r="C45" s="109" t="s">
        <v>4603</v>
      </c>
    </row>
    <row r="46" customFormat="false" ht="15" hidden="false" customHeight="false" outlineLevel="0" collapsed="false">
      <c r="A46" s="109" t="s">
        <v>43</v>
      </c>
      <c r="B46" s="112" t="s">
        <v>4557</v>
      </c>
      <c r="C46" s="109" t="s">
        <v>4604</v>
      </c>
    </row>
    <row r="47" customFormat="false" ht="15" hidden="false" customHeight="false" outlineLevel="0" collapsed="false">
      <c r="A47" s="109" t="s">
        <v>43</v>
      </c>
      <c r="B47" s="112" t="s">
        <v>4557</v>
      </c>
      <c r="C47" s="109" t="s">
        <v>4605</v>
      </c>
    </row>
    <row r="48" customFormat="false" ht="15" hidden="false" customHeight="false" outlineLevel="0" collapsed="false">
      <c r="A48" s="109" t="s">
        <v>43</v>
      </c>
      <c r="B48" s="112" t="s">
        <v>4557</v>
      </c>
      <c r="C48" s="109" t="s">
        <v>4606</v>
      </c>
    </row>
    <row r="49" customFormat="false" ht="15" hidden="false" customHeight="false" outlineLevel="0" collapsed="false">
      <c r="A49" s="109" t="s">
        <v>43</v>
      </c>
      <c r="B49" s="112" t="s">
        <v>4557</v>
      </c>
      <c r="C49" s="109" t="s">
        <v>4607</v>
      </c>
    </row>
    <row r="50" customFormat="false" ht="15" hidden="false" customHeight="false" outlineLevel="0" collapsed="false">
      <c r="A50" s="109" t="s">
        <v>43</v>
      </c>
      <c r="B50" s="112" t="s">
        <v>4557</v>
      </c>
      <c r="C50" s="109" t="s">
        <v>4608</v>
      </c>
    </row>
    <row r="51" customFormat="false" ht="15" hidden="false" customHeight="false" outlineLevel="0" collapsed="false">
      <c r="A51" s="109" t="s">
        <v>43</v>
      </c>
      <c r="B51" s="112" t="s">
        <v>4557</v>
      </c>
      <c r="C51" s="109" t="s">
        <v>4609</v>
      </c>
    </row>
    <row r="52" customFormat="false" ht="15" hidden="false" customHeight="false" outlineLevel="0" collapsed="false">
      <c r="A52" s="109" t="s">
        <v>43</v>
      </c>
      <c r="B52" s="112" t="s">
        <v>4557</v>
      </c>
      <c r="C52" s="109" t="s">
        <v>4610</v>
      </c>
    </row>
    <row r="53" customFormat="false" ht="15" hidden="false" customHeight="false" outlineLevel="0" collapsed="false">
      <c r="A53" s="109" t="s">
        <v>43</v>
      </c>
      <c r="B53" s="110" t="s">
        <v>4566</v>
      </c>
      <c r="C53" s="109" t="s">
        <v>4611</v>
      </c>
    </row>
    <row r="54" customFormat="false" ht="15" hidden="false" customHeight="false" outlineLevel="0" collapsed="false">
      <c r="A54" s="109" t="s">
        <v>43</v>
      </c>
      <c r="B54" s="110" t="s">
        <v>4566</v>
      </c>
      <c r="C54" s="109" t="s">
        <v>4612</v>
      </c>
    </row>
    <row r="55" customFormat="false" ht="15" hidden="false" customHeight="false" outlineLevel="0" collapsed="false">
      <c r="A55" s="109" t="s">
        <v>43</v>
      </c>
      <c r="B55" s="110" t="s">
        <v>4566</v>
      </c>
      <c r="C55" s="109" t="s">
        <v>4613</v>
      </c>
    </row>
    <row r="56" customFormat="false" ht="15" hidden="false" customHeight="false" outlineLevel="0" collapsed="false">
      <c r="A56" s="109" t="s">
        <v>43</v>
      </c>
      <c r="B56" s="110" t="s">
        <v>4566</v>
      </c>
      <c r="C56" s="109" t="s">
        <v>4614</v>
      </c>
    </row>
    <row r="57" customFormat="false" ht="15" hidden="false" customHeight="false" outlineLevel="0" collapsed="false">
      <c r="A57" s="109" t="s">
        <v>43</v>
      </c>
      <c r="B57" s="110" t="s">
        <v>4566</v>
      </c>
      <c r="C57" s="109" t="s">
        <v>4615</v>
      </c>
    </row>
    <row r="58" customFormat="false" ht="15" hidden="false" customHeight="false" outlineLevel="0" collapsed="false">
      <c r="A58" s="109" t="s">
        <v>43</v>
      </c>
      <c r="B58" s="110" t="s">
        <v>4566</v>
      </c>
      <c r="C58" s="109" t="s">
        <v>4616</v>
      </c>
    </row>
    <row r="59" customFormat="false" ht="15" hidden="false" customHeight="false" outlineLevel="0" collapsed="false">
      <c r="A59" s="109" t="s">
        <v>43</v>
      </c>
      <c r="B59" s="110" t="s">
        <v>4566</v>
      </c>
      <c r="C59" s="109" t="s">
        <v>4617</v>
      </c>
    </row>
    <row r="60" customFormat="false" ht="15" hidden="false" customHeight="false" outlineLevel="0" collapsed="false">
      <c r="A60" s="109" t="s">
        <v>43</v>
      </c>
      <c r="B60" s="110" t="s">
        <v>4566</v>
      </c>
      <c r="C60" s="109" t="s">
        <v>4618</v>
      </c>
    </row>
    <row r="61" customFormat="false" ht="15" hidden="false" customHeight="false" outlineLevel="0" collapsed="false">
      <c r="A61" s="109" t="s">
        <v>43</v>
      </c>
      <c r="B61" s="113" t="s">
        <v>4575</v>
      </c>
      <c r="C61" s="109" t="s">
        <v>4619</v>
      </c>
    </row>
    <row r="62" customFormat="false" ht="15" hidden="false" customHeight="false" outlineLevel="0" collapsed="false">
      <c r="A62" s="109" t="s">
        <v>43</v>
      </c>
      <c r="B62" s="113" t="s">
        <v>4575</v>
      </c>
      <c r="C62" s="109" t="s">
        <v>4620</v>
      </c>
    </row>
    <row r="63" customFormat="false" ht="15" hidden="false" customHeight="false" outlineLevel="0" collapsed="false">
      <c r="A63" s="109" t="s">
        <v>43</v>
      </c>
      <c r="B63" s="113" t="s">
        <v>4575</v>
      </c>
      <c r="C63" s="109" t="s">
        <v>4621</v>
      </c>
    </row>
    <row r="64" customFormat="false" ht="15" hidden="false" customHeight="false" outlineLevel="0" collapsed="false">
      <c r="A64" s="109" t="s">
        <v>43</v>
      </c>
      <c r="B64" s="113" t="s">
        <v>4575</v>
      </c>
      <c r="C64" s="109" t="s">
        <v>4622</v>
      </c>
    </row>
    <row r="65" customFormat="false" ht="15" hidden="false" customHeight="false" outlineLevel="0" collapsed="false">
      <c r="A65" s="109" t="s">
        <v>43</v>
      </c>
      <c r="B65" s="113" t="s">
        <v>4575</v>
      </c>
      <c r="C65" s="109" t="s">
        <v>4623</v>
      </c>
    </row>
    <row r="66" customFormat="false" ht="15" hidden="false" customHeight="false" outlineLevel="0" collapsed="false">
      <c r="A66" s="109" t="s">
        <v>43</v>
      </c>
      <c r="B66" s="113" t="s">
        <v>4575</v>
      </c>
      <c r="C66" s="109" t="s">
        <v>4624</v>
      </c>
    </row>
    <row r="67" customFormat="false" ht="15" hidden="false" customHeight="false" outlineLevel="0" collapsed="false">
      <c r="A67" s="109" t="s">
        <v>47</v>
      </c>
      <c r="B67" s="112" t="s">
        <v>4557</v>
      </c>
      <c r="C67" s="109" t="s">
        <v>4625</v>
      </c>
    </row>
    <row r="68" customFormat="false" ht="15" hidden="false" customHeight="false" outlineLevel="0" collapsed="false">
      <c r="A68" s="109" t="s">
        <v>47</v>
      </c>
      <c r="B68" s="112" t="s">
        <v>4557</v>
      </c>
      <c r="C68" s="109" t="s">
        <v>4626</v>
      </c>
    </row>
    <row r="69" customFormat="false" ht="15" hidden="false" customHeight="false" outlineLevel="0" collapsed="false">
      <c r="A69" s="109" t="s">
        <v>47</v>
      </c>
      <c r="B69" s="112" t="s">
        <v>4557</v>
      </c>
      <c r="C69" s="109" t="s">
        <v>4627</v>
      </c>
    </row>
    <row r="70" customFormat="false" ht="15" hidden="false" customHeight="false" outlineLevel="0" collapsed="false">
      <c r="A70" s="109" t="s">
        <v>47</v>
      </c>
      <c r="B70" s="112" t="s">
        <v>4557</v>
      </c>
      <c r="C70" s="109" t="s">
        <v>4628</v>
      </c>
    </row>
    <row r="71" customFormat="false" ht="15" hidden="false" customHeight="false" outlineLevel="0" collapsed="false">
      <c r="A71" s="109" t="s">
        <v>47</v>
      </c>
      <c r="B71" s="112" t="s">
        <v>4557</v>
      </c>
      <c r="C71" s="109" t="s">
        <v>4629</v>
      </c>
    </row>
    <row r="72" customFormat="false" ht="15" hidden="false" customHeight="false" outlineLevel="0" collapsed="false">
      <c r="A72" s="109" t="s">
        <v>47</v>
      </c>
      <c r="B72" s="112" t="s">
        <v>4557</v>
      </c>
      <c r="C72" s="109" t="s">
        <v>4630</v>
      </c>
    </row>
    <row r="73" customFormat="false" ht="15" hidden="false" customHeight="false" outlineLevel="0" collapsed="false">
      <c r="A73" s="109" t="s">
        <v>47</v>
      </c>
      <c r="B73" s="112" t="s">
        <v>4557</v>
      </c>
      <c r="C73" s="109" t="s">
        <v>4631</v>
      </c>
    </row>
    <row r="74" customFormat="false" ht="15" hidden="false" customHeight="false" outlineLevel="0" collapsed="false">
      <c r="A74" s="109" t="s">
        <v>47</v>
      </c>
      <c r="B74" s="112" t="s">
        <v>4557</v>
      </c>
      <c r="C74" s="109" t="s">
        <v>4632</v>
      </c>
    </row>
    <row r="75" customFormat="false" ht="23.85" hidden="false" customHeight="false" outlineLevel="0" collapsed="false">
      <c r="A75" s="109" t="s">
        <v>47</v>
      </c>
      <c r="B75" s="110" t="s">
        <v>4566</v>
      </c>
      <c r="C75" s="109" t="s">
        <v>4633</v>
      </c>
    </row>
    <row r="76" customFormat="false" ht="15" hidden="false" customHeight="false" outlineLevel="0" collapsed="false">
      <c r="A76" s="109" t="s">
        <v>47</v>
      </c>
      <c r="B76" s="110" t="s">
        <v>4566</v>
      </c>
      <c r="C76" s="109" t="s">
        <v>4634</v>
      </c>
    </row>
    <row r="77" customFormat="false" ht="15" hidden="false" customHeight="false" outlineLevel="0" collapsed="false">
      <c r="A77" s="109" t="s">
        <v>47</v>
      </c>
      <c r="B77" s="110" t="s">
        <v>4566</v>
      </c>
      <c r="C77" s="109" t="s">
        <v>4635</v>
      </c>
    </row>
    <row r="78" customFormat="false" ht="15" hidden="false" customHeight="false" outlineLevel="0" collapsed="false">
      <c r="A78" s="109" t="s">
        <v>47</v>
      </c>
      <c r="B78" s="110" t="s">
        <v>4566</v>
      </c>
      <c r="C78" s="109" t="s">
        <v>4636</v>
      </c>
    </row>
    <row r="79" customFormat="false" ht="15" hidden="false" customHeight="false" outlineLevel="0" collapsed="false">
      <c r="A79" s="109" t="s">
        <v>47</v>
      </c>
      <c r="B79" s="110" t="s">
        <v>4566</v>
      </c>
      <c r="C79" s="109" t="s">
        <v>4637</v>
      </c>
    </row>
    <row r="80" customFormat="false" ht="15" hidden="false" customHeight="false" outlineLevel="0" collapsed="false">
      <c r="A80" s="109" t="s">
        <v>47</v>
      </c>
      <c r="B80" s="110" t="s">
        <v>4566</v>
      </c>
      <c r="C80" s="109" t="s">
        <v>4638</v>
      </c>
    </row>
    <row r="81" customFormat="false" ht="15" hidden="false" customHeight="false" outlineLevel="0" collapsed="false">
      <c r="A81" s="109" t="s">
        <v>47</v>
      </c>
      <c r="B81" s="110" t="s">
        <v>4566</v>
      </c>
      <c r="C81" s="109" t="s">
        <v>4639</v>
      </c>
    </row>
    <row r="82" customFormat="false" ht="15" hidden="false" customHeight="false" outlineLevel="0" collapsed="false">
      <c r="A82" s="109" t="s">
        <v>47</v>
      </c>
      <c r="B82" s="110" t="s">
        <v>4566</v>
      </c>
      <c r="C82" s="109" t="s">
        <v>4640</v>
      </c>
    </row>
    <row r="83" customFormat="false" ht="15" hidden="false" customHeight="false" outlineLevel="0" collapsed="false">
      <c r="A83" s="109" t="s">
        <v>47</v>
      </c>
      <c r="B83" s="113" t="s">
        <v>4575</v>
      </c>
      <c r="C83" s="109" t="s">
        <v>4641</v>
      </c>
    </row>
    <row r="84" customFormat="false" ht="15" hidden="false" customHeight="false" outlineLevel="0" collapsed="false">
      <c r="A84" s="109" t="s">
        <v>47</v>
      </c>
      <c r="B84" s="113" t="s">
        <v>4575</v>
      </c>
      <c r="C84" s="109" t="s">
        <v>4642</v>
      </c>
    </row>
    <row r="85" customFormat="false" ht="15" hidden="false" customHeight="false" outlineLevel="0" collapsed="false">
      <c r="A85" s="109" t="s">
        <v>47</v>
      </c>
      <c r="B85" s="113" t="s">
        <v>4575</v>
      </c>
      <c r="C85" s="109" t="s">
        <v>4643</v>
      </c>
    </row>
    <row r="86" customFormat="false" ht="15" hidden="false" customHeight="false" outlineLevel="0" collapsed="false">
      <c r="A86" s="109" t="s">
        <v>47</v>
      </c>
      <c r="B86" s="113" t="s">
        <v>4575</v>
      </c>
      <c r="C86" s="109" t="s">
        <v>4644</v>
      </c>
    </row>
    <row r="87" customFormat="false" ht="15" hidden="false" customHeight="false" outlineLevel="0" collapsed="false">
      <c r="A87" s="109" t="s">
        <v>47</v>
      </c>
      <c r="B87" s="113" t="s">
        <v>4575</v>
      </c>
      <c r="C87" s="109" t="s">
        <v>4645</v>
      </c>
    </row>
    <row r="88" customFormat="false" ht="15" hidden="false" customHeight="false" outlineLevel="0" collapsed="false">
      <c r="A88" s="109" t="s">
        <v>47</v>
      </c>
      <c r="B88" s="113" t="s">
        <v>4575</v>
      </c>
      <c r="C88" s="109" t="s">
        <v>4646</v>
      </c>
    </row>
    <row r="89" customFormat="false" ht="15" hidden="false" customHeight="false" outlineLevel="0" collapsed="false">
      <c r="A89" s="109" t="s">
        <v>51</v>
      </c>
      <c r="B89" s="112" t="s">
        <v>4557</v>
      </c>
      <c r="C89" s="109" t="s">
        <v>4647</v>
      </c>
    </row>
    <row r="90" customFormat="false" ht="15" hidden="false" customHeight="false" outlineLevel="0" collapsed="false">
      <c r="A90" s="109" t="s">
        <v>51</v>
      </c>
      <c r="B90" s="112" t="s">
        <v>4557</v>
      </c>
      <c r="C90" s="109" t="s">
        <v>4648</v>
      </c>
    </row>
    <row r="91" customFormat="false" ht="15" hidden="false" customHeight="false" outlineLevel="0" collapsed="false">
      <c r="A91" s="109" t="s">
        <v>51</v>
      </c>
      <c r="B91" s="112" t="s">
        <v>4557</v>
      </c>
      <c r="C91" s="109" t="s">
        <v>4649</v>
      </c>
    </row>
    <row r="92" customFormat="false" ht="15" hidden="false" customHeight="false" outlineLevel="0" collapsed="false">
      <c r="A92" s="109" t="s">
        <v>51</v>
      </c>
      <c r="B92" s="112" t="s">
        <v>4557</v>
      </c>
      <c r="C92" s="109" t="s">
        <v>4650</v>
      </c>
    </row>
    <row r="93" customFormat="false" ht="15" hidden="false" customHeight="false" outlineLevel="0" collapsed="false">
      <c r="A93" s="109" t="s">
        <v>51</v>
      </c>
      <c r="B93" s="112" t="s">
        <v>4557</v>
      </c>
      <c r="C93" s="109" t="s">
        <v>4651</v>
      </c>
    </row>
    <row r="94" customFormat="false" ht="15" hidden="false" customHeight="false" outlineLevel="0" collapsed="false">
      <c r="A94" s="109" t="s">
        <v>51</v>
      </c>
      <c r="B94" s="112" t="s">
        <v>4557</v>
      </c>
      <c r="C94" s="109" t="s">
        <v>4652</v>
      </c>
    </row>
    <row r="95" customFormat="false" ht="15" hidden="false" customHeight="false" outlineLevel="0" collapsed="false">
      <c r="A95" s="109" t="s">
        <v>51</v>
      </c>
      <c r="B95" s="112" t="s">
        <v>4557</v>
      </c>
      <c r="C95" s="109" t="s">
        <v>4653</v>
      </c>
    </row>
    <row r="96" customFormat="false" ht="15" hidden="false" customHeight="false" outlineLevel="0" collapsed="false">
      <c r="A96" s="109" t="s">
        <v>51</v>
      </c>
      <c r="B96" s="112" t="s">
        <v>4557</v>
      </c>
      <c r="C96" s="109" t="s">
        <v>4654</v>
      </c>
    </row>
    <row r="97" customFormat="false" ht="15" hidden="false" customHeight="false" outlineLevel="0" collapsed="false">
      <c r="A97" s="109" t="s">
        <v>51</v>
      </c>
      <c r="B97" s="110" t="s">
        <v>4566</v>
      </c>
      <c r="C97" s="109" t="s">
        <v>4655</v>
      </c>
    </row>
    <row r="98" customFormat="false" ht="15" hidden="false" customHeight="false" outlineLevel="0" collapsed="false">
      <c r="A98" s="109" t="s">
        <v>51</v>
      </c>
      <c r="B98" s="110" t="s">
        <v>4566</v>
      </c>
      <c r="C98" s="109" t="s">
        <v>4656</v>
      </c>
    </row>
    <row r="99" customFormat="false" ht="15" hidden="false" customHeight="false" outlineLevel="0" collapsed="false">
      <c r="A99" s="109" t="s">
        <v>51</v>
      </c>
      <c r="B99" s="110" t="s">
        <v>4566</v>
      </c>
      <c r="C99" s="109" t="s">
        <v>4657</v>
      </c>
    </row>
    <row r="100" customFormat="false" ht="15" hidden="false" customHeight="false" outlineLevel="0" collapsed="false">
      <c r="A100" s="109" t="s">
        <v>51</v>
      </c>
      <c r="B100" s="110" t="s">
        <v>4566</v>
      </c>
      <c r="C100" s="109" t="s">
        <v>4658</v>
      </c>
    </row>
    <row r="101" customFormat="false" ht="15" hidden="false" customHeight="false" outlineLevel="0" collapsed="false">
      <c r="A101" s="109" t="s">
        <v>51</v>
      </c>
      <c r="B101" s="110" t="s">
        <v>4566</v>
      </c>
      <c r="C101" s="109" t="s">
        <v>4659</v>
      </c>
    </row>
    <row r="102" customFormat="false" ht="15" hidden="false" customHeight="false" outlineLevel="0" collapsed="false">
      <c r="A102" s="109" t="s">
        <v>51</v>
      </c>
      <c r="B102" s="110" t="s">
        <v>4566</v>
      </c>
      <c r="C102" s="109" t="s">
        <v>4660</v>
      </c>
    </row>
    <row r="103" customFormat="false" ht="15" hidden="false" customHeight="false" outlineLevel="0" collapsed="false">
      <c r="A103" s="109" t="s">
        <v>51</v>
      </c>
      <c r="B103" s="110" t="s">
        <v>4566</v>
      </c>
      <c r="C103" s="109" t="s">
        <v>4661</v>
      </c>
    </row>
    <row r="104" customFormat="false" ht="15" hidden="false" customHeight="false" outlineLevel="0" collapsed="false">
      <c r="A104" s="109" t="s">
        <v>51</v>
      </c>
      <c r="B104" s="110" t="s">
        <v>4566</v>
      </c>
      <c r="C104" s="109" t="s">
        <v>4662</v>
      </c>
    </row>
    <row r="105" customFormat="false" ht="15" hidden="false" customHeight="false" outlineLevel="0" collapsed="false">
      <c r="A105" s="109" t="s">
        <v>51</v>
      </c>
      <c r="B105" s="113" t="s">
        <v>4575</v>
      </c>
      <c r="C105" s="109" t="s">
        <v>4663</v>
      </c>
    </row>
    <row r="106" customFormat="false" ht="15" hidden="false" customHeight="false" outlineLevel="0" collapsed="false">
      <c r="A106" s="109" t="s">
        <v>51</v>
      </c>
      <c r="B106" s="113" t="s">
        <v>4575</v>
      </c>
      <c r="C106" s="109" t="s">
        <v>4664</v>
      </c>
    </row>
    <row r="107" customFormat="false" ht="15" hidden="false" customHeight="false" outlineLevel="0" collapsed="false">
      <c r="A107" s="109" t="s">
        <v>51</v>
      </c>
      <c r="B107" s="113" t="s">
        <v>4575</v>
      </c>
      <c r="C107" s="109" t="s">
        <v>4665</v>
      </c>
    </row>
    <row r="108" customFormat="false" ht="15" hidden="false" customHeight="false" outlineLevel="0" collapsed="false">
      <c r="A108" s="109" t="s">
        <v>51</v>
      </c>
      <c r="B108" s="113" t="s">
        <v>4575</v>
      </c>
      <c r="C108" s="109" t="s">
        <v>4666</v>
      </c>
    </row>
    <row r="109" customFormat="false" ht="15" hidden="false" customHeight="false" outlineLevel="0" collapsed="false">
      <c r="A109" s="109" t="s">
        <v>51</v>
      </c>
      <c r="B109" s="113" t="s">
        <v>4575</v>
      </c>
      <c r="C109" s="109" t="s">
        <v>4667</v>
      </c>
    </row>
    <row r="110" customFormat="false" ht="15" hidden="false" customHeight="false" outlineLevel="0" collapsed="false">
      <c r="A110" s="109" t="s">
        <v>51</v>
      </c>
      <c r="B110" s="113" t="s">
        <v>4575</v>
      </c>
      <c r="C110" s="109" t="s">
        <v>4668</v>
      </c>
    </row>
    <row r="111" customFormat="false" ht="15" hidden="false" customHeight="false" outlineLevel="0" collapsed="false">
      <c r="A111" s="109" t="s">
        <v>55</v>
      </c>
      <c r="B111" s="112" t="s">
        <v>4557</v>
      </c>
      <c r="C111" s="109" t="s">
        <v>4669</v>
      </c>
    </row>
    <row r="112" customFormat="false" ht="15" hidden="false" customHeight="false" outlineLevel="0" collapsed="false">
      <c r="A112" s="109" t="s">
        <v>55</v>
      </c>
      <c r="B112" s="112" t="s">
        <v>4557</v>
      </c>
      <c r="C112" s="109" t="s">
        <v>4670</v>
      </c>
    </row>
    <row r="113" customFormat="false" ht="15" hidden="false" customHeight="false" outlineLevel="0" collapsed="false">
      <c r="A113" s="109" t="s">
        <v>55</v>
      </c>
      <c r="B113" s="112" t="s">
        <v>4557</v>
      </c>
      <c r="C113" s="109" t="s">
        <v>4671</v>
      </c>
    </row>
    <row r="114" customFormat="false" ht="15" hidden="false" customHeight="false" outlineLevel="0" collapsed="false">
      <c r="A114" s="109" t="s">
        <v>55</v>
      </c>
      <c r="B114" s="112" t="s">
        <v>4557</v>
      </c>
      <c r="C114" s="109" t="s">
        <v>4672</v>
      </c>
    </row>
    <row r="115" customFormat="false" ht="15" hidden="false" customHeight="false" outlineLevel="0" collapsed="false">
      <c r="A115" s="109" t="s">
        <v>55</v>
      </c>
      <c r="B115" s="112" t="s">
        <v>4557</v>
      </c>
      <c r="C115" s="109" t="s">
        <v>4673</v>
      </c>
    </row>
    <row r="116" customFormat="false" ht="15" hidden="false" customHeight="false" outlineLevel="0" collapsed="false">
      <c r="A116" s="109" t="s">
        <v>55</v>
      </c>
      <c r="B116" s="112" t="s">
        <v>4557</v>
      </c>
      <c r="C116" s="109" t="s">
        <v>4674</v>
      </c>
    </row>
    <row r="117" customFormat="false" ht="15" hidden="false" customHeight="false" outlineLevel="0" collapsed="false">
      <c r="A117" s="109" t="s">
        <v>55</v>
      </c>
      <c r="B117" s="112" t="s">
        <v>4557</v>
      </c>
      <c r="C117" s="109" t="s">
        <v>4675</v>
      </c>
    </row>
    <row r="118" customFormat="false" ht="15" hidden="false" customHeight="false" outlineLevel="0" collapsed="false">
      <c r="A118" s="109" t="s">
        <v>55</v>
      </c>
      <c r="B118" s="112" t="s">
        <v>4557</v>
      </c>
      <c r="C118" s="109" t="s">
        <v>4676</v>
      </c>
    </row>
    <row r="119" customFormat="false" ht="15" hidden="false" customHeight="false" outlineLevel="0" collapsed="false">
      <c r="A119" s="109" t="s">
        <v>55</v>
      </c>
      <c r="B119" s="110" t="s">
        <v>4566</v>
      </c>
      <c r="C119" s="109" t="s">
        <v>4677</v>
      </c>
    </row>
    <row r="120" customFormat="false" ht="15" hidden="false" customHeight="false" outlineLevel="0" collapsed="false">
      <c r="A120" s="109" t="s">
        <v>55</v>
      </c>
      <c r="B120" s="110" t="s">
        <v>4566</v>
      </c>
      <c r="C120" s="109" t="s">
        <v>4678</v>
      </c>
    </row>
    <row r="121" customFormat="false" ht="15" hidden="false" customHeight="false" outlineLevel="0" collapsed="false">
      <c r="A121" s="109" t="s">
        <v>55</v>
      </c>
      <c r="B121" s="110" t="s">
        <v>4566</v>
      </c>
      <c r="C121" s="109" t="s">
        <v>4679</v>
      </c>
    </row>
    <row r="122" customFormat="false" ht="15" hidden="false" customHeight="false" outlineLevel="0" collapsed="false">
      <c r="A122" s="109" t="s">
        <v>55</v>
      </c>
      <c r="B122" s="110" t="s">
        <v>4566</v>
      </c>
      <c r="C122" s="109" t="s">
        <v>4680</v>
      </c>
    </row>
    <row r="123" customFormat="false" ht="15" hidden="false" customHeight="false" outlineLevel="0" collapsed="false">
      <c r="A123" s="109" t="s">
        <v>55</v>
      </c>
      <c r="B123" s="110" t="s">
        <v>4566</v>
      </c>
      <c r="C123" s="109" t="s">
        <v>4681</v>
      </c>
    </row>
    <row r="124" customFormat="false" ht="15" hidden="false" customHeight="false" outlineLevel="0" collapsed="false">
      <c r="A124" s="109" t="s">
        <v>55</v>
      </c>
      <c r="B124" s="110" t="s">
        <v>4566</v>
      </c>
      <c r="C124" s="109" t="s">
        <v>4682</v>
      </c>
    </row>
    <row r="125" customFormat="false" ht="15" hidden="false" customHeight="false" outlineLevel="0" collapsed="false">
      <c r="A125" s="109" t="s">
        <v>55</v>
      </c>
      <c r="B125" s="110" t="s">
        <v>4566</v>
      </c>
      <c r="C125" s="109" t="s">
        <v>4683</v>
      </c>
    </row>
    <row r="126" customFormat="false" ht="15" hidden="false" customHeight="false" outlineLevel="0" collapsed="false">
      <c r="A126" s="109" t="s">
        <v>55</v>
      </c>
      <c r="B126" s="110" t="s">
        <v>4566</v>
      </c>
      <c r="C126" s="109" t="s">
        <v>4684</v>
      </c>
    </row>
    <row r="127" customFormat="false" ht="15" hidden="false" customHeight="false" outlineLevel="0" collapsed="false">
      <c r="A127" s="109" t="s">
        <v>55</v>
      </c>
      <c r="B127" s="113" t="s">
        <v>4575</v>
      </c>
      <c r="C127" s="109" t="s">
        <v>4685</v>
      </c>
    </row>
    <row r="128" customFormat="false" ht="15" hidden="false" customHeight="false" outlineLevel="0" collapsed="false">
      <c r="A128" s="109" t="s">
        <v>55</v>
      </c>
      <c r="B128" s="113" t="s">
        <v>4575</v>
      </c>
      <c r="C128" s="109" t="s">
        <v>4686</v>
      </c>
    </row>
    <row r="129" customFormat="false" ht="15" hidden="false" customHeight="false" outlineLevel="0" collapsed="false">
      <c r="A129" s="109" t="s">
        <v>55</v>
      </c>
      <c r="B129" s="113" t="s">
        <v>4575</v>
      </c>
      <c r="C129" s="109" t="s">
        <v>4687</v>
      </c>
    </row>
    <row r="130" customFormat="false" ht="15" hidden="false" customHeight="false" outlineLevel="0" collapsed="false">
      <c r="A130" s="109" t="s">
        <v>55</v>
      </c>
      <c r="B130" s="113" t="s">
        <v>4575</v>
      </c>
      <c r="C130" s="109" t="s">
        <v>4688</v>
      </c>
    </row>
    <row r="131" customFormat="false" ht="15" hidden="false" customHeight="false" outlineLevel="0" collapsed="false">
      <c r="A131" s="109" t="s">
        <v>55</v>
      </c>
      <c r="B131" s="113" t="s">
        <v>4575</v>
      </c>
      <c r="C131" s="109" t="s">
        <v>4689</v>
      </c>
    </row>
    <row r="132" customFormat="false" ht="15" hidden="false" customHeight="false" outlineLevel="0" collapsed="false">
      <c r="A132" s="109" t="s">
        <v>55</v>
      </c>
      <c r="B132" s="113" t="s">
        <v>4575</v>
      </c>
      <c r="C132" s="109" t="s">
        <v>4690</v>
      </c>
    </row>
    <row r="133" customFormat="false" ht="15" hidden="false" customHeight="false" outlineLevel="0" collapsed="false">
      <c r="A133" s="109" t="s">
        <v>59</v>
      </c>
      <c r="B133" s="112" t="s">
        <v>4557</v>
      </c>
      <c r="C133" s="109" t="s">
        <v>4691</v>
      </c>
    </row>
    <row r="134" customFormat="false" ht="15" hidden="false" customHeight="false" outlineLevel="0" collapsed="false">
      <c r="A134" s="109" t="s">
        <v>59</v>
      </c>
      <c r="B134" s="112" t="s">
        <v>4557</v>
      </c>
      <c r="C134" s="109" t="s">
        <v>4692</v>
      </c>
    </row>
    <row r="135" customFormat="false" ht="15" hidden="false" customHeight="false" outlineLevel="0" collapsed="false">
      <c r="A135" s="109" t="s">
        <v>59</v>
      </c>
      <c r="B135" s="112" t="s">
        <v>4557</v>
      </c>
      <c r="C135" s="109" t="s">
        <v>4693</v>
      </c>
    </row>
    <row r="136" customFormat="false" ht="15" hidden="false" customHeight="false" outlineLevel="0" collapsed="false">
      <c r="A136" s="109" t="s">
        <v>59</v>
      </c>
      <c r="B136" s="112" t="s">
        <v>4557</v>
      </c>
      <c r="C136" s="109" t="s">
        <v>4694</v>
      </c>
    </row>
    <row r="137" customFormat="false" ht="15" hidden="false" customHeight="false" outlineLevel="0" collapsed="false">
      <c r="A137" s="109" t="s">
        <v>59</v>
      </c>
      <c r="B137" s="112" t="s">
        <v>4557</v>
      </c>
      <c r="C137" s="109" t="s">
        <v>4695</v>
      </c>
    </row>
    <row r="138" customFormat="false" ht="15" hidden="false" customHeight="false" outlineLevel="0" collapsed="false">
      <c r="A138" s="109" t="s">
        <v>59</v>
      </c>
      <c r="B138" s="112" t="s">
        <v>4557</v>
      </c>
      <c r="C138" s="109" t="s">
        <v>4696</v>
      </c>
    </row>
    <row r="139" customFormat="false" ht="15" hidden="false" customHeight="false" outlineLevel="0" collapsed="false">
      <c r="A139" s="109" t="s">
        <v>59</v>
      </c>
      <c r="B139" s="112" t="s">
        <v>4557</v>
      </c>
      <c r="C139" s="109" t="s">
        <v>4697</v>
      </c>
    </row>
    <row r="140" customFormat="false" ht="15" hidden="false" customHeight="false" outlineLevel="0" collapsed="false">
      <c r="A140" s="109" t="s">
        <v>59</v>
      </c>
      <c r="B140" s="112" t="s">
        <v>4557</v>
      </c>
      <c r="C140" s="109" t="s">
        <v>4698</v>
      </c>
    </row>
    <row r="141" customFormat="false" ht="15" hidden="false" customHeight="false" outlineLevel="0" collapsed="false">
      <c r="A141" s="109" t="s">
        <v>59</v>
      </c>
      <c r="B141" s="110" t="s">
        <v>4566</v>
      </c>
      <c r="C141" s="109" t="s">
        <v>4699</v>
      </c>
    </row>
    <row r="142" customFormat="false" ht="15" hidden="false" customHeight="false" outlineLevel="0" collapsed="false">
      <c r="A142" s="109" t="s">
        <v>59</v>
      </c>
      <c r="B142" s="110" t="s">
        <v>4566</v>
      </c>
      <c r="C142" s="109" t="s">
        <v>4700</v>
      </c>
    </row>
    <row r="143" customFormat="false" ht="15" hidden="false" customHeight="false" outlineLevel="0" collapsed="false">
      <c r="A143" s="109" t="s">
        <v>59</v>
      </c>
      <c r="B143" s="110" t="s">
        <v>4566</v>
      </c>
      <c r="C143" s="109" t="s">
        <v>4701</v>
      </c>
    </row>
    <row r="144" customFormat="false" ht="15" hidden="false" customHeight="false" outlineLevel="0" collapsed="false">
      <c r="A144" s="109" t="s">
        <v>59</v>
      </c>
      <c r="B144" s="110" t="s">
        <v>4566</v>
      </c>
      <c r="C144" s="109" t="s">
        <v>4702</v>
      </c>
    </row>
    <row r="145" customFormat="false" ht="15" hidden="false" customHeight="false" outlineLevel="0" collapsed="false">
      <c r="A145" s="109" t="s">
        <v>59</v>
      </c>
      <c r="B145" s="110" t="s">
        <v>4566</v>
      </c>
      <c r="C145" s="109" t="s">
        <v>4703</v>
      </c>
    </row>
    <row r="146" customFormat="false" ht="15" hidden="false" customHeight="false" outlineLevel="0" collapsed="false">
      <c r="A146" s="109" t="s">
        <v>59</v>
      </c>
      <c r="B146" s="110" t="s">
        <v>4566</v>
      </c>
      <c r="C146" s="109" t="s">
        <v>4704</v>
      </c>
    </row>
    <row r="147" customFormat="false" ht="15" hidden="false" customHeight="false" outlineLevel="0" collapsed="false">
      <c r="A147" s="109" t="s">
        <v>59</v>
      </c>
      <c r="B147" s="110" t="s">
        <v>4566</v>
      </c>
      <c r="C147" s="109" t="s">
        <v>4705</v>
      </c>
    </row>
    <row r="148" customFormat="false" ht="15" hidden="false" customHeight="false" outlineLevel="0" collapsed="false">
      <c r="A148" s="109" t="s">
        <v>59</v>
      </c>
      <c r="B148" s="110" t="s">
        <v>4566</v>
      </c>
      <c r="C148" s="109" t="s">
        <v>4706</v>
      </c>
    </row>
    <row r="149" customFormat="false" ht="15" hidden="false" customHeight="false" outlineLevel="0" collapsed="false">
      <c r="A149" s="109" t="s">
        <v>59</v>
      </c>
      <c r="B149" s="113" t="s">
        <v>4575</v>
      </c>
      <c r="C149" s="109" t="s">
        <v>4707</v>
      </c>
    </row>
    <row r="150" customFormat="false" ht="15" hidden="false" customHeight="false" outlineLevel="0" collapsed="false">
      <c r="A150" s="109" t="s">
        <v>59</v>
      </c>
      <c r="B150" s="113" t="s">
        <v>4575</v>
      </c>
      <c r="C150" s="109" t="s">
        <v>4708</v>
      </c>
    </row>
    <row r="151" customFormat="false" ht="15" hidden="false" customHeight="false" outlineLevel="0" collapsed="false">
      <c r="A151" s="109" t="s">
        <v>59</v>
      </c>
      <c r="B151" s="113" t="s">
        <v>4575</v>
      </c>
      <c r="C151" s="109" t="s">
        <v>4709</v>
      </c>
    </row>
    <row r="152" customFormat="false" ht="15" hidden="false" customHeight="false" outlineLevel="0" collapsed="false">
      <c r="A152" s="109" t="s">
        <v>59</v>
      </c>
      <c r="B152" s="113" t="s">
        <v>4575</v>
      </c>
      <c r="C152" s="109" t="s">
        <v>4710</v>
      </c>
    </row>
    <row r="153" customFormat="false" ht="15" hidden="false" customHeight="false" outlineLevel="0" collapsed="false">
      <c r="A153" s="109" t="s">
        <v>59</v>
      </c>
      <c r="B153" s="113" t="s">
        <v>4575</v>
      </c>
      <c r="C153" s="109" t="s">
        <v>4711</v>
      </c>
    </row>
    <row r="154" customFormat="false" ht="15" hidden="false" customHeight="false" outlineLevel="0" collapsed="false">
      <c r="A154" s="109" t="s">
        <v>59</v>
      </c>
      <c r="B154" s="113" t="s">
        <v>4575</v>
      </c>
      <c r="C154" s="109" t="s">
        <v>4712</v>
      </c>
    </row>
    <row r="155" customFormat="false" ht="15" hidden="false" customHeight="false" outlineLevel="0" collapsed="false">
      <c r="A155" s="109" t="s">
        <v>63</v>
      </c>
      <c r="B155" s="112" t="s">
        <v>4557</v>
      </c>
      <c r="C155" s="109" t="s">
        <v>4713</v>
      </c>
    </row>
    <row r="156" customFormat="false" ht="15" hidden="false" customHeight="false" outlineLevel="0" collapsed="false">
      <c r="A156" s="109" t="s">
        <v>63</v>
      </c>
      <c r="B156" s="112" t="s">
        <v>4557</v>
      </c>
      <c r="C156" s="109" t="s">
        <v>4714</v>
      </c>
    </row>
    <row r="157" customFormat="false" ht="15" hidden="false" customHeight="false" outlineLevel="0" collapsed="false">
      <c r="A157" s="109" t="s">
        <v>63</v>
      </c>
      <c r="B157" s="112" t="s">
        <v>4557</v>
      </c>
      <c r="C157" s="109" t="s">
        <v>4715</v>
      </c>
    </row>
    <row r="158" customFormat="false" ht="15" hidden="false" customHeight="false" outlineLevel="0" collapsed="false">
      <c r="A158" s="109" t="s">
        <v>63</v>
      </c>
      <c r="B158" s="112" t="s">
        <v>4557</v>
      </c>
      <c r="C158" s="109" t="s">
        <v>4716</v>
      </c>
    </row>
    <row r="159" customFormat="false" ht="15" hidden="false" customHeight="false" outlineLevel="0" collapsed="false">
      <c r="A159" s="109" t="s">
        <v>63</v>
      </c>
      <c r="B159" s="112" t="s">
        <v>4557</v>
      </c>
      <c r="C159" s="109" t="s">
        <v>4717</v>
      </c>
    </row>
    <row r="160" customFormat="false" ht="15" hidden="false" customHeight="false" outlineLevel="0" collapsed="false">
      <c r="A160" s="109" t="s">
        <v>63</v>
      </c>
      <c r="B160" s="112" t="s">
        <v>4557</v>
      </c>
      <c r="C160" s="109" t="s">
        <v>4718</v>
      </c>
    </row>
    <row r="161" customFormat="false" ht="15" hidden="false" customHeight="false" outlineLevel="0" collapsed="false">
      <c r="A161" s="109" t="s">
        <v>63</v>
      </c>
      <c r="B161" s="112" t="s">
        <v>4557</v>
      </c>
      <c r="C161" s="109" t="s">
        <v>4719</v>
      </c>
    </row>
    <row r="162" customFormat="false" ht="15" hidden="false" customHeight="false" outlineLevel="0" collapsed="false">
      <c r="A162" s="109" t="s">
        <v>63</v>
      </c>
      <c r="B162" s="112" t="s">
        <v>4557</v>
      </c>
      <c r="C162" s="109" t="s">
        <v>4720</v>
      </c>
    </row>
    <row r="163" customFormat="false" ht="15" hidden="false" customHeight="false" outlineLevel="0" collapsed="false">
      <c r="A163" s="109" t="s">
        <v>63</v>
      </c>
      <c r="B163" s="110" t="s">
        <v>4566</v>
      </c>
      <c r="C163" s="109" t="s">
        <v>4721</v>
      </c>
    </row>
    <row r="164" customFormat="false" ht="15" hidden="false" customHeight="false" outlineLevel="0" collapsed="false">
      <c r="A164" s="109" t="s">
        <v>63</v>
      </c>
      <c r="B164" s="110" t="s">
        <v>4566</v>
      </c>
      <c r="C164" s="109" t="s">
        <v>4722</v>
      </c>
    </row>
    <row r="165" customFormat="false" ht="15" hidden="false" customHeight="false" outlineLevel="0" collapsed="false">
      <c r="A165" s="109" t="s">
        <v>63</v>
      </c>
      <c r="B165" s="110" t="s">
        <v>4566</v>
      </c>
      <c r="C165" s="109" t="s">
        <v>4723</v>
      </c>
    </row>
    <row r="166" customFormat="false" ht="15" hidden="false" customHeight="false" outlineLevel="0" collapsed="false">
      <c r="A166" s="109" t="s">
        <v>63</v>
      </c>
      <c r="B166" s="110" t="s">
        <v>4566</v>
      </c>
      <c r="C166" s="109" t="s">
        <v>4724</v>
      </c>
    </row>
    <row r="167" customFormat="false" ht="15" hidden="false" customHeight="false" outlineLevel="0" collapsed="false">
      <c r="A167" s="109" t="s">
        <v>63</v>
      </c>
      <c r="B167" s="110" t="s">
        <v>4566</v>
      </c>
      <c r="C167" s="109" t="s">
        <v>4725</v>
      </c>
    </row>
    <row r="168" customFormat="false" ht="15" hidden="false" customHeight="false" outlineLevel="0" collapsed="false">
      <c r="A168" s="109" t="s">
        <v>63</v>
      </c>
      <c r="B168" s="110" t="s">
        <v>4566</v>
      </c>
      <c r="C168" s="109" t="s">
        <v>4726</v>
      </c>
    </row>
    <row r="169" customFormat="false" ht="15" hidden="false" customHeight="false" outlineLevel="0" collapsed="false">
      <c r="A169" s="109" t="s">
        <v>63</v>
      </c>
      <c r="B169" s="110" t="s">
        <v>4566</v>
      </c>
      <c r="C169" s="109" t="s">
        <v>4727</v>
      </c>
    </row>
    <row r="170" customFormat="false" ht="15" hidden="false" customHeight="false" outlineLevel="0" collapsed="false">
      <c r="A170" s="109" t="s">
        <v>63</v>
      </c>
      <c r="B170" s="110" t="s">
        <v>4566</v>
      </c>
      <c r="C170" s="109" t="s">
        <v>4728</v>
      </c>
    </row>
    <row r="171" customFormat="false" ht="15" hidden="false" customHeight="false" outlineLevel="0" collapsed="false">
      <c r="A171" s="109" t="s">
        <v>63</v>
      </c>
      <c r="B171" s="113" t="s">
        <v>4575</v>
      </c>
      <c r="C171" s="109" t="s">
        <v>4729</v>
      </c>
    </row>
    <row r="172" customFormat="false" ht="15" hidden="false" customHeight="false" outlineLevel="0" collapsed="false">
      <c r="A172" s="109" t="s">
        <v>63</v>
      </c>
      <c r="B172" s="113" t="s">
        <v>4575</v>
      </c>
      <c r="C172" s="109" t="s">
        <v>4730</v>
      </c>
    </row>
    <row r="173" customFormat="false" ht="15" hidden="false" customHeight="false" outlineLevel="0" collapsed="false">
      <c r="A173" s="109" t="s">
        <v>63</v>
      </c>
      <c r="B173" s="113" t="s">
        <v>4575</v>
      </c>
      <c r="C173" s="109" t="s">
        <v>4731</v>
      </c>
    </row>
    <row r="174" customFormat="false" ht="15" hidden="false" customHeight="false" outlineLevel="0" collapsed="false">
      <c r="A174" s="109" t="s">
        <v>63</v>
      </c>
      <c r="B174" s="113" t="s">
        <v>4575</v>
      </c>
      <c r="C174" s="109" t="s">
        <v>4732</v>
      </c>
    </row>
    <row r="175" customFormat="false" ht="15" hidden="false" customHeight="false" outlineLevel="0" collapsed="false">
      <c r="A175" s="109" t="s">
        <v>63</v>
      </c>
      <c r="B175" s="113" t="s">
        <v>4575</v>
      </c>
      <c r="C175" s="109" t="s">
        <v>4733</v>
      </c>
    </row>
    <row r="176" customFormat="false" ht="15" hidden="false" customHeight="false" outlineLevel="0" collapsed="false">
      <c r="A176" s="109" t="s">
        <v>63</v>
      </c>
      <c r="B176" s="113" t="s">
        <v>4575</v>
      </c>
      <c r="C176" s="109" t="s">
        <v>4734</v>
      </c>
    </row>
    <row r="177" customFormat="false" ht="15" hidden="false" customHeight="false" outlineLevel="0" collapsed="false">
      <c r="A177" s="109" t="s">
        <v>67</v>
      </c>
      <c r="B177" s="112" t="s">
        <v>4557</v>
      </c>
      <c r="C177" s="109" t="s">
        <v>4735</v>
      </c>
    </row>
    <row r="178" customFormat="false" ht="15" hidden="false" customHeight="false" outlineLevel="0" collapsed="false">
      <c r="A178" s="109" t="s">
        <v>67</v>
      </c>
      <c r="B178" s="112" t="s">
        <v>4557</v>
      </c>
      <c r="C178" s="109" t="s">
        <v>4736</v>
      </c>
    </row>
    <row r="179" customFormat="false" ht="15" hidden="false" customHeight="false" outlineLevel="0" collapsed="false">
      <c r="A179" s="109" t="s">
        <v>67</v>
      </c>
      <c r="B179" s="112" t="s">
        <v>4557</v>
      </c>
      <c r="C179" s="109" t="s">
        <v>4737</v>
      </c>
    </row>
    <row r="180" customFormat="false" ht="15" hidden="false" customHeight="false" outlineLevel="0" collapsed="false">
      <c r="A180" s="109" t="s">
        <v>67</v>
      </c>
      <c r="B180" s="112" t="s">
        <v>4557</v>
      </c>
      <c r="C180" s="109" t="s">
        <v>4738</v>
      </c>
    </row>
    <row r="181" customFormat="false" ht="15" hidden="false" customHeight="false" outlineLevel="0" collapsed="false">
      <c r="A181" s="109" t="s">
        <v>67</v>
      </c>
      <c r="B181" s="112" t="s">
        <v>4557</v>
      </c>
      <c r="C181" s="109" t="s">
        <v>4739</v>
      </c>
    </row>
    <row r="182" customFormat="false" ht="15" hidden="false" customHeight="false" outlineLevel="0" collapsed="false">
      <c r="A182" s="109" t="s">
        <v>67</v>
      </c>
      <c r="B182" s="112" t="s">
        <v>4557</v>
      </c>
      <c r="C182" s="109" t="s">
        <v>4740</v>
      </c>
    </row>
    <row r="183" customFormat="false" ht="15" hidden="false" customHeight="false" outlineLevel="0" collapsed="false">
      <c r="A183" s="109" t="s">
        <v>67</v>
      </c>
      <c r="B183" s="112" t="s">
        <v>4557</v>
      </c>
      <c r="C183" s="109" t="s">
        <v>4741</v>
      </c>
    </row>
    <row r="184" customFormat="false" ht="15" hidden="false" customHeight="false" outlineLevel="0" collapsed="false">
      <c r="A184" s="109" t="s">
        <v>67</v>
      </c>
      <c r="B184" s="112" t="s">
        <v>4557</v>
      </c>
      <c r="C184" s="109" t="s">
        <v>4742</v>
      </c>
    </row>
    <row r="185" customFormat="false" ht="15" hidden="false" customHeight="false" outlineLevel="0" collapsed="false">
      <c r="A185" s="109" t="s">
        <v>67</v>
      </c>
      <c r="B185" s="110" t="s">
        <v>4566</v>
      </c>
      <c r="C185" s="109" t="s">
        <v>4743</v>
      </c>
    </row>
    <row r="186" customFormat="false" ht="23.85" hidden="false" customHeight="false" outlineLevel="0" collapsed="false">
      <c r="A186" s="109" t="s">
        <v>67</v>
      </c>
      <c r="B186" s="110" t="s">
        <v>4566</v>
      </c>
      <c r="C186" s="109" t="s">
        <v>4744</v>
      </c>
    </row>
    <row r="187" customFormat="false" ht="15" hidden="false" customHeight="false" outlineLevel="0" collapsed="false">
      <c r="A187" s="109" t="s">
        <v>67</v>
      </c>
      <c r="B187" s="110" t="s">
        <v>4566</v>
      </c>
      <c r="C187" s="109" t="s">
        <v>4745</v>
      </c>
    </row>
    <row r="188" customFormat="false" ht="15" hidden="false" customHeight="false" outlineLevel="0" collapsed="false">
      <c r="A188" s="109" t="s">
        <v>67</v>
      </c>
      <c r="B188" s="110" t="s">
        <v>4566</v>
      </c>
      <c r="C188" s="109" t="s">
        <v>4746</v>
      </c>
    </row>
    <row r="189" customFormat="false" ht="15" hidden="false" customHeight="false" outlineLevel="0" collapsed="false">
      <c r="A189" s="109" t="s">
        <v>67</v>
      </c>
      <c r="B189" s="110" t="s">
        <v>4566</v>
      </c>
      <c r="C189" s="109" t="s">
        <v>4747</v>
      </c>
    </row>
    <row r="190" customFormat="false" ht="15" hidden="false" customHeight="false" outlineLevel="0" collapsed="false">
      <c r="A190" s="109" t="s">
        <v>67</v>
      </c>
      <c r="B190" s="110" t="s">
        <v>4566</v>
      </c>
      <c r="C190" s="109" t="s">
        <v>4748</v>
      </c>
    </row>
    <row r="191" customFormat="false" ht="15" hidden="false" customHeight="false" outlineLevel="0" collapsed="false">
      <c r="A191" s="109" t="s">
        <v>67</v>
      </c>
      <c r="B191" s="110" t="s">
        <v>4566</v>
      </c>
      <c r="C191" s="109" t="s">
        <v>4749</v>
      </c>
    </row>
    <row r="192" customFormat="false" ht="15" hidden="false" customHeight="false" outlineLevel="0" collapsed="false">
      <c r="A192" s="109" t="s">
        <v>67</v>
      </c>
      <c r="B192" s="110" t="s">
        <v>4566</v>
      </c>
      <c r="C192" s="109" t="s">
        <v>4750</v>
      </c>
    </row>
    <row r="193" customFormat="false" ht="15" hidden="false" customHeight="false" outlineLevel="0" collapsed="false">
      <c r="A193" s="109" t="s">
        <v>67</v>
      </c>
      <c r="B193" s="113" t="s">
        <v>4575</v>
      </c>
      <c r="C193" s="109" t="s">
        <v>4751</v>
      </c>
    </row>
    <row r="194" customFormat="false" ht="15" hidden="false" customHeight="false" outlineLevel="0" collapsed="false">
      <c r="A194" s="109" t="s">
        <v>67</v>
      </c>
      <c r="B194" s="113" t="s">
        <v>4575</v>
      </c>
      <c r="C194" s="109" t="s">
        <v>4752</v>
      </c>
    </row>
    <row r="195" customFormat="false" ht="15" hidden="false" customHeight="false" outlineLevel="0" collapsed="false">
      <c r="A195" s="109" t="s">
        <v>67</v>
      </c>
      <c r="B195" s="113" t="s">
        <v>4575</v>
      </c>
      <c r="C195" s="109" t="s">
        <v>4753</v>
      </c>
    </row>
    <row r="196" customFormat="false" ht="15" hidden="false" customHeight="false" outlineLevel="0" collapsed="false">
      <c r="A196" s="109" t="s">
        <v>67</v>
      </c>
      <c r="B196" s="113" t="s">
        <v>4575</v>
      </c>
      <c r="C196" s="109" t="s">
        <v>4754</v>
      </c>
    </row>
    <row r="197" customFormat="false" ht="15" hidden="false" customHeight="false" outlineLevel="0" collapsed="false">
      <c r="A197" s="109" t="s">
        <v>67</v>
      </c>
      <c r="B197" s="113" t="s">
        <v>4575</v>
      </c>
      <c r="C197" s="109" t="s">
        <v>4755</v>
      </c>
    </row>
    <row r="198" customFormat="false" ht="15" hidden="false" customHeight="false" outlineLevel="0" collapsed="false">
      <c r="A198" s="109" t="s">
        <v>67</v>
      </c>
      <c r="B198" s="113" t="s">
        <v>4575</v>
      </c>
      <c r="C198" s="109" t="s">
        <v>4756</v>
      </c>
    </row>
    <row r="199" customFormat="false" ht="15" hidden="false" customHeight="false" outlineLevel="0" collapsed="false">
      <c r="A199" s="109" t="s">
        <v>71</v>
      </c>
      <c r="B199" s="112" t="s">
        <v>4557</v>
      </c>
      <c r="C199" s="109" t="s">
        <v>4757</v>
      </c>
    </row>
    <row r="200" customFormat="false" ht="15" hidden="false" customHeight="false" outlineLevel="0" collapsed="false">
      <c r="A200" s="109" t="s">
        <v>71</v>
      </c>
      <c r="B200" s="112" t="s">
        <v>4557</v>
      </c>
      <c r="C200" s="109" t="s">
        <v>4758</v>
      </c>
    </row>
    <row r="201" customFormat="false" ht="15" hidden="false" customHeight="false" outlineLevel="0" collapsed="false">
      <c r="A201" s="109" t="s">
        <v>71</v>
      </c>
      <c r="B201" s="112" t="s">
        <v>4557</v>
      </c>
      <c r="C201" s="109" t="s">
        <v>4759</v>
      </c>
    </row>
    <row r="202" customFormat="false" ht="15" hidden="false" customHeight="false" outlineLevel="0" collapsed="false">
      <c r="A202" s="109" t="s">
        <v>71</v>
      </c>
      <c r="B202" s="112" t="s">
        <v>4557</v>
      </c>
      <c r="C202" s="109" t="s">
        <v>4760</v>
      </c>
    </row>
    <row r="203" customFormat="false" ht="15" hidden="false" customHeight="false" outlineLevel="0" collapsed="false">
      <c r="A203" s="109" t="s">
        <v>71</v>
      </c>
      <c r="B203" s="112" t="s">
        <v>4557</v>
      </c>
      <c r="C203" s="109" t="s">
        <v>4761</v>
      </c>
    </row>
    <row r="204" customFormat="false" ht="15" hidden="false" customHeight="false" outlineLevel="0" collapsed="false">
      <c r="A204" s="109" t="s">
        <v>71</v>
      </c>
      <c r="B204" s="112" t="s">
        <v>4557</v>
      </c>
      <c r="C204" s="109" t="s">
        <v>4762</v>
      </c>
    </row>
    <row r="205" customFormat="false" ht="15" hidden="false" customHeight="false" outlineLevel="0" collapsed="false">
      <c r="A205" s="109" t="s">
        <v>71</v>
      </c>
      <c r="B205" s="112" t="s">
        <v>4557</v>
      </c>
      <c r="C205" s="109" t="s">
        <v>4763</v>
      </c>
    </row>
    <row r="206" customFormat="false" ht="15" hidden="false" customHeight="false" outlineLevel="0" collapsed="false">
      <c r="A206" s="109" t="s">
        <v>71</v>
      </c>
      <c r="B206" s="110" t="s">
        <v>4566</v>
      </c>
      <c r="C206" s="109" t="s">
        <v>4764</v>
      </c>
    </row>
    <row r="207" customFormat="false" ht="15" hidden="false" customHeight="false" outlineLevel="0" collapsed="false">
      <c r="A207" s="109" t="s">
        <v>71</v>
      </c>
      <c r="B207" s="110" t="s">
        <v>4566</v>
      </c>
      <c r="C207" s="109" t="s">
        <v>4765</v>
      </c>
    </row>
    <row r="208" customFormat="false" ht="15" hidden="false" customHeight="false" outlineLevel="0" collapsed="false">
      <c r="A208" s="109" t="s">
        <v>71</v>
      </c>
      <c r="B208" s="110" t="s">
        <v>4566</v>
      </c>
      <c r="C208" s="109" t="s">
        <v>4766</v>
      </c>
    </row>
    <row r="209" customFormat="false" ht="15" hidden="false" customHeight="false" outlineLevel="0" collapsed="false">
      <c r="A209" s="109" t="s">
        <v>71</v>
      </c>
      <c r="B209" s="110" t="s">
        <v>4566</v>
      </c>
      <c r="C209" s="109" t="s">
        <v>4767</v>
      </c>
    </row>
    <row r="210" customFormat="false" ht="15" hidden="false" customHeight="false" outlineLevel="0" collapsed="false">
      <c r="A210" s="109" t="s">
        <v>71</v>
      </c>
      <c r="B210" s="110" t="s">
        <v>4566</v>
      </c>
      <c r="C210" s="109" t="s">
        <v>4768</v>
      </c>
    </row>
    <row r="211" customFormat="false" ht="15" hidden="false" customHeight="false" outlineLevel="0" collapsed="false">
      <c r="A211" s="109" t="s">
        <v>71</v>
      </c>
      <c r="B211" s="110" t="s">
        <v>4566</v>
      </c>
      <c r="C211" s="109" t="s">
        <v>4769</v>
      </c>
    </row>
    <row r="212" customFormat="false" ht="15" hidden="false" customHeight="false" outlineLevel="0" collapsed="false">
      <c r="A212" s="109" t="s">
        <v>71</v>
      </c>
      <c r="B212" s="110" t="s">
        <v>4566</v>
      </c>
      <c r="C212" s="109" t="s">
        <v>4770</v>
      </c>
    </row>
    <row r="213" customFormat="false" ht="15" hidden="false" customHeight="false" outlineLevel="0" collapsed="false">
      <c r="A213" s="109" t="s">
        <v>71</v>
      </c>
      <c r="B213" s="113" t="s">
        <v>4575</v>
      </c>
      <c r="C213" s="109" t="s">
        <v>4771</v>
      </c>
    </row>
    <row r="214" customFormat="false" ht="15" hidden="false" customHeight="false" outlineLevel="0" collapsed="false">
      <c r="A214" s="109" t="s">
        <v>71</v>
      </c>
      <c r="B214" s="113" t="s">
        <v>4575</v>
      </c>
      <c r="C214" s="109" t="s">
        <v>4772</v>
      </c>
    </row>
    <row r="215" customFormat="false" ht="15" hidden="false" customHeight="false" outlineLevel="0" collapsed="false">
      <c r="A215" s="109" t="s">
        <v>71</v>
      </c>
      <c r="B215" s="113" t="s">
        <v>4575</v>
      </c>
      <c r="C215" s="109" t="s">
        <v>4773</v>
      </c>
    </row>
    <row r="216" customFormat="false" ht="15" hidden="false" customHeight="false" outlineLevel="0" collapsed="false">
      <c r="A216" s="109" t="s">
        <v>71</v>
      </c>
      <c r="B216" s="113" t="s">
        <v>4575</v>
      </c>
      <c r="C216" s="109" t="s">
        <v>4774</v>
      </c>
    </row>
    <row r="217" customFormat="false" ht="15" hidden="false" customHeight="false" outlineLevel="0" collapsed="false">
      <c r="A217" s="109" t="s">
        <v>71</v>
      </c>
      <c r="B217" s="113" t="s">
        <v>4575</v>
      </c>
      <c r="C217" s="109" t="s">
        <v>4775</v>
      </c>
    </row>
    <row r="218" customFormat="false" ht="15" hidden="false" customHeight="false" outlineLevel="0" collapsed="false">
      <c r="A218" s="109" t="s">
        <v>71</v>
      </c>
      <c r="B218" s="113" t="s">
        <v>4575</v>
      </c>
      <c r="C218" s="109" t="s">
        <v>4776</v>
      </c>
    </row>
  </sheetData>
  <conditionalFormatting sqref="B2:B218">
    <cfRule type="cellIs" priority="2" operator="equal" aboveAverage="0" equalAverage="0" bottom="0" percent="0" rank="0" text="" dxfId="19">
      <formula>"Point fort"</formula>
    </cfRule>
    <cfRule type="cellIs" priority="3" operator="equal" aboveAverage="0" equalAverage="0" bottom="0" percent="0" rank="0" text="" dxfId="20">
      <formula>"À reprendre"</formula>
    </cfRule>
    <cfRule type="cellIs" priority="4" operator="equal" aboveAverage="0" equalAverage="0" bottom="0" percent="0" rank="0" text="" dxfId="27">
      <formula>"Limite"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2026-10-25T09:26:48Z</dcterms:created>
  <dc:creator>openpyxl</dc:creator>
  <dc:description/>
  <dc:language>en-US</dc:language>
  <cp:lastModifiedBy/>
  <dcterms:modified xsi:type="dcterms:W3CDTF">2026-10-25T09:26:49Z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